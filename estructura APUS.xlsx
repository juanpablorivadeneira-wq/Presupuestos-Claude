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juanp\OneDrive\Escritorio\CLAUDE Proyectos\Presupuestos Sistema\"/>
    </mc:Choice>
  </mc:AlternateContent>
  <xr:revisionPtr revIDLastSave="0" documentId="8_{E2466176-3809-44E8-BBE8-2DBE42EF6DAC}" xr6:coauthVersionLast="47" xr6:coauthVersionMax="47" xr10:uidLastSave="{00000000-0000-0000-0000-000000000000}"/>
  <bookViews>
    <workbookView xWindow="-28920" yWindow="-1635" windowWidth="29040" windowHeight="15720" tabRatio="694" firstSheet="6" activeTab="11" xr2:uid="{CA9A4BD8-D8DE-4A85-9B19-1024AA183A5D}"/>
  </bookViews>
  <sheets>
    <sheet name="006. Cuadro Comparativo APUs" sheetId="1" r:id="rId1"/>
    <sheet name="Reporte Decisiones Pendientes" sheetId="2" r:id="rId2"/>
    <sheet name="APU Estándar" sheetId="3" r:id="rId3"/>
    <sheet name="Resumen CU" sheetId="4" r:id="rId4"/>
    <sheet name="BD Materiales" sheetId="5" r:id="rId5"/>
    <sheet name="BD Mano de Obra" sheetId="6" r:id="rId6"/>
    <sheet name="BD Equipo" sheetId="7" r:id="rId7"/>
    <sheet name="BD Rendimientos" sheetId="8" r:id="rId8"/>
    <sheet name="Historial Conversación" sheetId="9" r:id="rId9"/>
    <sheet name="APUs_Maestro" sheetId="10" r:id="rId10"/>
    <sheet name="APUs_Items" sheetId="11" r:id="rId11"/>
    <sheet name="README_Sistema" sheetId="12" r:id="rId12"/>
  </sheets>
  <definedNames>
    <definedName name="_xlnm._FilterDatabase" localSheetId="0" hidden="1">'006. Cuadro Comparativo APUs'!$A$2:$O$2263</definedName>
  </definedName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9" i="4" l="1"/>
  <c r="G23" i="4"/>
  <c r="E36" i="3"/>
  <c r="D36" i="3"/>
  <c r="F36" i="3" s="1"/>
  <c r="F38" i="3" s="1"/>
  <c r="G8" i="4" s="1"/>
  <c r="E42" i="3"/>
  <c r="D42" i="3"/>
  <c r="F42" i="3" s="1"/>
  <c r="F43" i="3" s="1"/>
  <c r="G9" i="4" s="1"/>
  <c r="E868" i="3"/>
  <c r="D868" i="3"/>
  <c r="F868" i="3" s="1"/>
  <c r="E1260" i="3"/>
  <c r="D1260" i="3"/>
  <c r="F1260" i="3" s="1"/>
  <c r="E1259" i="3"/>
  <c r="D1259" i="3"/>
  <c r="E1258" i="3"/>
  <c r="D1258" i="3"/>
  <c r="F1258" i="3" s="1"/>
  <c r="E1256" i="3"/>
  <c r="D1256" i="3"/>
  <c r="F1256" i="3" s="1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19" i="3"/>
  <c r="D1219" i="3"/>
  <c r="F1219" i="3" s="1"/>
  <c r="E1218" i="3"/>
  <c r="D1218" i="3"/>
  <c r="E1217" i="3"/>
  <c r="D1217" i="3"/>
  <c r="E1216" i="3"/>
  <c r="D1216" i="3"/>
  <c r="E1214" i="3"/>
  <c r="D1214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197" i="3"/>
  <c r="D1197" i="3"/>
  <c r="F1197" i="3" s="1"/>
  <c r="E1196" i="3"/>
  <c r="D1196" i="3"/>
  <c r="E1194" i="3"/>
  <c r="D1194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0" i="3"/>
  <c r="D1180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66" i="3"/>
  <c r="D1166" i="3"/>
  <c r="E1164" i="3"/>
  <c r="D1164" i="3"/>
  <c r="E1163" i="3"/>
  <c r="D1163" i="3"/>
  <c r="E1162" i="3"/>
  <c r="D1162" i="3"/>
  <c r="E1157" i="3"/>
  <c r="D1157" i="3"/>
  <c r="F1157" i="3" s="1"/>
  <c r="E1155" i="3"/>
  <c r="D1155" i="3"/>
  <c r="F1155" i="3" s="1"/>
  <c r="E1153" i="3"/>
  <c r="D1153" i="3"/>
  <c r="E1152" i="3"/>
  <c r="D1152" i="3"/>
  <c r="E1151" i="3"/>
  <c r="D1151" i="3"/>
  <c r="E1150" i="3"/>
  <c r="D1150" i="3"/>
  <c r="E1149" i="3"/>
  <c r="D1149" i="3"/>
  <c r="E1144" i="3"/>
  <c r="D1144" i="3"/>
  <c r="E1142" i="3"/>
  <c r="D1142" i="3"/>
  <c r="F1142" i="3" s="1"/>
  <c r="E1140" i="3"/>
  <c r="D1140" i="3"/>
  <c r="E1139" i="3"/>
  <c r="D1139" i="3"/>
  <c r="E1134" i="3"/>
  <c r="D1134" i="3"/>
  <c r="E1129" i="3"/>
  <c r="D1129" i="3"/>
  <c r="F1129" i="3" s="1"/>
  <c r="E1127" i="3"/>
  <c r="D1127" i="3"/>
  <c r="E1126" i="3"/>
  <c r="D1126" i="3"/>
  <c r="E1121" i="3"/>
  <c r="D1121" i="3"/>
  <c r="E1119" i="3"/>
  <c r="D1119" i="3"/>
  <c r="F1119" i="3" s="1"/>
  <c r="E1117" i="3"/>
  <c r="D1117" i="3"/>
  <c r="E1116" i="3"/>
  <c r="D1116" i="3"/>
  <c r="E1115" i="3"/>
  <c r="D1115" i="3"/>
  <c r="E1114" i="3"/>
  <c r="D1114" i="3"/>
  <c r="E1113" i="3"/>
  <c r="D1113" i="3"/>
  <c r="E1108" i="3"/>
  <c r="D1108" i="3"/>
  <c r="E1103" i="3"/>
  <c r="D1103" i="3"/>
  <c r="E1101" i="3"/>
  <c r="D1101" i="3"/>
  <c r="F1101" i="3" s="1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89" i="3"/>
  <c r="D1089" i="3"/>
  <c r="E1087" i="3"/>
  <c r="D1087" i="3"/>
  <c r="E1086" i="3"/>
  <c r="D1086" i="3"/>
  <c r="E1085" i="3"/>
  <c r="D1085" i="3"/>
  <c r="E1084" i="3"/>
  <c r="D1084" i="3"/>
  <c r="E1083" i="3"/>
  <c r="D1083" i="3"/>
  <c r="E1078" i="3"/>
  <c r="D1078" i="3"/>
  <c r="F1078" i="3" s="1"/>
  <c r="E1076" i="3"/>
  <c r="D1076" i="3"/>
  <c r="E1075" i="3"/>
  <c r="D1075" i="3"/>
  <c r="E1074" i="3"/>
  <c r="D1074" i="3"/>
  <c r="E1069" i="3"/>
  <c r="D1069" i="3"/>
  <c r="E1067" i="3"/>
  <c r="D1067" i="3"/>
  <c r="E1066" i="3"/>
  <c r="D1066" i="3"/>
  <c r="E1065" i="3"/>
  <c r="D1065" i="3"/>
  <c r="E1064" i="3"/>
  <c r="D1064" i="3"/>
  <c r="E1063" i="3"/>
  <c r="D1063" i="3"/>
  <c r="E1058" i="3"/>
  <c r="D1058" i="3"/>
  <c r="E1056" i="3"/>
  <c r="D1056" i="3"/>
  <c r="F1056" i="3" s="1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38" i="3"/>
  <c r="D1038" i="3"/>
  <c r="F1038" i="3" s="1"/>
  <c r="E1036" i="3"/>
  <c r="D1036" i="3"/>
  <c r="E1035" i="3"/>
  <c r="D1035" i="3"/>
  <c r="E1034" i="3"/>
  <c r="D1034" i="3"/>
  <c r="E1033" i="3"/>
  <c r="D1033" i="3"/>
  <c r="E1032" i="3"/>
  <c r="D1032" i="3"/>
  <c r="E1027" i="3"/>
  <c r="D1027" i="3"/>
  <c r="E1025" i="3"/>
  <c r="D1025" i="3"/>
  <c r="E1020" i="3"/>
  <c r="D1020" i="3"/>
  <c r="F1020" i="3" s="1"/>
  <c r="E1018" i="3"/>
  <c r="D1018" i="3"/>
  <c r="E1012" i="3"/>
  <c r="D1012" i="3"/>
  <c r="E1007" i="3"/>
  <c r="D1007" i="3"/>
  <c r="F1007" i="3" s="1"/>
  <c r="E1004" i="3"/>
  <c r="D1004" i="3"/>
  <c r="E1003" i="3"/>
  <c r="D1003" i="3"/>
  <c r="E994" i="3"/>
  <c r="D994" i="3"/>
  <c r="E989" i="3"/>
  <c r="D989" i="3"/>
  <c r="F989" i="3" s="1"/>
  <c r="F990" i="3" s="1"/>
  <c r="G96" i="4" s="1"/>
  <c r="E984" i="3"/>
  <c r="D984" i="3"/>
  <c r="F984" i="3" s="1"/>
  <c r="F985" i="3" s="1"/>
  <c r="G95" i="4" s="1"/>
  <c r="E979" i="3"/>
  <c r="D979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46" i="3"/>
  <c r="D946" i="3"/>
  <c r="F946" i="3" s="1"/>
  <c r="E945" i="3"/>
  <c r="D945" i="3"/>
  <c r="E944" i="3"/>
  <c r="D944" i="3"/>
  <c r="E943" i="3"/>
  <c r="D943" i="3"/>
  <c r="F943" i="3" s="1"/>
  <c r="E942" i="3"/>
  <c r="D942" i="3"/>
  <c r="F942" i="3" s="1"/>
  <c r="E941" i="3"/>
  <c r="D941" i="3"/>
  <c r="E940" i="3"/>
  <c r="D940" i="3"/>
  <c r="E935" i="3"/>
  <c r="D935" i="3"/>
  <c r="E934" i="3"/>
  <c r="D934" i="3"/>
  <c r="F934" i="3" s="1"/>
  <c r="E932" i="3"/>
  <c r="D932" i="3"/>
  <c r="E931" i="3"/>
  <c r="D931" i="3"/>
  <c r="E930" i="3"/>
  <c r="D930" i="3"/>
  <c r="E929" i="3"/>
  <c r="D929" i="3"/>
  <c r="E924" i="3"/>
  <c r="D924" i="3"/>
  <c r="E923" i="3"/>
  <c r="D923" i="3"/>
  <c r="E921" i="3"/>
  <c r="D921" i="3"/>
  <c r="E916" i="3"/>
  <c r="D916" i="3"/>
  <c r="E915" i="3"/>
  <c r="D915" i="3"/>
  <c r="E913" i="3"/>
  <c r="D913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3" i="3"/>
  <c r="D883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67" i="3"/>
  <c r="D867" i="3"/>
  <c r="F867" i="3" s="1"/>
  <c r="E866" i="3"/>
  <c r="D866" i="3"/>
  <c r="F866" i="3" s="1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47" i="3"/>
  <c r="D847" i="3"/>
  <c r="F847" i="3" s="1"/>
  <c r="F848" i="3" s="1"/>
  <c r="G84" i="4" s="1"/>
  <c r="E842" i="3"/>
  <c r="D842" i="3"/>
  <c r="E837" i="3"/>
  <c r="D837" i="3"/>
  <c r="E832" i="3"/>
  <c r="D832" i="3"/>
  <c r="F832" i="3" s="1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4" i="3"/>
  <c r="D814" i="3"/>
  <c r="F814" i="3" s="1"/>
  <c r="E812" i="3"/>
  <c r="D812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797" i="3"/>
  <c r="D797" i="3"/>
  <c r="F797" i="3" s="1"/>
  <c r="F798" i="3" s="1"/>
  <c r="G79" i="4" s="1"/>
  <c r="E792" i="3"/>
  <c r="D792" i="3"/>
  <c r="E787" i="3"/>
  <c r="D787" i="3"/>
  <c r="E782" i="3"/>
  <c r="D782" i="3"/>
  <c r="E777" i="3"/>
  <c r="D777" i="3"/>
  <c r="F777" i="3" s="1"/>
  <c r="F778" i="3" s="1"/>
  <c r="G75" i="4" s="1"/>
  <c r="E772" i="3"/>
  <c r="D772" i="3"/>
  <c r="E766" i="3"/>
  <c r="D766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3" i="3"/>
  <c r="D753" i="3"/>
  <c r="E751" i="3"/>
  <c r="D751" i="3"/>
  <c r="E750" i="3"/>
  <c r="D750" i="3"/>
  <c r="E745" i="3"/>
  <c r="D745" i="3"/>
  <c r="F745" i="3" s="1"/>
  <c r="E743" i="3"/>
  <c r="D743" i="3"/>
  <c r="E742" i="3"/>
  <c r="D742" i="3"/>
  <c r="E737" i="3"/>
  <c r="D737" i="3"/>
  <c r="F737" i="3" s="1"/>
  <c r="E735" i="3"/>
  <c r="D735" i="3"/>
  <c r="E734" i="3"/>
  <c r="D734" i="3"/>
  <c r="E733" i="3"/>
  <c r="D733" i="3"/>
  <c r="E732" i="3"/>
  <c r="D732" i="3"/>
  <c r="E731" i="3"/>
  <c r="D731" i="3"/>
  <c r="E730" i="3"/>
  <c r="D730" i="3"/>
  <c r="E725" i="3"/>
  <c r="D725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2" i="3"/>
  <c r="D712" i="3"/>
  <c r="E707" i="3"/>
  <c r="D707" i="3"/>
  <c r="E706" i="3"/>
  <c r="D706" i="3"/>
  <c r="F706" i="3" s="1"/>
  <c r="E704" i="3"/>
  <c r="D704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2" i="3"/>
  <c r="D682" i="3"/>
  <c r="E681" i="3"/>
  <c r="D681" i="3"/>
  <c r="E679" i="3"/>
  <c r="D679" i="3"/>
  <c r="F679" i="3" s="1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5" i="3"/>
  <c r="D645" i="3"/>
  <c r="E644" i="3"/>
  <c r="D644" i="3"/>
  <c r="E643" i="3"/>
  <c r="D643" i="3"/>
  <c r="E641" i="3"/>
  <c r="D641" i="3"/>
  <c r="F641" i="3" s="1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09" i="3"/>
  <c r="D609" i="3"/>
  <c r="E608" i="3"/>
  <c r="D608" i="3"/>
  <c r="F608" i="3" s="1"/>
  <c r="E606" i="3"/>
  <c r="D606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3" i="3"/>
  <c r="D593" i="3"/>
  <c r="E592" i="3"/>
  <c r="D592" i="3"/>
  <c r="E590" i="3"/>
  <c r="D590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5" i="3"/>
  <c r="D575" i="3"/>
  <c r="E574" i="3"/>
  <c r="D574" i="3"/>
  <c r="E572" i="3"/>
  <c r="D572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57" i="3"/>
  <c r="D557" i="3"/>
  <c r="F557" i="3" s="1"/>
  <c r="E556" i="3"/>
  <c r="D556" i="3"/>
  <c r="E554" i="3"/>
  <c r="D554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2" i="3"/>
  <c r="D542" i="3"/>
  <c r="E537" i="3"/>
  <c r="D537" i="3"/>
  <c r="E532" i="3"/>
  <c r="D532" i="3"/>
  <c r="E527" i="3"/>
  <c r="D527" i="3"/>
  <c r="E522" i="3"/>
  <c r="D522" i="3"/>
  <c r="E521" i="3"/>
  <c r="D521" i="3"/>
  <c r="E519" i="3"/>
  <c r="D519" i="3"/>
  <c r="E514" i="3"/>
  <c r="D514" i="3"/>
  <c r="F514" i="3" s="1"/>
  <c r="F515" i="3" s="1"/>
  <c r="G53" i="4" s="1"/>
  <c r="E509" i="3"/>
  <c r="D509" i="3"/>
  <c r="E503" i="3"/>
  <c r="D503" i="3"/>
  <c r="E497" i="3"/>
  <c r="D497" i="3"/>
  <c r="E495" i="3"/>
  <c r="D495" i="3"/>
  <c r="E494" i="3"/>
  <c r="D494" i="3"/>
  <c r="E493" i="3"/>
  <c r="D493" i="3"/>
  <c r="E487" i="3"/>
  <c r="D487" i="3"/>
  <c r="E481" i="3"/>
  <c r="D481" i="3"/>
  <c r="E480" i="3"/>
  <c r="D480" i="3"/>
  <c r="E478" i="3"/>
  <c r="D478" i="3"/>
  <c r="E476" i="3"/>
  <c r="D476" i="3"/>
  <c r="E475" i="3"/>
  <c r="D475" i="3"/>
  <c r="E474" i="3"/>
  <c r="D474" i="3"/>
  <c r="E473" i="3"/>
  <c r="D473" i="3"/>
  <c r="E472" i="3"/>
  <c r="D472" i="3"/>
  <c r="E466" i="3"/>
  <c r="D466" i="3"/>
  <c r="F466" i="3" s="1"/>
  <c r="E465" i="3"/>
  <c r="D465" i="3"/>
  <c r="E464" i="3"/>
  <c r="D464" i="3"/>
  <c r="E462" i="3"/>
  <c r="D462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46" i="3"/>
  <c r="D446" i="3"/>
  <c r="E445" i="3"/>
  <c r="D445" i="3"/>
  <c r="E444" i="3"/>
  <c r="D444" i="3"/>
  <c r="E442" i="3"/>
  <c r="D442" i="3"/>
  <c r="F442" i="3" s="1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28" i="3"/>
  <c r="D428" i="3"/>
  <c r="F428" i="3" s="1"/>
  <c r="E427" i="3"/>
  <c r="D427" i="3"/>
  <c r="E426" i="3"/>
  <c r="D426" i="3"/>
  <c r="E425" i="3"/>
  <c r="D425" i="3"/>
  <c r="E423" i="3"/>
  <c r="D423" i="3"/>
  <c r="F423" i="3" s="1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05" i="3"/>
  <c r="D405" i="3"/>
  <c r="F405" i="3" s="1"/>
  <c r="E404" i="3"/>
  <c r="D404" i="3"/>
  <c r="E403" i="3"/>
  <c r="D403" i="3"/>
  <c r="E402" i="3"/>
  <c r="D402" i="3"/>
  <c r="E400" i="3"/>
  <c r="D400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87" i="3"/>
  <c r="D387" i="3"/>
  <c r="E386" i="3"/>
  <c r="D386" i="3"/>
  <c r="F386" i="3" s="1"/>
  <c r="E385" i="3"/>
  <c r="D385" i="3"/>
  <c r="E383" i="3"/>
  <c r="D383" i="3"/>
  <c r="E381" i="3"/>
  <c r="D381" i="3"/>
  <c r="E380" i="3"/>
  <c r="D380" i="3"/>
  <c r="E379" i="3"/>
  <c r="D379" i="3"/>
  <c r="E378" i="3"/>
  <c r="D378" i="3"/>
  <c r="E377" i="3"/>
  <c r="D377" i="3"/>
  <c r="E371" i="3"/>
  <c r="D371" i="3"/>
  <c r="E370" i="3"/>
  <c r="D370" i="3"/>
  <c r="E369" i="3"/>
  <c r="D369" i="3"/>
  <c r="E367" i="3"/>
  <c r="D367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4" i="3"/>
  <c r="D354" i="3"/>
  <c r="E352" i="3"/>
  <c r="D352" i="3"/>
  <c r="E350" i="3"/>
  <c r="D350" i="3"/>
  <c r="E349" i="3"/>
  <c r="D349" i="3"/>
  <c r="E348" i="3"/>
  <c r="D348" i="3"/>
  <c r="E342" i="3"/>
  <c r="D342" i="3"/>
  <c r="E341" i="3"/>
  <c r="D341" i="3"/>
  <c r="E339" i="3"/>
  <c r="D339" i="3"/>
  <c r="E337" i="3"/>
  <c r="D337" i="3"/>
  <c r="E331" i="3"/>
  <c r="D331" i="3"/>
  <c r="E329" i="3"/>
  <c r="D329" i="3"/>
  <c r="E328" i="3"/>
  <c r="D328" i="3"/>
  <c r="E327" i="3"/>
  <c r="D327" i="3"/>
  <c r="E321" i="3"/>
  <c r="D321" i="3"/>
  <c r="E319" i="3"/>
  <c r="D319" i="3"/>
  <c r="E313" i="3"/>
  <c r="D313" i="3"/>
  <c r="E312" i="3"/>
  <c r="D312" i="3"/>
  <c r="E311" i="3"/>
  <c r="D311" i="3"/>
  <c r="E310" i="3"/>
  <c r="D310" i="3"/>
  <c r="F310" i="3" s="1"/>
  <c r="E309" i="3"/>
  <c r="D309" i="3"/>
  <c r="E308" i="3"/>
  <c r="D308" i="3"/>
  <c r="E307" i="3"/>
  <c r="D307" i="3"/>
  <c r="E305" i="3"/>
  <c r="D305" i="3"/>
  <c r="F305" i="3" s="1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2" i="3"/>
  <c r="D282" i="3"/>
  <c r="E280" i="3"/>
  <c r="D280" i="3"/>
  <c r="E279" i="3"/>
  <c r="D279" i="3"/>
  <c r="E278" i="3"/>
  <c r="D278" i="3"/>
  <c r="E277" i="3"/>
  <c r="D277" i="3"/>
  <c r="E276" i="3"/>
  <c r="D276" i="3"/>
  <c r="E270" i="3"/>
  <c r="D270" i="3"/>
  <c r="E268" i="3"/>
  <c r="D268" i="3"/>
  <c r="E262" i="3"/>
  <c r="D262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49" i="3"/>
  <c r="D249" i="3"/>
  <c r="F249" i="3" s="1"/>
  <c r="E247" i="3"/>
  <c r="D247" i="3"/>
  <c r="E246" i="3"/>
  <c r="D246" i="3"/>
  <c r="E245" i="3"/>
  <c r="D245" i="3"/>
  <c r="E244" i="3"/>
  <c r="D244" i="3"/>
  <c r="E243" i="3"/>
  <c r="D243" i="3"/>
  <c r="E237" i="3"/>
  <c r="D237" i="3"/>
  <c r="E236" i="3"/>
  <c r="D236" i="3"/>
  <c r="E234" i="3"/>
  <c r="D234" i="3"/>
  <c r="F234" i="3" s="1"/>
  <c r="E232" i="3"/>
  <c r="D232" i="3"/>
  <c r="E231" i="3"/>
  <c r="D231" i="3"/>
  <c r="E230" i="3"/>
  <c r="D230" i="3"/>
  <c r="E229" i="3"/>
  <c r="D229" i="3"/>
  <c r="E228" i="3"/>
  <c r="D228" i="3"/>
  <c r="E222" i="3"/>
  <c r="D222" i="3"/>
  <c r="E221" i="3"/>
  <c r="D221" i="3"/>
  <c r="E219" i="3"/>
  <c r="D219" i="3"/>
  <c r="E217" i="3"/>
  <c r="D217" i="3"/>
  <c r="E216" i="3"/>
  <c r="D216" i="3"/>
  <c r="E215" i="3"/>
  <c r="D215" i="3"/>
  <c r="E214" i="3"/>
  <c r="D214" i="3"/>
  <c r="E213" i="3"/>
  <c r="D213" i="3"/>
  <c r="E207" i="3"/>
  <c r="D207" i="3"/>
  <c r="E205" i="3"/>
  <c r="D205" i="3"/>
  <c r="E199" i="3"/>
  <c r="D199" i="3"/>
  <c r="F199" i="3" s="1"/>
  <c r="E197" i="3"/>
  <c r="D197" i="3"/>
  <c r="E195" i="3"/>
  <c r="D195" i="3"/>
  <c r="E194" i="3"/>
  <c r="D194" i="3"/>
  <c r="E193" i="3"/>
  <c r="D193" i="3"/>
  <c r="E186" i="3"/>
  <c r="D186" i="3"/>
  <c r="E184" i="3"/>
  <c r="D184" i="3"/>
  <c r="E182" i="3"/>
  <c r="D182" i="3"/>
  <c r="E181" i="3"/>
  <c r="D181" i="3"/>
  <c r="E180" i="3"/>
  <c r="D180" i="3"/>
  <c r="E174" i="3"/>
  <c r="D174" i="3"/>
  <c r="E172" i="3"/>
  <c r="D172" i="3"/>
  <c r="E170" i="3"/>
  <c r="D170" i="3"/>
  <c r="E164" i="3"/>
  <c r="D164" i="3"/>
  <c r="E162" i="3"/>
  <c r="D162" i="3"/>
  <c r="E152" i="3"/>
  <c r="D152" i="3"/>
  <c r="E146" i="3"/>
  <c r="D146" i="3"/>
  <c r="F146" i="3" s="1"/>
  <c r="F147" i="3" s="1"/>
  <c r="G21" i="4" s="1"/>
  <c r="E140" i="3"/>
  <c r="D140" i="3"/>
  <c r="E134" i="3"/>
  <c r="D134" i="3"/>
  <c r="E128" i="3"/>
  <c r="D128" i="3"/>
  <c r="E126" i="3"/>
  <c r="D126" i="3"/>
  <c r="F126" i="3" s="1"/>
  <c r="E120" i="3"/>
  <c r="D120" i="3"/>
  <c r="E114" i="3"/>
  <c r="D114" i="3"/>
  <c r="E108" i="3"/>
  <c r="D108" i="3"/>
  <c r="E102" i="3"/>
  <c r="D102" i="3"/>
  <c r="E95" i="3"/>
  <c r="D95" i="3"/>
  <c r="E90" i="3"/>
  <c r="D90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4" i="3"/>
  <c r="D74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31" i="3"/>
  <c r="D31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8" i="3"/>
  <c r="D8" i="3"/>
  <c r="F732" i="3" l="1"/>
  <c r="F750" i="3"/>
  <c r="F759" i="3"/>
  <c r="F805" i="3"/>
  <c r="F819" i="3"/>
  <c r="F823" i="3"/>
  <c r="F827" i="3"/>
  <c r="F853" i="3"/>
  <c r="F857" i="3"/>
  <c r="F877" i="3"/>
  <c r="F895" i="3"/>
  <c r="F899" i="3"/>
  <c r="F903" i="3"/>
  <c r="F911" i="3"/>
  <c r="F921" i="3"/>
  <c r="F930" i="3"/>
  <c r="F951" i="3"/>
  <c r="F959" i="3"/>
  <c r="F963" i="3"/>
  <c r="F975" i="3"/>
  <c r="F1025" i="3"/>
  <c r="F1043" i="3"/>
  <c r="F1047" i="3"/>
  <c r="F1065" i="3"/>
  <c r="F1074" i="3"/>
  <c r="F1087" i="3"/>
  <c r="F1096" i="3"/>
  <c r="F1114" i="3"/>
  <c r="F1151" i="3"/>
  <c r="F1174" i="3"/>
  <c r="F1178" i="3"/>
  <c r="F181" i="3"/>
  <c r="F193" i="3"/>
  <c r="F229" i="3"/>
  <c r="F244" i="3"/>
  <c r="F258" i="3"/>
  <c r="F268" i="3"/>
  <c r="F278" i="3"/>
  <c r="F288" i="3"/>
  <c r="F292" i="3"/>
  <c r="F296" i="3"/>
  <c r="F300" i="3"/>
  <c r="F329" i="3"/>
  <c r="F350" i="3"/>
  <c r="F361" i="3"/>
  <c r="F365" i="3"/>
  <c r="F380" i="3"/>
  <c r="F414" i="3"/>
  <c r="F452" i="3"/>
  <c r="F456" i="3"/>
  <c r="F460" i="3"/>
  <c r="F475" i="3"/>
  <c r="F495" i="3"/>
  <c r="F551" i="3"/>
  <c r="F570" i="3"/>
  <c r="F580" i="3"/>
  <c r="F584" i="3"/>
  <c r="F588" i="3"/>
  <c r="F598" i="3"/>
  <c r="F602" i="3"/>
  <c r="F616" i="3"/>
  <c r="F620" i="3"/>
  <c r="F624" i="3"/>
  <c r="F628" i="3"/>
  <c r="F632" i="3"/>
  <c r="F636" i="3"/>
  <c r="F654" i="3"/>
  <c r="F688" i="3"/>
  <c r="F692" i="3"/>
  <c r="F696" i="3"/>
  <c r="F700" i="3"/>
  <c r="F718" i="3"/>
  <c r="F735" i="3"/>
  <c r="F758" i="3"/>
  <c r="F762" i="3"/>
  <c r="F804" i="3"/>
  <c r="F808" i="3"/>
  <c r="F826" i="3"/>
  <c r="F856" i="3"/>
  <c r="F876" i="3"/>
  <c r="F894" i="3"/>
  <c r="F902" i="3"/>
  <c r="F910" i="3"/>
  <c r="F929" i="3"/>
  <c r="F966" i="3"/>
  <c r="F974" i="3"/>
  <c r="F1033" i="3"/>
  <c r="F1046" i="3"/>
  <c r="F1050" i="3"/>
  <c r="F1054" i="3"/>
  <c r="F1064" i="3"/>
  <c r="F1086" i="3"/>
  <c r="F1095" i="3"/>
  <c r="F1099" i="3"/>
  <c r="F1113" i="3"/>
  <c r="F1117" i="3"/>
  <c r="F1127" i="3"/>
  <c r="F1140" i="3"/>
  <c r="F1150" i="3"/>
  <c r="F1164" i="3"/>
  <c r="F1173" i="3"/>
  <c r="F1177" i="3"/>
  <c r="F1187" i="3"/>
  <c r="F1205" i="3"/>
  <c r="F1209" i="3"/>
  <c r="F1227" i="3"/>
  <c r="F1231" i="3"/>
  <c r="F1235" i="3"/>
  <c r="F1239" i="3"/>
  <c r="F1243" i="3"/>
  <c r="F1247" i="3"/>
  <c r="F1251" i="3"/>
  <c r="F967" i="3"/>
  <c r="F638" i="3"/>
  <c r="F644" i="3"/>
  <c r="F652" i="3"/>
  <c r="F656" i="3"/>
  <c r="F660" i="3"/>
  <c r="F664" i="3"/>
  <c r="F668" i="3"/>
  <c r="F672" i="3"/>
  <c r="F676" i="3"/>
  <c r="F682" i="3"/>
  <c r="F690" i="3"/>
  <c r="F698" i="3"/>
  <c r="F702" i="3"/>
  <c r="F720" i="3"/>
  <c r="F733" i="3"/>
  <c r="F760" i="3"/>
  <c r="F764" i="3"/>
  <c r="F806" i="3"/>
  <c r="F824" i="3"/>
  <c r="F828" i="3"/>
  <c r="F854" i="3"/>
  <c r="F858" i="3"/>
  <c r="F862" i="3"/>
  <c r="F874" i="3"/>
  <c r="F892" i="3"/>
  <c r="F896" i="3"/>
  <c r="F900" i="3"/>
  <c r="F904" i="3"/>
  <c r="F923" i="3"/>
  <c r="F931" i="3"/>
  <c r="F940" i="3"/>
  <c r="F952" i="3"/>
  <c r="F956" i="3"/>
  <c r="F960" i="3"/>
  <c r="F964" i="3"/>
  <c r="F968" i="3"/>
  <c r="F972" i="3"/>
  <c r="F976" i="3"/>
  <c r="F1035" i="3"/>
  <c r="F1044" i="3"/>
  <c r="F1048" i="3"/>
  <c r="F1058" i="3"/>
  <c r="F1066" i="3"/>
  <c r="F1075" i="3"/>
  <c r="F1084" i="3"/>
  <c r="F1097" i="3"/>
  <c r="F1115" i="3"/>
  <c r="F1121" i="3"/>
  <c r="F1144" i="3"/>
  <c r="F1152" i="3"/>
  <c r="F1171" i="3"/>
  <c r="F1189" i="3"/>
  <c r="F1203" i="3"/>
  <c r="F1207" i="3"/>
  <c r="F1211" i="3"/>
  <c r="F1217" i="3"/>
  <c r="F1225" i="3"/>
  <c r="F1233" i="3"/>
  <c r="F1237" i="3"/>
  <c r="F1241" i="3"/>
  <c r="F1249" i="3"/>
  <c r="F1253" i="3"/>
  <c r="F1259" i="3"/>
  <c r="F725" i="3"/>
  <c r="F837" i="3"/>
  <c r="F838" i="3" s="1"/>
  <c r="G82" i="4" s="1"/>
  <c r="F883" i="3"/>
  <c r="F913" i="3"/>
  <c r="F994" i="3"/>
  <c r="F995" i="3" s="1"/>
  <c r="G97" i="4" s="1"/>
  <c r="F1012" i="3"/>
  <c r="F1013" i="3" s="1"/>
  <c r="G101" i="4" s="1"/>
  <c r="F1180" i="3"/>
  <c r="F1194" i="3"/>
  <c r="F71" i="3"/>
  <c r="F763" i="3"/>
  <c r="F861" i="3"/>
  <c r="F881" i="3"/>
  <c r="F971" i="3"/>
  <c r="F1188" i="3"/>
  <c r="F1192" i="3"/>
  <c r="F1202" i="3"/>
  <c r="F1206" i="3"/>
  <c r="F1216" i="3"/>
  <c r="F1224" i="3"/>
  <c r="F1228" i="3"/>
  <c r="F1236" i="3"/>
  <c r="F1240" i="3"/>
  <c r="F1244" i="3"/>
  <c r="F1252" i="3"/>
  <c r="F17" i="3"/>
  <c r="F21" i="3"/>
  <c r="F25" i="3"/>
  <c r="F29" i="3"/>
  <c r="F446" i="3"/>
  <c r="F455" i="3"/>
  <c r="F465" i="3"/>
  <c r="F474" i="3"/>
  <c r="F480" i="3"/>
  <c r="F509" i="3"/>
  <c r="F510" i="3" s="1"/>
  <c r="G52" i="4" s="1"/>
  <c r="F522" i="3"/>
  <c r="F542" i="3"/>
  <c r="F543" i="3" s="1"/>
  <c r="G58" i="4" s="1"/>
  <c r="F565" i="3"/>
  <c r="F569" i="3"/>
  <c r="F583" i="3"/>
  <c r="F587" i="3"/>
  <c r="F601" i="3"/>
  <c r="F606" i="3"/>
  <c r="F619" i="3"/>
  <c r="F627" i="3"/>
  <c r="F635" i="3"/>
  <c r="F645" i="3"/>
  <c r="F653" i="3"/>
  <c r="F661" i="3"/>
  <c r="F665" i="3"/>
  <c r="F669" i="3"/>
  <c r="F673" i="3"/>
  <c r="F677" i="3"/>
  <c r="F687" i="3"/>
  <c r="F691" i="3"/>
  <c r="F695" i="3"/>
  <c r="F699" i="3"/>
  <c r="F704" i="3"/>
  <c r="F717" i="3"/>
  <c r="F730" i="3"/>
  <c r="F734" i="3"/>
  <c r="F743" i="3"/>
  <c r="F766" i="3"/>
  <c r="F787" i="3"/>
  <c r="F788" i="3" s="1"/>
  <c r="G77" i="4" s="1"/>
  <c r="F803" i="3"/>
  <c r="F807" i="3"/>
  <c r="F812" i="3"/>
  <c r="F842" i="3"/>
  <c r="F843" i="3" s="1"/>
  <c r="G83" i="4" s="1"/>
  <c r="F855" i="3"/>
  <c r="F863" i="3"/>
  <c r="F875" i="3"/>
  <c r="F889" i="3"/>
  <c r="F893" i="3"/>
  <c r="F897" i="3"/>
  <c r="F901" i="3"/>
  <c r="F909" i="3"/>
  <c r="F915" i="3"/>
  <c r="F924" i="3"/>
  <c r="F932" i="3"/>
  <c r="F941" i="3"/>
  <c r="F953" i="3"/>
  <c r="F957" i="3"/>
  <c r="F961" i="3"/>
  <c r="F965" i="3"/>
  <c r="F973" i="3"/>
  <c r="F979" i="3"/>
  <c r="F1003" i="3"/>
  <c r="F1018" i="3"/>
  <c r="F1021" i="3" s="1"/>
  <c r="G103" i="4" s="1"/>
  <c r="F1032" i="3"/>
  <c r="F1036" i="3"/>
  <c r="F1045" i="3"/>
  <c r="F1049" i="3"/>
  <c r="F1053" i="3"/>
  <c r="F1063" i="3"/>
  <c r="F1067" i="3"/>
  <c r="F1076" i="3"/>
  <c r="F1085" i="3"/>
  <c r="F1094" i="3"/>
  <c r="F1098" i="3"/>
  <c r="F1108" i="3"/>
  <c r="F1109" i="3" s="1"/>
  <c r="G111" i="4" s="1"/>
  <c r="F1116" i="3"/>
  <c r="F1126" i="3"/>
  <c r="F1130" i="3" s="1"/>
  <c r="G113" i="4" s="1"/>
  <c r="F1139" i="3"/>
  <c r="F1145" i="3" s="1"/>
  <c r="G115" i="4" s="1"/>
  <c r="F1149" i="3"/>
  <c r="F1153" i="3"/>
  <c r="F1163" i="3"/>
  <c r="F1176" i="3"/>
  <c r="F1186" i="3"/>
  <c r="F1190" i="3"/>
  <c r="F1204" i="3"/>
  <c r="F1208" i="3"/>
  <c r="F1212" i="3"/>
  <c r="F1218" i="3"/>
  <c r="F1226" i="3"/>
  <c r="F1230" i="3"/>
  <c r="F1234" i="3"/>
  <c r="F1238" i="3"/>
  <c r="F1242" i="3"/>
  <c r="F1246" i="3"/>
  <c r="F1250" i="3"/>
  <c r="F1254" i="3"/>
  <c r="F47" i="3"/>
  <c r="F51" i="3"/>
  <c r="F55" i="3"/>
  <c r="F59" i="3"/>
  <c r="F63" i="3"/>
  <c r="F67" i="3"/>
  <c r="F16" i="3"/>
  <c r="F24" i="3"/>
  <c r="F28" i="3"/>
  <c r="F81" i="3"/>
  <c r="F85" i="3"/>
  <c r="F90" i="3"/>
  <c r="F114" i="3"/>
  <c r="F115" i="3" s="1"/>
  <c r="G16" i="4" s="1"/>
  <c r="F174" i="3"/>
  <c r="F184" i="3"/>
  <c r="F207" i="3"/>
  <c r="F216" i="3"/>
  <c r="F222" i="3"/>
  <c r="F231" i="3"/>
  <c r="F237" i="3"/>
  <c r="F276" i="3"/>
  <c r="F280" i="3"/>
  <c r="F290" i="3"/>
  <c r="F294" i="3"/>
  <c r="F298" i="3"/>
  <c r="F308" i="3"/>
  <c r="F312" i="3"/>
  <c r="F327" i="3"/>
  <c r="F348" i="3"/>
  <c r="F354" i="3"/>
  <c r="F363" i="3"/>
  <c r="F369" i="3"/>
  <c r="F378" i="3"/>
  <c r="F383" i="3"/>
  <c r="F403" i="3"/>
  <c r="F416" i="3"/>
  <c r="F420" i="3"/>
  <c r="F426" i="3"/>
  <c r="F435" i="3"/>
  <c r="F454" i="3"/>
  <c r="F464" i="3"/>
  <c r="F473" i="3"/>
  <c r="F478" i="3"/>
  <c r="F503" i="3"/>
  <c r="F504" i="3" s="1"/>
  <c r="G50" i="4" s="1"/>
  <c r="F521" i="3"/>
  <c r="F537" i="3"/>
  <c r="F538" i="3" s="1"/>
  <c r="G57" i="4" s="1"/>
  <c r="F549" i="3"/>
  <c r="F554" i="3"/>
  <c r="F564" i="3"/>
  <c r="F568" i="3"/>
  <c r="F582" i="3"/>
  <c r="F586" i="3"/>
  <c r="F592" i="3"/>
  <c r="F600" i="3"/>
  <c r="F618" i="3"/>
  <c r="F626" i="3"/>
  <c r="F634" i="3"/>
  <c r="F908" i="3"/>
  <c r="F49" i="3"/>
  <c r="F53" i="3"/>
  <c r="F57" i="3"/>
  <c r="F65" i="3"/>
  <c r="F69" i="3"/>
  <c r="F74" i="3"/>
  <c r="F82" i="3"/>
  <c r="F86" i="3"/>
  <c r="F95" i="3"/>
  <c r="F96" i="3" s="1"/>
  <c r="G12" i="4" s="1"/>
  <c r="F120" i="3"/>
  <c r="F121" i="3" s="1"/>
  <c r="G17" i="4" s="1"/>
  <c r="F140" i="3"/>
  <c r="F141" i="3" s="1"/>
  <c r="G20" i="4" s="1"/>
  <c r="F180" i="3"/>
  <c r="F186" i="3"/>
  <c r="F197" i="3"/>
  <c r="F213" i="3"/>
  <c r="F217" i="3"/>
  <c r="F228" i="3"/>
  <c r="F232" i="3"/>
  <c r="F243" i="3"/>
  <c r="F247" i="3"/>
  <c r="F257" i="3"/>
  <c r="F262" i="3"/>
  <c r="F299" i="3"/>
  <c r="F309" i="3"/>
  <c r="F313" i="3"/>
  <c r="F328" i="3"/>
  <c r="F339" i="3"/>
  <c r="F349" i="3"/>
  <c r="F360" i="3"/>
  <c r="F364" i="3"/>
  <c r="F370" i="3"/>
  <c r="F385" i="3"/>
  <c r="F394" i="3"/>
  <c r="F398" i="3"/>
  <c r="F404" i="3"/>
  <c r="F413" i="3"/>
  <c r="F417" i="3"/>
  <c r="F421" i="3"/>
  <c r="F427" i="3"/>
  <c r="F436" i="3"/>
  <c r="F52" i="3"/>
  <c r="F56" i="3"/>
  <c r="F60" i="3"/>
  <c r="F68" i="3"/>
  <c r="F72" i="3"/>
  <c r="F80" i="3"/>
  <c r="F84" i="3"/>
  <c r="F88" i="3"/>
  <c r="F108" i="3"/>
  <c r="F109" i="3" s="1"/>
  <c r="G15" i="4" s="1"/>
  <c r="F128" i="3"/>
  <c r="F129" i="3" s="1"/>
  <c r="G18" i="4" s="1"/>
  <c r="F152" i="3"/>
  <c r="F153" i="3" s="1"/>
  <c r="G22" i="4" s="1"/>
  <c r="F172" i="3"/>
  <c r="F194" i="3"/>
  <c r="F205" i="3"/>
  <c r="F208" i="3" s="1"/>
  <c r="G29" i="4" s="1"/>
  <c r="F215" i="3"/>
  <c r="F221" i="3"/>
  <c r="F255" i="3"/>
  <c r="F259" i="3"/>
  <c r="F270" i="3"/>
  <c r="F271" i="3" s="1"/>
  <c r="G34" i="4" s="1"/>
  <c r="F279" i="3"/>
  <c r="F289" i="3"/>
  <c r="F297" i="3"/>
  <c r="F342" i="3"/>
  <c r="F367" i="3"/>
  <c r="F387" i="3"/>
  <c r="F396" i="3"/>
  <c r="F402" i="3"/>
  <c r="F415" i="3"/>
  <c r="F425" i="3"/>
  <c r="F434" i="3"/>
  <c r="F444" i="3"/>
  <c r="F453" i="3"/>
  <c r="F462" i="3"/>
  <c r="F476" i="3"/>
  <c r="F487" i="3"/>
  <c r="F488" i="3" s="1"/>
  <c r="G48" i="4" s="1"/>
  <c r="F497" i="3"/>
  <c r="F519" i="3"/>
  <c r="F532" i="3"/>
  <c r="F533" i="3" s="1"/>
  <c r="G56" i="4" s="1"/>
  <c r="F548" i="3"/>
  <c r="F563" i="3"/>
  <c r="F567" i="3"/>
  <c r="F572" i="3"/>
  <c r="F581" i="3"/>
  <c r="F590" i="3"/>
  <c r="F599" i="3"/>
  <c r="F603" i="3"/>
  <c r="F609" i="3"/>
  <c r="F617" i="3"/>
  <c r="F625" i="3"/>
  <c r="F629" i="3"/>
  <c r="F633" i="3"/>
  <c r="F637" i="3"/>
  <c r="F643" i="3"/>
  <c r="F651" i="3"/>
  <c r="F655" i="3"/>
  <c r="F663" i="3"/>
  <c r="F671" i="3"/>
  <c r="F675" i="3"/>
  <c r="F681" i="3"/>
  <c r="F689" i="3"/>
  <c r="F697" i="3"/>
  <c r="F707" i="3"/>
  <c r="F719" i="3"/>
  <c r="F723" i="3"/>
  <c r="F527" i="3"/>
  <c r="F528" i="3" s="1"/>
  <c r="G55" i="4" s="1"/>
  <c r="F15" i="3"/>
  <c r="F19" i="3"/>
  <c r="F23" i="3"/>
  <c r="F27" i="3"/>
  <c r="F260" i="3"/>
  <c r="F1051" i="3"/>
  <c r="F1069" i="3"/>
  <c r="F547" i="3"/>
  <c r="F694" i="3"/>
  <c r="F291" i="3"/>
  <c r="F810" i="3"/>
  <c r="F650" i="3"/>
  <c r="F674" i="3"/>
  <c r="F753" i="3"/>
  <c r="F412" i="3"/>
  <c r="F659" i="3"/>
  <c r="F829" i="3"/>
  <c r="F58" i="3"/>
  <c r="F62" i="3"/>
  <c r="F164" i="3"/>
  <c r="F1229" i="3"/>
  <c r="F87" i="3"/>
  <c r="F331" i="3"/>
  <c r="F439" i="3"/>
  <c r="F445" i="3"/>
  <c r="F256" i="3"/>
  <c r="F550" i="3"/>
  <c r="F958" i="3"/>
  <c r="F230" i="3"/>
  <c r="F311" i="3"/>
  <c r="F860" i="3"/>
  <c r="F891" i="3"/>
  <c r="F898" i="3"/>
  <c r="F802" i="3"/>
  <c r="F66" i="3"/>
  <c r="F236" i="3"/>
  <c r="F293" i="3"/>
  <c r="F440" i="3"/>
  <c r="F494" i="3"/>
  <c r="F18" i="3"/>
  <c r="F70" i="3"/>
  <c r="F701" i="3"/>
  <c r="F782" i="3"/>
  <c r="F783" i="3" s="1"/>
  <c r="G76" i="4" s="1"/>
  <c r="F821" i="3"/>
  <c r="F437" i="3"/>
  <c r="F459" i="3"/>
  <c r="F945" i="3"/>
  <c r="F1210" i="3"/>
  <c r="F31" i="3"/>
  <c r="F722" i="3"/>
  <c r="F880" i="3"/>
  <c r="F890" i="3"/>
  <c r="F907" i="3"/>
  <c r="F916" i="3"/>
  <c r="F8" i="3"/>
  <c r="F10" i="3" s="1"/>
  <c r="G6" i="4" s="1"/>
  <c r="F50" i="3"/>
  <c r="F79" i="3"/>
  <c r="F302" i="3"/>
  <c r="F321" i="3"/>
  <c r="F400" i="3"/>
  <c r="F666" i="3"/>
  <c r="F731" i="3"/>
  <c r="F742" i="3"/>
  <c r="F970" i="3"/>
  <c r="F1004" i="3"/>
  <c r="F14" i="3"/>
  <c r="F631" i="3"/>
  <c r="F761" i="3"/>
  <c r="F170" i="3"/>
  <c r="F419" i="3"/>
  <c r="F481" i="3"/>
  <c r="F615" i="3"/>
  <c r="F621" i="3"/>
  <c r="F721" i="3"/>
  <c r="F906" i="3"/>
  <c r="F22" i="3"/>
  <c r="F377" i="3"/>
  <c r="F26" i="3"/>
  <c r="F395" i="3"/>
  <c r="F1027" i="3"/>
  <c r="F1028" i="3" s="1"/>
  <c r="G104" i="4" s="1"/>
  <c r="F195" i="3"/>
  <c r="F352" i="3"/>
  <c r="F457" i="3"/>
  <c r="F493" i="3"/>
  <c r="F556" i="3"/>
  <c r="F593" i="3"/>
  <c r="F667" i="3"/>
  <c r="F830" i="3"/>
  <c r="F954" i="3"/>
  <c r="F955" i="3"/>
  <c r="F962" i="3"/>
  <c r="F1191" i="3"/>
  <c r="F182" i="3"/>
  <c r="F214" i="3"/>
  <c r="F277" i="3"/>
  <c r="F362" i="3"/>
  <c r="F379" i="3"/>
  <c r="F411" i="3"/>
  <c r="F604" i="3"/>
  <c r="F623" i="3"/>
  <c r="F639" i="3"/>
  <c r="F658" i="3"/>
  <c r="F693" i="3"/>
  <c r="F712" i="3"/>
  <c r="F713" i="3" s="1"/>
  <c r="G67" i="4" s="1"/>
  <c r="F751" i="3"/>
  <c r="F825" i="3"/>
  <c r="F859" i="3"/>
  <c r="F54" i="3"/>
  <c r="F61" i="3"/>
  <c r="F83" i="3"/>
  <c r="F219" i="3"/>
  <c r="F246" i="3"/>
  <c r="F282" i="3"/>
  <c r="F301" i="3"/>
  <c r="F307" i="3"/>
  <c r="F397" i="3"/>
  <c r="F552" i="3"/>
  <c r="F566" i="3"/>
  <c r="F574" i="3"/>
  <c r="F585" i="3"/>
  <c r="F662" i="3"/>
  <c r="F772" i="3"/>
  <c r="F773" i="3" s="1"/>
  <c r="G74" i="4" s="1"/>
  <c r="F792" i="3"/>
  <c r="F793" i="3" s="1"/>
  <c r="G78" i="4" s="1"/>
  <c r="F822" i="3"/>
  <c r="F879" i="3"/>
  <c r="F1089" i="3"/>
  <c r="F1172" i="3"/>
  <c r="F1162" i="3"/>
  <c r="F1245" i="3"/>
  <c r="F20" i="3"/>
  <c r="F48" i="3"/>
  <c r="F64" i="3"/>
  <c r="F319" i="3"/>
  <c r="F134" i="3"/>
  <c r="F135" i="3" s="1"/>
  <c r="G19" i="4" s="1"/>
  <c r="F162" i="3"/>
  <c r="F245" i="3"/>
  <c r="F341" i="3"/>
  <c r="F371" i="3"/>
  <c r="F670" i="3"/>
  <c r="F102" i="3"/>
  <c r="F103" i="3" s="1"/>
  <c r="G14" i="4" s="1"/>
  <c r="F418" i="3"/>
  <c r="F472" i="3"/>
  <c r="F337" i="3"/>
  <c r="F438" i="3"/>
  <c r="F622" i="3"/>
  <c r="F809" i="3"/>
  <c r="F1134" i="3"/>
  <c r="F1135" i="3" s="1"/>
  <c r="G114" i="4" s="1"/>
  <c r="F303" i="3"/>
  <c r="F393" i="3"/>
  <c r="F458" i="3"/>
  <c r="F614" i="3"/>
  <c r="F944" i="3"/>
  <c r="F969" i="3"/>
  <c r="F1034" i="3"/>
  <c r="F1052" i="3"/>
  <c r="F1175" i="3"/>
  <c r="F1196" i="3"/>
  <c r="F1214" i="3"/>
  <c r="F1232" i="3"/>
  <c r="F1248" i="3"/>
  <c r="F295" i="3"/>
  <c r="F381" i="3"/>
  <c r="F575" i="3"/>
  <c r="F657" i="3"/>
  <c r="F820" i="3"/>
  <c r="F905" i="3"/>
  <c r="F630" i="3"/>
  <c r="F878" i="3"/>
  <c r="F935" i="3"/>
  <c r="F1083" i="3"/>
  <c r="F1103" i="3"/>
  <c r="F1166" i="3"/>
  <c r="F925" i="3" l="1"/>
  <c r="G91" i="4" s="1"/>
  <c r="F1079" i="3"/>
  <c r="G108" i="4" s="1"/>
  <c r="F936" i="3"/>
  <c r="G92" i="4" s="1"/>
  <c r="F754" i="3"/>
  <c r="G71" i="4" s="1"/>
  <c r="F1122" i="3"/>
  <c r="G112" i="4" s="1"/>
  <c r="F869" i="3"/>
  <c r="G86" i="4" s="1"/>
  <c r="F165" i="3"/>
  <c r="G24" i="4" s="1"/>
  <c r="F1158" i="3"/>
  <c r="G116" i="4" s="1"/>
  <c r="F1090" i="3"/>
  <c r="G109" i="4" s="1"/>
  <c r="F238" i="3"/>
  <c r="G31" i="4" s="1"/>
  <c r="F738" i="3"/>
  <c r="G69" i="4" s="1"/>
  <c r="F884" i="3"/>
  <c r="G88" i="4" s="1"/>
  <c r="F467" i="3"/>
  <c r="G46" i="4" s="1"/>
  <c r="F767" i="3"/>
  <c r="G72" i="4" s="1"/>
  <c r="F833" i="3"/>
  <c r="G81" i="4" s="1"/>
  <c r="F610" i="3"/>
  <c r="G63" i="4" s="1"/>
  <c r="F314" i="3"/>
  <c r="G36" i="4" s="1"/>
  <c r="F200" i="3"/>
  <c r="G28" i="4" s="1"/>
  <c r="F947" i="3"/>
  <c r="G93" i="4" s="1"/>
  <c r="F594" i="3"/>
  <c r="G62" i="4" s="1"/>
  <c r="F263" i="3"/>
  <c r="G33" i="4" s="1"/>
  <c r="F1059" i="3"/>
  <c r="G106" i="4" s="1"/>
  <c r="F1181" i="3"/>
  <c r="G118" i="4" s="1"/>
  <c r="F746" i="3"/>
  <c r="G70" i="4" s="1"/>
  <c r="F558" i="3"/>
  <c r="G59" i="4" s="1"/>
  <c r="F980" i="3"/>
  <c r="G94" i="4" s="1"/>
  <c r="F1198" i="3"/>
  <c r="G120" i="4" s="1"/>
  <c r="F343" i="3"/>
  <c r="G39" i="4" s="1"/>
  <c r="F1167" i="3"/>
  <c r="G117" i="4" s="1"/>
  <c r="F322" i="3"/>
  <c r="G37" i="4" s="1"/>
  <c r="F175" i="3"/>
  <c r="G25" i="4" s="1"/>
  <c r="F482" i="3"/>
  <c r="G47" i="4" s="1"/>
  <c r="F223" i="3"/>
  <c r="G30" i="4" s="1"/>
  <c r="F75" i="3"/>
  <c r="G10" i="4" s="1"/>
  <c r="F1104" i="3"/>
  <c r="G110" i="4" s="1"/>
  <c r="F576" i="3"/>
  <c r="G61" i="4" s="1"/>
  <c r="F726" i="3"/>
  <c r="G68" i="4" s="1"/>
  <c r="F406" i="3"/>
  <c r="G43" i="4" s="1"/>
  <c r="F388" i="3"/>
  <c r="G42" i="4" s="1"/>
  <c r="F447" i="3"/>
  <c r="G45" i="4" s="1"/>
  <c r="F1039" i="3"/>
  <c r="G105" i="4" s="1"/>
  <c r="F1220" i="3"/>
  <c r="F646" i="3"/>
  <c r="G64" i="4" s="1"/>
  <c r="F498" i="3"/>
  <c r="G49" i="4" s="1"/>
  <c r="F372" i="3"/>
  <c r="G41" i="4" s="1"/>
  <c r="F187" i="3"/>
  <c r="G26" i="4" s="1"/>
  <c r="F1008" i="3"/>
  <c r="G100" i="4" s="1"/>
  <c r="F683" i="3"/>
  <c r="G65" i="4" s="1"/>
  <c r="F917" i="3"/>
  <c r="G90" i="4" s="1"/>
  <c r="F429" i="3"/>
  <c r="G44" i="4" s="1"/>
  <c r="F32" i="3"/>
  <c r="G7" i="4" s="1"/>
  <c r="F815" i="3"/>
  <c r="G80" i="4" s="1"/>
  <c r="F250" i="3"/>
  <c r="G32" i="4" s="1"/>
  <c r="F355" i="3"/>
  <c r="G40" i="4" s="1"/>
  <c r="F283" i="3"/>
  <c r="G35" i="4" s="1"/>
  <c r="F1070" i="3"/>
  <c r="G107" i="4" s="1"/>
  <c r="F708" i="3"/>
  <c r="G66" i="4" s="1"/>
  <c r="F1261" i="3"/>
  <c r="F523" i="3"/>
  <c r="G54" i="4" s="1"/>
  <c r="F91" i="3"/>
  <c r="G11" i="4" s="1"/>
  <c r="F332" i="3"/>
  <c r="G38" i="4" s="1"/>
  <c r="G122" i="4" l="1"/>
  <c r="G121" i="4"/>
  <c r="Q2178" i="1" l="1"/>
  <c r="Q2143" i="1"/>
  <c r="O2145" i="1"/>
  <c r="K2145" i="1"/>
  <c r="G2145" i="1"/>
  <c r="I2146" i="1"/>
  <c r="K2146" i="1" s="1"/>
  <c r="O2147" i="1"/>
  <c r="O2146" i="1"/>
  <c r="O2144" i="1"/>
  <c r="O2148" i="1"/>
  <c r="O2142" i="1"/>
  <c r="O2143" i="1"/>
  <c r="K2147" i="1"/>
  <c r="K2144" i="1"/>
  <c r="K2148" i="1"/>
  <c r="K2142" i="1"/>
  <c r="K2143" i="1"/>
  <c r="G2147" i="1"/>
  <c r="G2146" i="1"/>
  <c r="G2144" i="1"/>
  <c r="G2148" i="1"/>
  <c r="G2142" i="1"/>
  <c r="G2143" i="1"/>
  <c r="I2151" i="1" l="1"/>
  <c r="O2154" i="1"/>
  <c r="K2154" i="1"/>
  <c r="G2154" i="1"/>
  <c r="O2152" i="1"/>
  <c r="K2152" i="1"/>
  <c r="G2152" i="1"/>
  <c r="O2151" i="1"/>
  <c r="G2151" i="1"/>
  <c r="O2149" i="1"/>
  <c r="K2149" i="1"/>
  <c r="G2149" i="1"/>
  <c r="O2141" i="1"/>
  <c r="K2141" i="1"/>
  <c r="G2141" i="1"/>
  <c r="Q2179" i="1"/>
  <c r="Q2167" i="1"/>
  <c r="Q2168" i="1"/>
  <c r="Q2169" i="1"/>
  <c r="Q2170" i="1"/>
  <c r="Q2171" i="1"/>
  <c r="Q2172" i="1"/>
  <c r="Q2166" i="1"/>
  <c r="Q2125" i="1"/>
  <c r="Q2124" i="1"/>
  <c r="Q2041" i="1"/>
  <c r="Q2035" i="1"/>
  <c r="Q2034" i="1"/>
  <c r="Q2091" i="1"/>
  <c r="Q2088" i="1"/>
  <c r="Q2085" i="1"/>
  <c r="Q2084" i="1"/>
  <c r="Q2145" i="1" l="1"/>
  <c r="Q2148" i="1"/>
  <c r="Q2147" i="1"/>
  <c r="Q2146" i="1"/>
  <c r="Q2141" i="1"/>
  <c r="Q2142" i="1"/>
  <c r="Q2144" i="1"/>
  <c r="K2151" i="1"/>
  <c r="K2156" i="1" s="1"/>
  <c r="K2157" i="1" s="1"/>
  <c r="G2156" i="1"/>
  <c r="G2157" i="1" s="1"/>
  <c r="O2156" i="1"/>
  <c r="O2157" i="1" s="1"/>
  <c r="Q1995" i="1"/>
  <c r="Q1996" i="1"/>
  <c r="Q2005" i="1"/>
  <c r="Q1997" i="1"/>
  <c r="Q1998" i="1"/>
  <c r="Q1999" i="1"/>
  <c r="Q1994" i="1"/>
  <c r="Q1975" i="1"/>
  <c r="Q1976" i="1"/>
  <c r="Q1977" i="1"/>
  <c r="Q1978" i="1"/>
  <c r="Q1974" i="1"/>
  <c r="Q1584" i="1" l="1"/>
  <c r="Q1585" i="1"/>
  <c r="Q1586" i="1"/>
  <c r="Q1587" i="1"/>
  <c r="Q1588" i="1"/>
  <c r="Q1589" i="1"/>
  <c r="Q1590" i="1"/>
  <c r="Q1583" i="1"/>
  <c r="G1589" i="1"/>
  <c r="K1589" i="1"/>
  <c r="O1589" i="1"/>
  <c r="G1590" i="1"/>
  <c r="K1590" i="1"/>
  <c r="O1590" i="1"/>
  <c r="Q1570" i="1"/>
  <c r="Q1569" i="1"/>
  <c r="Q1564" i="1"/>
  <c r="Q1562" i="1"/>
  <c r="Q1563" i="1"/>
  <c r="Q1560" i="1"/>
  <c r="Q1559" i="1"/>
  <c r="Q1558" i="1"/>
  <c r="Q1557" i="1"/>
  <c r="Q1556" i="1"/>
  <c r="Q1555" i="1"/>
  <c r="Q1554" i="1"/>
  <c r="I1561" i="1" l="1"/>
  <c r="Q1561" i="1" s="1"/>
  <c r="Q1491" i="1"/>
  <c r="Q1490" i="1"/>
  <c r="Q1489" i="1"/>
  <c r="Q1488" i="1"/>
  <c r="Q1487" i="1"/>
  <c r="Q1486" i="1"/>
  <c r="Q1485" i="1"/>
  <c r="Q1484" i="1"/>
  <c r="Q1482" i="1"/>
  <c r="Q1483" i="1"/>
  <c r="Q1481" i="1"/>
  <c r="Q1480" i="1"/>
  <c r="Q1458" i="1"/>
  <c r="Q1470" i="1"/>
  <c r="Q1464" i="1"/>
  <c r="Q1463" i="1"/>
  <c r="Q1462" i="1"/>
  <c r="Q1461" i="1"/>
  <c r="Q1460" i="1"/>
  <c r="Q1459" i="1"/>
  <c r="Q1457" i="1"/>
  <c r="Q1456" i="1"/>
  <c r="Q1348" i="1"/>
  <c r="Q1347" i="1"/>
  <c r="Q1346" i="1"/>
  <c r="Q1345" i="1"/>
  <c r="Q1344" i="1"/>
  <c r="Q1343" i="1"/>
  <c r="Q1342" i="1"/>
  <c r="Q1309" i="1" l="1"/>
  <c r="Q1308" i="1"/>
  <c r="Q1292" i="1"/>
  <c r="Q1291" i="1"/>
  <c r="Q1290" i="1"/>
  <c r="Q1289" i="1"/>
  <c r="Q1288" i="1"/>
  <c r="Q1287" i="1"/>
  <c r="Q1271" i="1" l="1"/>
  <c r="Q1270" i="1"/>
  <c r="Q1269" i="1"/>
  <c r="Q1268" i="1"/>
  <c r="Q1267" i="1"/>
  <c r="Q1266" i="1"/>
  <c r="Q1265" i="1"/>
  <c r="Q1240" i="1"/>
  <c r="Q1239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07" i="1"/>
  <c r="Q1206" i="1"/>
  <c r="Q1200" i="1"/>
  <c r="Q1198" i="1"/>
  <c r="Q1199" i="1"/>
  <c r="Q1197" i="1"/>
  <c r="Q1196" i="1"/>
  <c r="Q1195" i="1"/>
  <c r="Q1194" i="1"/>
  <c r="Q1193" i="1"/>
  <c r="Q1192" i="1"/>
  <c r="Q1191" i="1"/>
  <c r="Q1190" i="1"/>
  <c r="Q1189" i="1"/>
  <c r="Q1188" i="1"/>
  <c r="Q1187" i="1"/>
  <c r="Q1185" i="1"/>
  <c r="Q1186" i="1"/>
  <c r="Q1184" i="1"/>
  <c r="Q1183" i="1"/>
  <c r="Q1182" i="1"/>
  <c r="Q1181" i="1"/>
  <c r="Q1180" i="1"/>
  <c r="Q1173" i="1"/>
  <c r="Q1179" i="1"/>
  <c r="Q1178" i="1"/>
  <c r="Q1177" i="1"/>
  <c r="Q1176" i="1"/>
  <c r="Q1175" i="1"/>
  <c r="Q1174" i="1"/>
  <c r="Q610" i="1" l="1"/>
  <c r="Q579" i="1"/>
  <c r="Q597" i="1" s="1"/>
  <c r="Q1162" i="1" l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61" i="1"/>
  <c r="Q1160" i="1"/>
  <c r="Q1112" i="1"/>
  <c r="Q1111" i="1"/>
  <c r="Q1110" i="1"/>
  <c r="Q1108" i="1"/>
  <c r="Q1119" i="1"/>
  <c r="Q1118" i="1"/>
  <c r="Q1109" i="1"/>
  <c r="Q1106" i="1"/>
  <c r="Q843" i="1"/>
  <c r="Q842" i="1"/>
  <c r="Q840" i="1"/>
  <c r="Q839" i="1"/>
  <c r="Q1095" i="1" l="1"/>
  <c r="Q1094" i="1"/>
  <c r="Q1088" i="1"/>
  <c r="Q1087" i="1"/>
  <c r="Q1086" i="1"/>
  <c r="Q1085" i="1"/>
  <c r="Q1084" i="1"/>
  <c r="Q1083" i="1"/>
  <c r="Q1082" i="1"/>
  <c r="M1080" i="1"/>
  <c r="E1080" i="1"/>
  <c r="M1055" i="1"/>
  <c r="E1055" i="1"/>
  <c r="Q1057" i="1"/>
  <c r="Q1062" i="1"/>
  <c r="Q1061" i="1"/>
  <c r="Q1060" i="1"/>
  <c r="Q1059" i="1"/>
  <c r="Q1069" i="1"/>
  <c r="Q1068" i="1"/>
  <c r="Q1056" i="1"/>
  <c r="Q1058" i="1"/>
  <c r="I1055" i="1"/>
  <c r="Q1043" i="1"/>
  <c r="Q1042" i="1"/>
  <c r="Q1032" i="1"/>
  <c r="Q1033" i="1"/>
  <c r="Q1034" i="1"/>
  <c r="Q1035" i="1"/>
  <c r="Q1036" i="1"/>
  <c r="Q1031" i="1"/>
  <c r="J897" i="1"/>
  <c r="Q850" i="1"/>
  <c r="Q849" i="1"/>
  <c r="E841" i="1"/>
  <c r="Q841" i="1" s="1"/>
  <c r="Q827" i="1"/>
  <c r="Q800" i="1"/>
  <c r="Q774" i="1"/>
  <c r="Q773" i="1"/>
  <c r="Q744" i="1"/>
  <c r="Q745" i="1"/>
  <c r="Q743" i="1"/>
  <c r="Q719" i="1"/>
  <c r="Q696" i="1"/>
  <c r="Q654" i="1"/>
  <c r="Q1080" i="1" l="1"/>
  <c r="Q1055" i="1"/>
  <c r="S478" i="1"/>
  <c r="S477" i="1"/>
  <c r="S552" i="1"/>
  <c r="S553" i="1"/>
  <c r="S551" i="1"/>
  <c r="T448" i="1" l="1"/>
  <c r="T447" i="1"/>
  <c r="T446" i="1"/>
  <c r="T445" i="1"/>
  <c r="S448" i="1"/>
  <c r="S510" i="1"/>
  <c r="S447" i="1"/>
  <c r="S446" i="1"/>
  <c r="S445" i="1"/>
  <c r="R448" i="1"/>
  <c r="R447" i="1"/>
  <c r="R446" i="1"/>
  <c r="R445" i="1"/>
  <c r="Q532" i="1"/>
  <c r="Q515" i="1"/>
  <c r="Q493" i="1"/>
  <c r="Q471" i="1"/>
  <c r="Q449" i="1"/>
  <c r="Q428" i="1"/>
  <c r="I471" i="1"/>
  <c r="Q411" i="1" l="1"/>
  <c r="Q395" i="1"/>
  <c r="Q388" i="1"/>
  <c r="Q389" i="1"/>
  <c r="Q387" i="1"/>
  <c r="Q376" i="1"/>
  <c r="Q370" i="1"/>
  <c r="Q359" i="1"/>
  <c r="O359" i="1" l="1"/>
  <c r="K359" i="1"/>
  <c r="G359" i="1"/>
  <c r="Q133" i="1"/>
  <c r="Q142" i="1"/>
  <c r="Q139" i="1"/>
  <c r="Q138" i="1"/>
  <c r="Q137" i="1"/>
  <c r="Q136" i="1"/>
  <c r="Q135" i="1"/>
  <c r="Q134" i="1"/>
  <c r="Q26" i="1"/>
  <c r="M1737" i="1"/>
  <c r="I1737" i="1"/>
  <c r="E1737" i="1"/>
  <c r="M120" i="1"/>
  <c r="I120" i="1"/>
  <c r="E120" i="1"/>
  <c r="O105" i="1"/>
  <c r="K105" i="1"/>
  <c r="G105" i="1"/>
  <c r="O104" i="1"/>
  <c r="K104" i="1"/>
  <c r="G104" i="1"/>
  <c r="O1733" i="1"/>
  <c r="K1733" i="1"/>
  <c r="G1733" i="1"/>
  <c r="O1723" i="1"/>
  <c r="K1723" i="1"/>
  <c r="G1723" i="1"/>
  <c r="E64" i="1"/>
  <c r="O1732" i="1"/>
  <c r="K1732" i="1"/>
  <c r="G1732" i="1"/>
  <c r="O1728" i="1"/>
  <c r="K1728" i="1"/>
  <c r="G1728" i="1"/>
  <c r="O1720" i="1"/>
  <c r="K1720" i="1"/>
  <c r="G1720" i="1"/>
  <c r="O1713" i="1"/>
  <c r="K1713" i="1"/>
  <c r="G1713" i="1"/>
  <c r="M64" i="1"/>
  <c r="I64" i="1"/>
  <c r="Q31" i="1"/>
  <c r="M15" i="1"/>
  <c r="I15" i="1"/>
  <c r="E15" i="1"/>
  <c r="Q41" i="1"/>
  <c r="Q40" i="1"/>
  <c r="Q38" i="1"/>
  <c r="Q39" i="1"/>
  <c r="Q30" i="1"/>
  <c r="Q29" i="1"/>
  <c r="Q28" i="1"/>
  <c r="Q27" i="1"/>
  <c r="F1753" i="1"/>
  <c r="Q37" i="1"/>
  <c r="Q36" i="1"/>
  <c r="Q35" i="1"/>
  <c r="Q34" i="1"/>
  <c r="Q33" i="1"/>
  <c r="Q32" i="1"/>
  <c r="O2249" i="1" l="1"/>
  <c r="K2249" i="1"/>
  <c r="G2249" i="1"/>
  <c r="O2248" i="1"/>
  <c r="K2248" i="1"/>
  <c r="G2248" i="1"/>
  <c r="O2247" i="1"/>
  <c r="K2247" i="1"/>
  <c r="G2247" i="1"/>
  <c r="O2246" i="1"/>
  <c r="K2246" i="1"/>
  <c r="G2246" i="1"/>
  <c r="O2245" i="1"/>
  <c r="K2245" i="1"/>
  <c r="G2245" i="1"/>
  <c r="O2244" i="1"/>
  <c r="K2244" i="1"/>
  <c r="G2244" i="1"/>
  <c r="O2243" i="1"/>
  <c r="K2243" i="1"/>
  <c r="G2243" i="1"/>
  <c r="O2242" i="1"/>
  <c r="K2242" i="1"/>
  <c r="G2242" i="1"/>
  <c r="O2241" i="1"/>
  <c r="K2241" i="1"/>
  <c r="G2241" i="1"/>
  <c r="O2240" i="1"/>
  <c r="K2240" i="1"/>
  <c r="G2240" i="1"/>
  <c r="O2239" i="1"/>
  <c r="K2239" i="1"/>
  <c r="G2239" i="1"/>
  <c r="O2238" i="1"/>
  <c r="K2238" i="1"/>
  <c r="G2238" i="1"/>
  <c r="O2237" i="1"/>
  <c r="K2237" i="1"/>
  <c r="G2237" i="1"/>
  <c r="O2236" i="1"/>
  <c r="K2236" i="1"/>
  <c r="G2236" i="1"/>
  <c r="O2235" i="1"/>
  <c r="K2235" i="1"/>
  <c r="G2235" i="1"/>
  <c r="O2234" i="1"/>
  <c r="K2234" i="1"/>
  <c r="G2234" i="1"/>
  <c r="O2233" i="1"/>
  <c r="K2233" i="1"/>
  <c r="G2233" i="1"/>
  <c r="O2232" i="1"/>
  <c r="K2232" i="1"/>
  <c r="G2232" i="1"/>
  <c r="O2231" i="1"/>
  <c r="K2231" i="1"/>
  <c r="G2231" i="1"/>
  <c r="O2230" i="1"/>
  <c r="K2230" i="1"/>
  <c r="G2230" i="1"/>
  <c r="O2258" i="1"/>
  <c r="K2258" i="1"/>
  <c r="G2258" i="1"/>
  <c r="O2257" i="1"/>
  <c r="K2257" i="1"/>
  <c r="G2257" i="1"/>
  <c r="O2256" i="1"/>
  <c r="K2256" i="1"/>
  <c r="G2256" i="1"/>
  <c r="O2255" i="1"/>
  <c r="K2255" i="1"/>
  <c r="G2255" i="1"/>
  <c r="O2253" i="1"/>
  <c r="K2253" i="1"/>
  <c r="G2253" i="1"/>
  <c r="O2252" i="1"/>
  <c r="K2252" i="1"/>
  <c r="G2252" i="1"/>
  <c r="O2250" i="1"/>
  <c r="K2250" i="1"/>
  <c r="G2250" i="1"/>
  <c r="O2229" i="1"/>
  <c r="K2229" i="1"/>
  <c r="G2229" i="1"/>
  <c r="O2228" i="1"/>
  <c r="K2228" i="1"/>
  <c r="G2228" i="1"/>
  <c r="O2227" i="1"/>
  <c r="K2227" i="1"/>
  <c r="G2227" i="1"/>
  <c r="O2226" i="1"/>
  <c r="K2226" i="1"/>
  <c r="G2226" i="1"/>
  <c r="O2225" i="1"/>
  <c r="K2225" i="1"/>
  <c r="G2225" i="1"/>
  <c r="O2224" i="1"/>
  <c r="K2224" i="1"/>
  <c r="G2224" i="1"/>
  <c r="O2223" i="1"/>
  <c r="K2223" i="1"/>
  <c r="G2223" i="1"/>
  <c r="O2222" i="1"/>
  <c r="K2222" i="1"/>
  <c r="G2222" i="1"/>
  <c r="O2221" i="1"/>
  <c r="K2221" i="1"/>
  <c r="G2221" i="1"/>
  <c r="O2220" i="1"/>
  <c r="K2220" i="1"/>
  <c r="G2220" i="1"/>
  <c r="O2219" i="1"/>
  <c r="K2219" i="1"/>
  <c r="G2219" i="1"/>
  <c r="O2208" i="1"/>
  <c r="K2208" i="1"/>
  <c r="G2208" i="1"/>
  <c r="O2207" i="1"/>
  <c r="K2207" i="1"/>
  <c r="G2207" i="1"/>
  <c r="O2206" i="1"/>
  <c r="K2206" i="1"/>
  <c r="G2206" i="1"/>
  <c r="O2199" i="1"/>
  <c r="K2199" i="1"/>
  <c r="G2199" i="1"/>
  <c r="O2198" i="1"/>
  <c r="K2198" i="1"/>
  <c r="G2198" i="1"/>
  <c r="O2197" i="1"/>
  <c r="K2197" i="1"/>
  <c r="G2197" i="1"/>
  <c r="O2196" i="1"/>
  <c r="K2196" i="1"/>
  <c r="G2196" i="1"/>
  <c r="O2195" i="1"/>
  <c r="K2195" i="1"/>
  <c r="G2195" i="1"/>
  <c r="O2209" i="1"/>
  <c r="K2209" i="1"/>
  <c r="G2209" i="1"/>
  <c r="O2205" i="1"/>
  <c r="K2205" i="1"/>
  <c r="G2205" i="1"/>
  <c r="O2203" i="1"/>
  <c r="K2203" i="1"/>
  <c r="G2203" i="1"/>
  <c r="O2202" i="1"/>
  <c r="K2202" i="1"/>
  <c r="G2202" i="1"/>
  <c r="O2200" i="1"/>
  <c r="K2200" i="1"/>
  <c r="G2200" i="1"/>
  <c r="O2194" i="1"/>
  <c r="K2194" i="1"/>
  <c r="G2194" i="1"/>
  <c r="O2193" i="1"/>
  <c r="K2193" i="1"/>
  <c r="G2193" i="1"/>
  <c r="O2192" i="1"/>
  <c r="K2192" i="1"/>
  <c r="G2192" i="1"/>
  <c r="O2191" i="1"/>
  <c r="K2191" i="1"/>
  <c r="G2191" i="1"/>
  <c r="O2190" i="1"/>
  <c r="K2190" i="1"/>
  <c r="G2190" i="1"/>
  <c r="O2189" i="1"/>
  <c r="K2189" i="1"/>
  <c r="G2189" i="1"/>
  <c r="G2260" i="1" l="1"/>
  <c r="G2261" i="1" s="1"/>
  <c r="K2260" i="1"/>
  <c r="K2261" i="1" s="1"/>
  <c r="O2260" i="1"/>
  <c r="O2261" i="1" s="1"/>
  <c r="G2211" i="1"/>
  <c r="G2212" i="1" s="1"/>
  <c r="O2211" i="1"/>
  <c r="O2212" i="1" s="1"/>
  <c r="K2211" i="1"/>
  <c r="K2212" i="1" s="1"/>
  <c r="O1941" i="1"/>
  <c r="K1941" i="1"/>
  <c r="G1941" i="1"/>
  <c r="O1940" i="1"/>
  <c r="K1940" i="1"/>
  <c r="G1940" i="1"/>
  <c r="O1939" i="1"/>
  <c r="K1939" i="1"/>
  <c r="G1939" i="1"/>
  <c r="O1938" i="1"/>
  <c r="K1938" i="1"/>
  <c r="G1938" i="1"/>
  <c r="O1937" i="1"/>
  <c r="K1937" i="1"/>
  <c r="G1937" i="1"/>
  <c r="O1920" i="1"/>
  <c r="K1920" i="1"/>
  <c r="G1920" i="1"/>
  <c r="O1919" i="1"/>
  <c r="K1919" i="1"/>
  <c r="G1919" i="1"/>
  <c r="O1918" i="1"/>
  <c r="K1918" i="1"/>
  <c r="G1918" i="1"/>
  <c r="O1917" i="1"/>
  <c r="K1917" i="1"/>
  <c r="G1917" i="1"/>
  <c r="O1916" i="1"/>
  <c r="K1916" i="1"/>
  <c r="G1916" i="1"/>
  <c r="O1956" i="1"/>
  <c r="K1956" i="1"/>
  <c r="G1956" i="1"/>
  <c r="O1915" i="1"/>
  <c r="K1915" i="1"/>
  <c r="G1915" i="1"/>
  <c r="O1914" i="1"/>
  <c r="K1914" i="1"/>
  <c r="G1914" i="1"/>
  <c r="O1913" i="1"/>
  <c r="K1913" i="1"/>
  <c r="G1913" i="1"/>
  <c r="O1912" i="1"/>
  <c r="K1912" i="1"/>
  <c r="G1912" i="1"/>
  <c r="O1911" i="1"/>
  <c r="K1911" i="1"/>
  <c r="G1911" i="1"/>
  <c r="O1910" i="1"/>
  <c r="K1910" i="1"/>
  <c r="G1910" i="1"/>
  <c r="O1890" i="1"/>
  <c r="O1891" i="1"/>
  <c r="K1890" i="1"/>
  <c r="K1891" i="1"/>
  <c r="G1890" i="1"/>
  <c r="G1891" i="1"/>
  <c r="O1729" i="1"/>
  <c r="K1729" i="1"/>
  <c r="G1729" i="1"/>
  <c r="O1721" i="1"/>
  <c r="K1721" i="1"/>
  <c r="G1721" i="1"/>
  <c r="K1719" i="1"/>
  <c r="O1719" i="1"/>
  <c r="G1719" i="1"/>
  <c r="O1716" i="1"/>
  <c r="K1716" i="1"/>
  <c r="G1716" i="1"/>
  <c r="O75" i="1"/>
  <c r="K75" i="1"/>
  <c r="G75" i="1"/>
  <c r="O1693" i="1"/>
  <c r="K1693" i="1"/>
  <c r="G1693" i="1"/>
  <c r="O1670" i="1"/>
  <c r="K1670" i="1"/>
  <c r="G1670" i="1"/>
  <c r="O1669" i="1"/>
  <c r="K1669" i="1"/>
  <c r="G1669" i="1"/>
  <c r="O1667" i="1"/>
  <c r="K1667" i="1"/>
  <c r="G1667" i="1"/>
  <c r="O1650" i="1"/>
  <c r="K1650" i="1"/>
  <c r="G1650" i="1"/>
  <c r="O1639" i="1"/>
  <c r="K1639" i="1"/>
  <c r="G1639" i="1"/>
  <c r="O1638" i="1"/>
  <c r="K1638" i="1"/>
  <c r="G1638" i="1"/>
  <c r="O1629" i="1"/>
  <c r="K1629" i="1"/>
  <c r="G1629" i="1"/>
  <c r="O1625" i="1"/>
  <c r="K1625" i="1"/>
  <c r="G1625" i="1"/>
  <c r="O1621" i="1"/>
  <c r="O1619" i="1"/>
  <c r="K1619" i="1"/>
  <c r="G1619" i="1"/>
  <c r="O1614" i="1"/>
  <c r="K1614" i="1"/>
  <c r="G1614" i="1"/>
  <c r="O1608" i="1"/>
  <c r="K1608" i="1"/>
  <c r="G1608" i="1"/>
  <c r="O1610" i="1"/>
  <c r="K1610" i="1"/>
  <c r="G1610" i="1"/>
  <c r="K1586" i="1"/>
  <c r="G1586" i="1"/>
  <c r="O1586" i="1"/>
  <c r="O1583" i="1"/>
  <c r="O1584" i="1"/>
  <c r="K1583" i="1"/>
  <c r="K1584" i="1"/>
  <c r="G1583" i="1"/>
  <c r="G1584" i="1"/>
  <c r="N1585" i="1"/>
  <c r="O1564" i="1" l="1"/>
  <c r="K1564" i="1"/>
  <c r="G1564" i="1"/>
  <c r="O1559" i="1"/>
  <c r="K1559" i="1"/>
  <c r="G1559" i="1"/>
  <c r="O1555" i="1"/>
  <c r="K1555" i="1"/>
  <c r="G1555" i="1"/>
  <c r="O1554" i="1"/>
  <c r="K1554" i="1"/>
  <c r="G1554" i="1"/>
  <c r="O1570" i="1"/>
  <c r="K1570" i="1"/>
  <c r="G1570" i="1"/>
  <c r="O1489" i="1"/>
  <c r="K1489" i="1"/>
  <c r="G1489" i="1"/>
  <c r="O1488" i="1"/>
  <c r="K1488" i="1"/>
  <c r="K1485" i="1"/>
  <c r="G1485" i="1"/>
  <c r="G1488" i="1"/>
  <c r="O1485" i="1"/>
  <c r="O1481" i="1"/>
  <c r="K1481" i="1"/>
  <c r="G1481" i="1"/>
  <c r="O1456" i="1"/>
  <c r="O1458" i="1"/>
  <c r="O1460" i="1"/>
  <c r="O1461" i="1"/>
  <c r="O1463" i="1"/>
  <c r="O1464" i="1"/>
  <c r="K1456" i="1"/>
  <c r="K1458" i="1"/>
  <c r="K1460" i="1"/>
  <c r="K1461" i="1"/>
  <c r="K1463" i="1"/>
  <c r="K1464" i="1"/>
  <c r="G1456" i="1"/>
  <c r="G1458" i="1"/>
  <c r="G1460" i="1"/>
  <c r="G1461" i="1"/>
  <c r="G1463" i="1"/>
  <c r="G1464" i="1"/>
  <c r="O1347" i="1"/>
  <c r="K1347" i="1"/>
  <c r="G1347" i="1"/>
  <c r="O1346" i="1"/>
  <c r="K1346" i="1"/>
  <c r="G1346" i="1"/>
  <c r="O1344" i="1"/>
  <c r="K1344" i="1"/>
  <c r="G1344" i="1"/>
  <c r="O1326" i="1"/>
  <c r="K1326" i="1"/>
  <c r="G1326" i="1"/>
  <c r="O1332" i="1"/>
  <c r="K1332" i="1"/>
  <c r="G1332" i="1"/>
  <c r="O1330" i="1"/>
  <c r="K1330" i="1"/>
  <c r="G1330" i="1"/>
  <c r="O1329" i="1"/>
  <c r="K1329" i="1"/>
  <c r="G1329" i="1"/>
  <c r="O1327" i="1"/>
  <c r="K1327" i="1"/>
  <c r="G1327" i="1"/>
  <c r="O1325" i="1"/>
  <c r="K1325" i="1"/>
  <c r="G1325" i="1"/>
  <c r="O1289" i="1"/>
  <c r="K1289" i="1"/>
  <c r="G1289" i="1"/>
  <c r="O1288" i="1"/>
  <c r="K1288" i="1"/>
  <c r="G1288" i="1"/>
  <c r="O1162" i="1"/>
  <c r="K1162" i="1"/>
  <c r="G1162" i="1"/>
  <c r="O1152" i="1"/>
  <c r="K1152" i="1"/>
  <c r="G1152" i="1"/>
  <c r="O1147" i="1"/>
  <c r="K1147" i="1"/>
  <c r="G1147" i="1"/>
  <c r="O1144" i="1"/>
  <c r="K1144" i="1"/>
  <c r="G1144" i="1"/>
  <c r="O1133" i="1"/>
  <c r="K1133" i="1"/>
  <c r="G1133" i="1"/>
  <c r="O1130" i="1"/>
  <c r="K1130" i="1"/>
  <c r="G1130" i="1"/>
  <c r="O1111" i="1"/>
  <c r="K1111" i="1"/>
  <c r="G1111" i="1"/>
  <c r="M1107" i="1"/>
  <c r="Q1107" i="1" s="1"/>
  <c r="M1081" i="1"/>
  <c r="Q1081" i="1" s="1"/>
  <c r="O1088" i="1"/>
  <c r="K1088" i="1"/>
  <c r="G1088" i="1"/>
  <c r="O1062" i="1"/>
  <c r="K1062" i="1"/>
  <c r="G1062" i="1"/>
  <c r="M590" i="1"/>
  <c r="O218" i="1"/>
  <c r="K218" i="1"/>
  <c r="G218" i="1"/>
  <c r="M249" i="1"/>
  <c r="Q593" i="1" l="1"/>
  <c r="Q584" i="1"/>
  <c r="Q580" i="1"/>
  <c r="Q576" i="1"/>
  <c r="Q572" i="1"/>
  <c r="Q574" i="1"/>
  <c r="Q594" i="1"/>
  <c r="Q581" i="1"/>
  <c r="Q573" i="1"/>
  <c r="Q596" i="1"/>
  <c r="Q587" i="1"/>
  <c r="Q583" i="1"/>
  <c r="Q575" i="1"/>
  <c r="Q599" i="1"/>
  <c r="Q595" i="1"/>
  <c r="Q586" i="1"/>
  <c r="Q582" i="1"/>
  <c r="Q578" i="1"/>
  <c r="Q598" i="1"/>
  <c r="Q585" i="1"/>
  <c r="Q577" i="1"/>
  <c r="K1334" i="1"/>
  <c r="K1335" i="1" s="1"/>
  <c r="G1334" i="1"/>
  <c r="G1335" i="1" s="1"/>
  <c r="O1334" i="1"/>
  <c r="O1335" i="1" s="1"/>
  <c r="O2173" i="1"/>
  <c r="K2173" i="1"/>
  <c r="G2173" i="1"/>
  <c r="O2172" i="1"/>
  <c r="K2172" i="1"/>
  <c r="G2172" i="1"/>
  <c r="O2171" i="1"/>
  <c r="K2171" i="1"/>
  <c r="G2171" i="1"/>
  <c r="O2170" i="1"/>
  <c r="K2170" i="1"/>
  <c r="G2170" i="1"/>
  <c r="O2169" i="1"/>
  <c r="K2169" i="1"/>
  <c r="G2169" i="1"/>
  <c r="O2168" i="1"/>
  <c r="K2168" i="1"/>
  <c r="G2168" i="1"/>
  <c r="O2167" i="1"/>
  <c r="K2167" i="1"/>
  <c r="G2167" i="1"/>
  <c r="O2179" i="1"/>
  <c r="K2179" i="1"/>
  <c r="G2179" i="1"/>
  <c r="O2178" i="1"/>
  <c r="K2178" i="1"/>
  <c r="G2178" i="1"/>
  <c r="O2176" i="1"/>
  <c r="K2176" i="1"/>
  <c r="G2176" i="1"/>
  <c r="O2175" i="1"/>
  <c r="K2175" i="1"/>
  <c r="G2175" i="1"/>
  <c r="O2166" i="1"/>
  <c r="K2166" i="1"/>
  <c r="G2166" i="1"/>
  <c r="O1821" i="1"/>
  <c r="K1821" i="1"/>
  <c r="G1821" i="1"/>
  <c r="O2103" i="1"/>
  <c r="K2103" i="1"/>
  <c r="G2103" i="1"/>
  <c r="O2032" i="1"/>
  <c r="K2032" i="1"/>
  <c r="G2032" i="1"/>
  <c r="O1791" i="1"/>
  <c r="K1791" i="1"/>
  <c r="G1791" i="1"/>
  <c r="O1790" i="1"/>
  <c r="K1790" i="1"/>
  <c r="G1790" i="1"/>
  <c r="O1788" i="1"/>
  <c r="K1788" i="1"/>
  <c r="G1788" i="1"/>
  <c r="O1787" i="1"/>
  <c r="K1787" i="1"/>
  <c r="G1787" i="1"/>
  <c r="O1785" i="1"/>
  <c r="K1785" i="1"/>
  <c r="G1785" i="1"/>
  <c r="O1784" i="1"/>
  <c r="K1784" i="1"/>
  <c r="G1784" i="1"/>
  <c r="O1774" i="1"/>
  <c r="K1774" i="1"/>
  <c r="G1774" i="1"/>
  <c r="O1773" i="1"/>
  <c r="K1773" i="1"/>
  <c r="G1773" i="1"/>
  <c r="O1771" i="1"/>
  <c r="K1771" i="1"/>
  <c r="G1771" i="1"/>
  <c r="O1770" i="1"/>
  <c r="K1770" i="1"/>
  <c r="G1770" i="1"/>
  <c r="O1768" i="1"/>
  <c r="K1768" i="1"/>
  <c r="G1768" i="1"/>
  <c r="O1767" i="1"/>
  <c r="K1767" i="1"/>
  <c r="G1767" i="1"/>
  <c r="K2181" i="1" l="1"/>
  <c r="K2182" i="1" s="1"/>
  <c r="G2181" i="1"/>
  <c r="G2182" i="1" s="1"/>
  <c r="O2181" i="1"/>
  <c r="O2182" i="1" s="1"/>
  <c r="O1793" i="1"/>
  <c r="O1794" i="1" s="1"/>
  <c r="K1793" i="1"/>
  <c r="K1794" i="1" s="1"/>
  <c r="G1793" i="1"/>
  <c r="G1794" i="1" s="1"/>
  <c r="G1776" i="1"/>
  <c r="G1777" i="1" s="1"/>
  <c r="O1776" i="1"/>
  <c r="O1777" i="1" s="1"/>
  <c r="K1776" i="1"/>
  <c r="K1777" i="1" s="1"/>
  <c r="O1698" i="1" l="1"/>
  <c r="K1698" i="1"/>
  <c r="G1698" i="1"/>
  <c r="O1697" i="1"/>
  <c r="K1697" i="1"/>
  <c r="G1697" i="1"/>
  <c r="O1696" i="1"/>
  <c r="K1696" i="1"/>
  <c r="G1696" i="1"/>
  <c r="O1695" i="1"/>
  <c r="K1695" i="1"/>
  <c r="G1695" i="1"/>
  <c r="O1694" i="1"/>
  <c r="K1694" i="1"/>
  <c r="G1694" i="1"/>
  <c r="O1692" i="1"/>
  <c r="K1692" i="1"/>
  <c r="G1692" i="1"/>
  <c r="O1677" i="1"/>
  <c r="K1677" i="1"/>
  <c r="G1677" i="1"/>
  <c r="O1676" i="1"/>
  <c r="K1676" i="1"/>
  <c r="G1676" i="1"/>
  <c r="O1675" i="1"/>
  <c r="K1675" i="1"/>
  <c r="G1675" i="1"/>
  <c r="O1673" i="1"/>
  <c r="K1673" i="1"/>
  <c r="G1673" i="1"/>
  <c r="O1672" i="1"/>
  <c r="K1672" i="1"/>
  <c r="G1672" i="1"/>
  <c r="O1668" i="1"/>
  <c r="K1668" i="1"/>
  <c r="G1668" i="1"/>
  <c r="O1095" i="1"/>
  <c r="K1095" i="1"/>
  <c r="G1095" i="1"/>
  <c r="O876" i="1"/>
  <c r="K876" i="1"/>
  <c r="G876" i="1"/>
  <c r="G649" i="1"/>
  <c r="K649" i="1"/>
  <c r="G652" i="1"/>
  <c r="G656" i="1"/>
  <c r="K656" i="1"/>
  <c r="O656" i="1"/>
  <c r="O649" i="1"/>
  <c r="O652" i="1"/>
  <c r="O1679" i="1" l="1"/>
  <c r="O1680" i="1" s="1"/>
  <c r="K1679" i="1"/>
  <c r="K1680" i="1" s="1"/>
  <c r="G1679" i="1"/>
  <c r="G1680" i="1" s="1"/>
  <c r="O1926" i="1" l="1"/>
  <c r="K1926" i="1"/>
  <c r="G1926" i="1"/>
  <c r="O1924" i="1"/>
  <c r="K1924" i="1"/>
  <c r="G1924" i="1"/>
  <c r="O1923" i="1"/>
  <c r="K1923" i="1"/>
  <c r="G1923" i="1"/>
  <c r="O1921" i="1"/>
  <c r="K1921" i="1"/>
  <c r="G1921" i="1"/>
  <c r="O1909" i="1"/>
  <c r="K1909" i="1"/>
  <c r="G1909" i="1"/>
  <c r="O1845" i="1"/>
  <c r="K1845" i="1"/>
  <c r="G1845" i="1"/>
  <c r="O1844" i="1"/>
  <c r="K1844" i="1"/>
  <c r="G1844" i="1"/>
  <c r="O1842" i="1"/>
  <c r="K1842" i="1"/>
  <c r="G1842" i="1"/>
  <c r="O1841" i="1"/>
  <c r="K1841" i="1"/>
  <c r="G1841" i="1"/>
  <c r="O1839" i="1"/>
  <c r="K1839" i="1"/>
  <c r="G1839" i="1"/>
  <c r="O1838" i="1"/>
  <c r="K1838" i="1"/>
  <c r="G1838" i="1"/>
  <c r="O1828" i="1"/>
  <c r="K1828" i="1"/>
  <c r="G1828" i="1"/>
  <c r="O1827" i="1"/>
  <c r="K1827" i="1"/>
  <c r="G1827" i="1"/>
  <c r="O1825" i="1"/>
  <c r="K1825" i="1"/>
  <c r="G1825" i="1"/>
  <c r="O1824" i="1"/>
  <c r="K1824" i="1"/>
  <c r="G1824" i="1"/>
  <c r="O1822" i="1"/>
  <c r="K1822" i="1"/>
  <c r="G1822" i="1"/>
  <c r="O1820" i="1"/>
  <c r="K1820" i="1"/>
  <c r="G1820" i="1"/>
  <c r="O1803" i="1"/>
  <c r="K1803" i="1"/>
  <c r="G1803" i="1"/>
  <c r="O1810" i="1"/>
  <c r="K1810" i="1"/>
  <c r="G1810" i="1"/>
  <c r="O1809" i="1"/>
  <c r="K1809" i="1"/>
  <c r="G1809" i="1"/>
  <c r="O1807" i="1"/>
  <c r="K1807" i="1"/>
  <c r="G1807" i="1"/>
  <c r="O1806" i="1"/>
  <c r="K1806" i="1"/>
  <c r="G1806" i="1"/>
  <c r="O1804" i="1"/>
  <c r="K1804" i="1"/>
  <c r="G1804" i="1"/>
  <c r="O1655" i="1"/>
  <c r="K1655" i="1"/>
  <c r="G1655" i="1"/>
  <c r="O1928" i="1" l="1"/>
  <c r="O1929" i="1" s="1"/>
  <c r="O1847" i="1"/>
  <c r="O1848" i="1" s="1"/>
  <c r="G1928" i="1"/>
  <c r="G1929" i="1" s="1"/>
  <c r="K1928" i="1"/>
  <c r="K1929" i="1" s="1"/>
  <c r="K1847" i="1"/>
  <c r="K1848" i="1" s="1"/>
  <c r="G1847" i="1"/>
  <c r="G1848" i="1" s="1"/>
  <c r="K1830" i="1"/>
  <c r="K1831" i="1" s="1"/>
  <c r="O1830" i="1"/>
  <c r="O1831" i="1" s="1"/>
  <c r="G1830" i="1"/>
  <c r="G1831" i="1" s="1"/>
  <c r="K1812" i="1"/>
  <c r="K1813" i="1" s="1"/>
  <c r="O1812" i="1"/>
  <c r="O1813" i="1" s="1"/>
  <c r="G1812" i="1"/>
  <c r="G1813" i="1" s="1"/>
  <c r="O866" i="1"/>
  <c r="K866" i="1"/>
  <c r="G866" i="1"/>
  <c r="O288" i="1"/>
  <c r="K288" i="1"/>
  <c r="G288" i="1"/>
  <c r="O270" i="1"/>
  <c r="K270" i="1"/>
  <c r="G270" i="1"/>
  <c r="O271" i="1"/>
  <c r="K271" i="1"/>
  <c r="G271" i="1"/>
  <c r="O234" i="1"/>
  <c r="K234" i="1"/>
  <c r="G234" i="1"/>
  <c r="O202" i="1"/>
  <c r="K202" i="1"/>
  <c r="G202" i="1"/>
  <c r="G9" i="1" l="1"/>
  <c r="K9" i="1"/>
  <c r="O9" i="1"/>
  <c r="G10" i="1"/>
  <c r="K10" i="1"/>
  <c r="O10" i="1"/>
  <c r="G12" i="1"/>
  <c r="K12" i="1"/>
  <c r="O12" i="1"/>
  <c r="G13" i="1"/>
  <c r="K13" i="1"/>
  <c r="O13" i="1"/>
  <c r="G15" i="1"/>
  <c r="K15" i="1"/>
  <c r="O15" i="1"/>
  <c r="G16" i="1"/>
  <c r="K16" i="1"/>
  <c r="O16" i="1"/>
  <c r="G26" i="1"/>
  <c r="K26" i="1"/>
  <c r="O26" i="1"/>
  <c r="G28" i="1"/>
  <c r="K28" i="1"/>
  <c r="O28" i="1"/>
  <c r="G29" i="1"/>
  <c r="K29" i="1"/>
  <c r="O29" i="1"/>
  <c r="G30" i="1"/>
  <c r="K30" i="1"/>
  <c r="O30" i="1"/>
  <c r="G31" i="1"/>
  <c r="K31" i="1"/>
  <c r="O31" i="1"/>
  <c r="G32" i="1"/>
  <c r="K32" i="1"/>
  <c r="O32" i="1"/>
  <c r="G33" i="1"/>
  <c r="K33" i="1"/>
  <c r="O33" i="1"/>
  <c r="G37" i="1"/>
  <c r="K37" i="1"/>
  <c r="O37" i="1"/>
  <c r="G39" i="1"/>
  <c r="K39" i="1"/>
  <c r="O39" i="1"/>
  <c r="G40" i="1"/>
  <c r="K40" i="1"/>
  <c r="O40" i="1"/>
  <c r="G41" i="1"/>
  <c r="K41" i="1"/>
  <c r="O41" i="1"/>
  <c r="G34" i="1"/>
  <c r="K34" i="1"/>
  <c r="O34" i="1"/>
  <c r="G38" i="1"/>
  <c r="K38" i="1"/>
  <c r="O38" i="1"/>
  <c r="G27" i="1"/>
  <c r="K27" i="1"/>
  <c r="O27" i="1"/>
  <c r="G35" i="1"/>
  <c r="K35" i="1"/>
  <c r="O35" i="1"/>
  <c r="G43" i="1"/>
  <c r="K43" i="1"/>
  <c r="O43" i="1"/>
  <c r="G44" i="1"/>
  <c r="K44" i="1"/>
  <c r="O44" i="1"/>
  <c r="G45" i="1"/>
  <c r="K45" i="1"/>
  <c r="O45" i="1"/>
  <c r="G47" i="1"/>
  <c r="K47" i="1"/>
  <c r="O47" i="1"/>
  <c r="G48" i="1"/>
  <c r="K48" i="1"/>
  <c r="O48" i="1"/>
  <c r="G59" i="1"/>
  <c r="K59" i="1"/>
  <c r="O59" i="1"/>
  <c r="G61" i="1"/>
  <c r="K61" i="1"/>
  <c r="O61" i="1"/>
  <c r="G62" i="1"/>
  <c r="K62" i="1"/>
  <c r="O62" i="1"/>
  <c r="G64" i="1"/>
  <c r="K64" i="1"/>
  <c r="O64" i="1"/>
  <c r="G65" i="1"/>
  <c r="K65" i="1"/>
  <c r="O65" i="1"/>
  <c r="G76" i="1"/>
  <c r="K76" i="1"/>
  <c r="O76" i="1"/>
  <c r="G78" i="1"/>
  <c r="K78" i="1"/>
  <c r="O78" i="1"/>
  <c r="G79" i="1"/>
  <c r="K79" i="1"/>
  <c r="O79" i="1"/>
  <c r="G81" i="1"/>
  <c r="K81" i="1"/>
  <c r="O81" i="1"/>
  <c r="G91" i="1"/>
  <c r="K91" i="1"/>
  <c r="O91" i="1"/>
  <c r="G92" i="1"/>
  <c r="K92" i="1"/>
  <c r="O92" i="1"/>
  <c r="G94" i="1"/>
  <c r="K94" i="1"/>
  <c r="O94" i="1"/>
  <c r="G95" i="1"/>
  <c r="K95" i="1"/>
  <c r="O95" i="1"/>
  <c r="G97" i="1"/>
  <c r="K97" i="1"/>
  <c r="O97" i="1"/>
  <c r="G1612" i="1"/>
  <c r="K1612" i="1"/>
  <c r="O1612" i="1"/>
  <c r="G99" i="1"/>
  <c r="K99" i="1"/>
  <c r="O99" i="1"/>
  <c r="G100" i="1"/>
  <c r="K100" i="1"/>
  <c r="O100" i="1"/>
  <c r="G103" i="1"/>
  <c r="K103" i="1"/>
  <c r="O103" i="1"/>
  <c r="G108" i="1"/>
  <c r="K108" i="1"/>
  <c r="O108" i="1"/>
  <c r="G109" i="1"/>
  <c r="K109" i="1"/>
  <c r="O109" i="1"/>
  <c r="G111" i="1"/>
  <c r="K111" i="1"/>
  <c r="O111" i="1"/>
  <c r="G112" i="1"/>
  <c r="K112" i="1"/>
  <c r="O112" i="1"/>
  <c r="G113" i="1"/>
  <c r="K113" i="1"/>
  <c r="O113" i="1"/>
  <c r="G114" i="1"/>
  <c r="K114" i="1"/>
  <c r="O114" i="1"/>
  <c r="G115" i="1"/>
  <c r="K115" i="1"/>
  <c r="O115" i="1"/>
  <c r="G116" i="1"/>
  <c r="K116" i="1"/>
  <c r="O116" i="1"/>
  <c r="G93" i="1"/>
  <c r="K93" i="1"/>
  <c r="O93" i="1"/>
  <c r="G106" i="1"/>
  <c r="K106" i="1"/>
  <c r="O106" i="1"/>
  <c r="G110" i="1"/>
  <c r="K110" i="1"/>
  <c r="O110" i="1"/>
  <c r="G1709" i="1"/>
  <c r="K1709" i="1"/>
  <c r="O1709" i="1"/>
  <c r="G96" i="1"/>
  <c r="K96" i="1"/>
  <c r="O96" i="1"/>
  <c r="G1611" i="1"/>
  <c r="K1611" i="1"/>
  <c r="O1611" i="1"/>
  <c r="G98" i="1"/>
  <c r="K98" i="1"/>
  <c r="O98" i="1"/>
  <c r="G101" i="1"/>
  <c r="K101" i="1"/>
  <c r="O101" i="1"/>
  <c r="G102" i="1"/>
  <c r="K102" i="1"/>
  <c r="O102" i="1"/>
  <c r="G1622" i="1"/>
  <c r="K1622" i="1"/>
  <c r="O1622" i="1"/>
  <c r="G107" i="1"/>
  <c r="K107" i="1"/>
  <c r="O107" i="1"/>
  <c r="G58" i="1"/>
  <c r="K58" i="1"/>
  <c r="O58" i="1"/>
  <c r="G117" i="1"/>
  <c r="K117" i="1"/>
  <c r="O117" i="1"/>
  <c r="G119" i="1"/>
  <c r="K119" i="1"/>
  <c r="O119" i="1"/>
  <c r="G120" i="1"/>
  <c r="K120" i="1"/>
  <c r="O120" i="1"/>
  <c r="G122" i="1"/>
  <c r="K122" i="1"/>
  <c r="O122" i="1"/>
  <c r="G123" i="1"/>
  <c r="K123" i="1"/>
  <c r="O123" i="1"/>
  <c r="G134" i="1"/>
  <c r="K134" i="1"/>
  <c r="O134" i="1"/>
  <c r="G135" i="1"/>
  <c r="K135" i="1"/>
  <c r="O135" i="1"/>
  <c r="G136" i="1"/>
  <c r="K136" i="1"/>
  <c r="O136" i="1"/>
  <c r="G137" i="1"/>
  <c r="K137" i="1"/>
  <c r="O137" i="1"/>
  <c r="G138" i="1"/>
  <c r="K138" i="1"/>
  <c r="O138" i="1"/>
  <c r="G139" i="1"/>
  <c r="K139" i="1"/>
  <c r="O139" i="1"/>
  <c r="G142" i="1"/>
  <c r="K142" i="1"/>
  <c r="O142" i="1"/>
  <c r="G141" i="1"/>
  <c r="K141" i="1"/>
  <c r="O141" i="1"/>
  <c r="G133" i="1"/>
  <c r="K133" i="1"/>
  <c r="O133" i="1"/>
  <c r="G140" i="1"/>
  <c r="K140" i="1"/>
  <c r="O140" i="1"/>
  <c r="G143" i="1"/>
  <c r="K143" i="1"/>
  <c r="O143" i="1"/>
  <c r="G145" i="1"/>
  <c r="K145" i="1"/>
  <c r="O145" i="1"/>
  <c r="G146" i="1"/>
  <c r="K146" i="1"/>
  <c r="O146" i="1"/>
  <c r="G148" i="1"/>
  <c r="K148" i="1"/>
  <c r="O148" i="1"/>
  <c r="G149" i="1"/>
  <c r="K149" i="1"/>
  <c r="O149" i="1"/>
  <c r="G159" i="1"/>
  <c r="K159" i="1"/>
  <c r="O159" i="1"/>
  <c r="G160" i="1"/>
  <c r="K160" i="1"/>
  <c r="O160" i="1"/>
  <c r="G162" i="1"/>
  <c r="K162" i="1"/>
  <c r="O162" i="1"/>
  <c r="G163" i="1"/>
  <c r="K163" i="1"/>
  <c r="O163" i="1"/>
  <c r="G165" i="1"/>
  <c r="K165" i="1"/>
  <c r="O165" i="1"/>
  <c r="G166" i="1"/>
  <c r="K166" i="1"/>
  <c r="O166" i="1"/>
  <c r="G179" i="1"/>
  <c r="K179" i="1"/>
  <c r="O179" i="1"/>
  <c r="G180" i="1"/>
  <c r="K180" i="1"/>
  <c r="O180" i="1"/>
  <c r="G182" i="1"/>
  <c r="K182" i="1"/>
  <c r="O182" i="1"/>
  <c r="G183" i="1"/>
  <c r="K183" i="1"/>
  <c r="O183" i="1"/>
  <c r="G185" i="1"/>
  <c r="K185" i="1"/>
  <c r="O185" i="1"/>
  <c r="G186" i="1"/>
  <c r="K186" i="1"/>
  <c r="O186" i="1"/>
  <c r="G196" i="1"/>
  <c r="K196" i="1"/>
  <c r="O196" i="1"/>
  <c r="G197" i="1"/>
  <c r="K197" i="1"/>
  <c r="O197" i="1"/>
  <c r="G199" i="1"/>
  <c r="K199" i="1"/>
  <c r="O199" i="1"/>
  <c r="G200" i="1"/>
  <c r="K200" i="1"/>
  <c r="O200" i="1"/>
  <c r="G203" i="1"/>
  <c r="K203" i="1"/>
  <c r="O203" i="1"/>
  <c r="G213" i="1"/>
  <c r="K213" i="1"/>
  <c r="O213" i="1"/>
  <c r="G215" i="1"/>
  <c r="K215" i="1"/>
  <c r="O215" i="1"/>
  <c r="G216" i="1"/>
  <c r="K216" i="1"/>
  <c r="O216" i="1"/>
  <c r="G228" i="1"/>
  <c r="K228" i="1"/>
  <c r="O228" i="1"/>
  <c r="G229" i="1"/>
  <c r="K229" i="1"/>
  <c r="O229" i="1"/>
  <c r="G232" i="1"/>
  <c r="K232" i="1"/>
  <c r="O232" i="1"/>
  <c r="G235" i="1"/>
  <c r="K235" i="1"/>
  <c r="O235" i="1"/>
  <c r="G236" i="1"/>
  <c r="K236" i="1"/>
  <c r="O236" i="1"/>
  <c r="G246" i="1"/>
  <c r="K246" i="1"/>
  <c r="O246" i="1"/>
  <c r="G247" i="1"/>
  <c r="K247" i="1"/>
  <c r="O247" i="1"/>
  <c r="G249" i="1"/>
  <c r="K249" i="1"/>
  <c r="O249" i="1"/>
  <c r="G251" i="1"/>
  <c r="K251" i="1"/>
  <c r="O251" i="1"/>
  <c r="G253" i="1"/>
  <c r="K253" i="1"/>
  <c r="O253" i="1"/>
  <c r="G254" i="1"/>
  <c r="K254" i="1"/>
  <c r="O254" i="1"/>
  <c r="G264" i="1"/>
  <c r="K264" i="1"/>
  <c r="O264" i="1"/>
  <c r="G265" i="1"/>
  <c r="K265" i="1"/>
  <c r="O265" i="1"/>
  <c r="G267" i="1"/>
  <c r="K267" i="1"/>
  <c r="O267" i="1"/>
  <c r="G268" i="1"/>
  <c r="K268" i="1"/>
  <c r="O268" i="1"/>
  <c r="G272" i="1"/>
  <c r="K272" i="1"/>
  <c r="O272" i="1"/>
  <c r="G282" i="1"/>
  <c r="K282" i="1"/>
  <c r="O282" i="1"/>
  <c r="G283" i="1"/>
  <c r="K283" i="1"/>
  <c r="O283" i="1"/>
  <c r="G285" i="1"/>
  <c r="K285" i="1"/>
  <c r="O285" i="1"/>
  <c r="G286" i="1"/>
  <c r="K286" i="1"/>
  <c r="O286" i="1"/>
  <c r="G289" i="1"/>
  <c r="K289" i="1"/>
  <c r="O289" i="1"/>
  <c r="G290" i="1"/>
  <c r="K290" i="1"/>
  <c r="O290" i="1"/>
  <c r="G302" i="1"/>
  <c r="K302" i="1"/>
  <c r="O302" i="1"/>
  <c r="G303" i="1"/>
  <c r="K303" i="1"/>
  <c r="O303" i="1"/>
  <c r="G305" i="1"/>
  <c r="K305" i="1"/>
  <c r="O305" i="1"/>
  <c r="G306" i="1"/>
  <c r="K306" i="1"/>
  <c r="O306" i="1"/>
  <c r="G308" i="1"/>
  <c r="K308" i="1"/>
  <c r="O308" i="1"/>
  <c r="G309" i="1"/>
  <c r="K309" i="1"/>
  <c r="O309" i="1"/>
  <c r="G319" i="1"/>
  <c r="K319" i="1"/>
  <c r="O319" i="1"/>
  <c r="G320" i="1"/>
  <c r="K320" i="1"/>
  <c r="O320" i="1"/>
  <c r="G322" i="1"/>
  <c r="K322" i="1"/>
  <c r="O322" i="1"/>
  <c r="G323" i="1"/>
  <c r="K323" i="1"/>
  <c r="O323" i="1"/>
  <c r="G325" i="1"/>
  <c r="K325" i="1"/>
  <c r="O325" i="1"/>
  <c r="G326" i="1"/>
  <c r="K326" i="1"/>
  <c r="O326" i="1"/>
  <c r="G336" i="1"/>
  <c r="K336" i="1"/>
  <c r="O336" i="1"/>
  <c r="G337" i="1"/>
  <c r="K337" i="1"/>
  <c r="O337" i="1"/>
  <c r="G339" i="1"/>
  <c r="K339" i="1"/>
  <c r="O339" i="1"/>
  <c r="G340" i="1"/>
  <c r="K340" i="1"/>
  <c r="O340" i="1"/>
  <c r="G342" i="1"/>
  <c r="K342" i="1"/>
  <c r="O342" i="1"/>
  <c r="G343" i="1"/>
  <c r="K343" i="1"/>
  <c r="O343" i="1"/>
  <c r="G353" i="1"/>
  <c r="K353" i="1"/>
  <c r="O353" i="1"/>
  <c r="G354" i="1"/>
  <c r="K354" i="1"/>
  <c r="O354" i="1"/>
  <c r="G356" i="1"/>
  <c r="K356" i="1"/>
  <c r="O356" i="1"/>
  <c r="G357" i="1"/>
  <c r="K357" i="1"/>
  <c r="O357" i="1"/>
  <c r="G360" i="1"/>
  <c r="K360" i="1"/>
  <c r="O360" i="1"/>
  <c r="G370" i="1"/>
  <c r="K370" i="1"/>
  <c r="O370" i="1"/>
  <c r="G371" i="1"/>
  <c r="K371" i="1"/>
  <c r="O371" i="1"/>
  <c r="G373" i="1"/>
  <c r="K373" i="1"/>
  <c r="O373" i="1"/>
  <c r="G374" i="1"/>
  <c r="K374" i="1"/>
  <c r="O374" i="1"/>
  <c r="G376" i="1"/>
  <c r="K376" i="1"/>
  <c r="O376" i="1"/>
  <c r="G377" i="1"/>
  <c r="K377" i="1"/>
  <c r="O377" i="1"/>
  <c r="G387" i="1"/>
  <c r="K387" i="1"/>
  <c r="O387" i="1"/>
  <c r="G388" i="1"/>
  <c r="K388" i="1"/>
  <c r="O388" i="1"/>
  <c r="G389" i="1"/>
  <c r="K389" i="1"/>
  <c r="O389" i="1"/>
  <c r="G390" i="1"/>
  <c r="K390" i="1"/>
  <c r="O390" i="1"/>
  <c r="G392" i="1"/>
  <c r="K392" i="1"/>
  <c r="O392" i="1"/>
  <c r="G393" i="1"/>
  <c r="K393" i="1"/>
  <c r="O393" i="1"/>
  <c r="G395" i="1"/>
  <c r="K395" i="1"/>
  <c r="O395" i="1"/>
  <c r="G396" i="1"/>
  <c r="K396" i="1"/>
  <c r="O396" i="1"/>
  <c r="G409" i="1"/>
  <c r="K409" i="1"/>
  <c r="O409" i="1"/>
  <c r="G410" i="1"/>
  <c r="K410" i="1"/>
  <c r="O410" i="1"/>
  <c r="G411" i="1"/>
  <c r="K411" i="1"/>
  <c r="O411" i="1"/>
  <c r="G412" i="1"/>
  <c r="K412" i="1"/>
  <c r="O412" i="1"/>
  <c r="G414" i="1"/>
  <c r="I414" i="1"/>
  <c r="O414" i="1"/>
  <c r="G415" i="1"/>
  <c r="K415" i="1"/>
  <c r="O415" i="1"/>
  <c r="G417" i="1"/>
  <c r="K417" i="1"/>
  <c r="O417" i="1"/>
  <c r="G418" i="1"/>
  <c r="K418" i="1"/>
  <c r="O418" i="1"/>
  <c r="G428" i="1"/>
  <c r="K428" i="1"/>
  <c r="O428" i="1"/>
  <c r="G429" i="1"/>
  <c r="K429" i="1"/>
  <c r="O429" i="1"/>
  <c r="G431" i="1"/>
  <c r="K431" i="1"/>
  <c r="O431" i="1"/>
  <c r="G432" i="1"/>
  <c r="K432" i="1"/>
  <c r="O432" i="1"/>
  <c r="G434" i="1"/>
  <c r="K434" i="1"/>
  <c r="O434" i="1"/>
  <c r="G435" i="1"/>
  <c r="K435" i="1"/>
  <c r="O435" i="1"/>
  <c r="G445" i="1"/>
  <c r="K445" i="1"/>
  <c r="O445" i="1"/>
  <c r="G446" i="1"/>
  <c r="K446" i="1"/>
  <c r="O446" i="1"/>
  <c r="G447" i="1"/>
  <c r="K447" i="1"/>
  <c r="O447" i="1"/>
  <c r="G448" i="1"/>
  <c r="K448" i="1"/>
  <c r="O448" i="1"/>
  <c r="G449" i="1"/>
  <c r="K449" i="1"/>
  <c r="O449" i="1"/>
  <c r="G450" i="1"/>
  <c r="K450" i="1"/>
  <c r="O450" i="1"/>
  <c r="G452" i="1"/>
  <c r="K452" i="1"/>
  <c r="O452" i="1"/>
  <c r="G453" i="1"/>
  <c r="K453" i="1"/>
  <c r="O453" i="1"/>
  <c r="G455" i="1"/>
  <c r="K455" i="1"/>
  <c r="O455" i="1"/>
  <c r="G456" i="1"/>
  <c r="K456" i="1"/>
  <c r="O456" i="1"/>
  <c r="G457" i="1"/>
  <c r="K457" i="1"/>
  <c r="O457" i="1"/>
  <c r="G467" i="1"/>
  <c r="K467" i="1"/>
  <c r="O467" i="1"/>
  <c r="G468" i="1"/>
  <c r="K468" i="1"/>
  <c r="O468" i="1"/>
  <c r="G469" i="1"/>
  <c r="K469" i="1"/>
  <c r="O469" i="1"/>
  <c r="G470" i="1"/>
  <c r="K470" i="1"/>
  <c r="O470" i="1"/>
  <c r="G471" i="1"/>
  <c r="K471" i="1"/>
  <c r="O471" i="1"/>
  <c r="G472" i="1"/>
  <c r="K472" i="1"/>
  <c r="O472" i="1"/>
  <c r="G474" i="1"/>
  <c r="K474" i="1"/>
  <c r="O474" i="1"/>
  <c r="G475" i="1"/>
  <c r="K475" i="1"/>
  <c r="O475" i="1"/>
  <c r="G477" i="1"/>
  <c r="K477" i="1"/>
  <c r="O477" i="1"/>
  <c r="G478" i="1"/>
  <c r="K478" i="1"/>
  <c r="O478" i="1"/>
  <c r="G479" i="1"/>
  <c r="K479" i="1"/>
  <c r="O479" i="1"/>
  <c r="G489" i="1"/>
  <c r="K489" i="1"/>
  <c r="O489" i="1"/>
  <c r="G490" i="1"/>
  <c r="K490" i="1"/>
  <c r="O490" i="1"/>
  <c r="G492" i="1"/>
  <c r="K492" i="1"/>
  <c r="O492" i="1"/>
  <c r="G493" i="1"/>
  <c r="K493" i="1"/>
  <c r="O493" i="1"/>
  <c r="G491" i="1"/>
  <c r="K491" i="1"/>
  <c r="O491" i="1"/>
  <c r="G494" i="1"/>
  <c r="K494" i="1"/>
  <c r="O494" i="1"/>
  <c r="G496" i="1"/>
  <c r="K496" i="1"/>
  <c r="O496" i="1"/>
  <c r="G497" i="1"/>
  <c r="K497" i="1"/>
  <c r="O497" i="1"/>
  <c r="G499" i="1"/>
  <c r="K499" i="1"/>
  <c r="O499" i="1"/>
  <c r="G500" i="1"/>
  <c r="K500" i="1"/>
  <c r="O500" i="1"/>
  <c r="G511" i="1"/>
  <c r="K511" i="1"/>
  <c r="O511" i="1"/>
  <c r="G512" i="1"/>
  <c r="K512" i="1"/>
  <c r="O512" i="1"/>
  <c r="G515" i="1"/>
  <c r="K515" i="1"/>
  <c r="O515" i="1"/>
  <c r="G510" i="1"/>
  <c r="K510" i="1"/>
  <c r="O510" i="1"/>
  <c r="G513" i="1"/>
  <c r="K513" i="1"/>
  <c r="O513" i="1"/>
  <c r="G514" i="1"/>
  <c r="K514" i="1"/>
  <c r="O514" i="1"/>
  <c r="G516" i="1"/>
  <c r="K516" i="1"/>
  <c r="O516" i="1"/>
  <c r="G518" i="1"/>
  <c r="K518" i="1"/>
  <c r="O518" i="1"/>
  <c r="G519" i="1"/>
  <c r="K519" i="1"/>
  <c r="O519" i="1"/>
  <c r="G521" i="1"/>
  <c r="K521" i="1"/>
  <c r="O521" i="1"/>
  <c r="G522" i="1"/>
  <c r="K522" i="1"/>
  <c r="O522" i="1"/>
  <c r="G532" i="1"/>
  <c r="K532" i="1"/>
  <c r="O532" i="1"/>
  <c r="G533" i="1"/>
  <c r="K533" i="1"/>
  <c r="O533" i="1"/>
  <c r="G535" i="1"/>
  <c r="K535" i="1"/>
  <c r="O535" i="1"/>
  <c r="G536" i="1"/>
  <c r="K536" i="1"/>
  <c r="O536" i="1"/>
  <c r="G538" i="1"/>
  <c r="K538" i="1"/>
  <c r="O538" i="1"/>
  <c r="G539" i="1"/>
  <c r="K539" i="1"/>
  <c r="O539" i="1"/>
  <c r="G555" i="1"/>
  <c r="K555" i="1"/>
  <c r="O555" i="1"/>
  <c r="G551" i="1"/>
  <c r="K551" i="1"/>
  <c r="O551" i="1"/>
  <c r="G552" i="1"/>
  <c r="K552" i="1"/>
  <c r="O552" i="1"/>
  <c r="G553" i="1"/>
  <c r="K553" i="1"/>
  <c r="O553" i="1"/>
  <c r="G554" i="1"/>
  <c r="K554" i="1"/>
  <c r="O554" i="1"/>
  <c r="G556" i="1"/>
  <c r="K556" i="1"/>
  <c r="O556" i="1"/>
  <c r="G558" i="1"/>
  <c r="K558" i="1"/>
  <c r="O558" i="1"/>
  <c r="G559" i="1"/>
  <c r="K559" i="1"/>
  <c r="O559" i="1"/>
  <c r="G561" i="1"/>
  <c r="K561" i="1"/>
  <c r="O561" i="1"/>
  <c r="G562" i="1"/>
  <c r="K562" i="1"/>
  <c r="O562" i="1"/>
  <c r="G572" i="1"/>
  <c r="K572" i="1"/>
  <c r="O572" i="1"/>
  <c r="G574" i="1"/>
  <c r="K574" i="1"/>
  <c r="O574" i="1"/>
  <c r="G575" i="1"/>
  <c r="K575" i="1"/>
  <c r="O575" i="1"/>
  <c r="G577" i="1"/>
  <c r="K577" i="1"/>
  <c r="O577" i="1"/>
  <c r="G579" i="1"/>
  <c r="K579" i="1"/>
  <c r="O579" i="1"/>
  <c r="G580" i="1"/>
  <c r="K580" i="1"/>
  <c r="O580" i="1"/>
  <c r="G581" i="1"/>
  <c r="K581" i="1"/>
  <c r="O581" i="1"/>
  <c r="G583" i="1"/>
  <c r="K583" i="1"/>
  <c r="O583" i="1"/>
  <c r="G585" i="1"/>
  <c r="K585" i="1"/>
  <c r="O585" i="1"/>
  <c r="G587" i="1"/>
  <c r="K587" i="1"/>
  <c r="O587" i="1"/>
  <c r="G578" i="1"/>
  <c r="K578" i="1"/>
  <c r="O578" i="1"/>
  <c r="G573" i="1"/>
  <c r="K573" i="1"/>
  <c r="O573" i="1"/>
  <c r="G576" i="1"/>
  <c r="K576" i="1"/>
  <c r="O576" i="1"/>
  <c r="G582" i="1"/>
  <c r="K582" i="1"/>
  <c r="O582" i="1"/>
  <c r="G584" i="1"/>
  <c r="K584" i="1"/>
  <c r="O584" i="1"/>
  <c r="G586" i="1"/>
  <c r="K586" i="1"/>
  <c r="O586" i="1"/>
  <c r="G588" i="1"/>
  <c r="K588" i="1"/>
  <c r="O588" i="1"/>
  <c r="G590" i="1"/>
  <c r="K590" i="1"/>
  <c r="O590" i="1"/>
  <c r="G591" i="1"/>
  <c r="K591" i="1"/>
  <c r="O591" i="1"/>
  <c r="G595" i="1"/>
  <c r="K595" i="1"/>
  <c r="O595" i="1"/>
  <c r="G596" i="1"/>
  <c r="K596" i="1"/>
  <c r="O596" i="1"/>
  <c r="G597" i="1"/>
  <c r="K597" i="1"/>
  <c r="O597" i="1"/>
  <c r="G598" i="1"/>
  <c r="K598" i="1"/>
  <c r="O598" i="1"/>
  <c r="G599" i="1"/>
  <c r="K599" i="1"/>
  <c r="O599" i="1"/>
  <c r="G593" i="1"/>
  <c r="K593" i="1"/>
  <c r="O593" i="1"/>
  <c r="G594" i="1"/>
  <c r="K594" i="1"/>
  <c r="O594" i="1"/>
  <c r="G600" i="1"/>
  <c r="K600" i="1"/>
  <c r="O600" i="1"/>
  <c r="G610" i="1"/>
  <c r="K610" i="1"/>
  <c r="O610" i="1"/>
  <c r="G611" i="1"/>
  <c r="K611" i="1"/>
  <c r="O611" i="1"/>
  <c r="G613" i="1"/>
  <c r="K613" i="1"/>
  <c r="O613" i="1"/>
  <c r="G614" i="1"/>
  <c r="K614" i="1"/>
  <c r="O614" i="1"/>
  <c r="G616" i="1"/>
  <c r="K616" i="1"/>
  <c r="O616" i="1"/>
  <c r="G617" i="1"/>
  <c r="K617" i="1"/>
  <c r="O617" i="1"/>
  <c r="G629" i="1"/>
  <c r="K629" i="1"/>
  <c r="O629" i="1"/>
  <c r="G630" i="1"/>
  <c r="K630" i="1"/>
  <c r="O630" i="1"/>
  <c r="G631" i="1"/>
  <c r="K631" i="1"/>
  <c r="O631" i="1"/>
  <c r="G632" i="1"/>
  <c r="K632" i="1"/>
  <c r="O632" i="1"/>
  <c r="G634" i="1"/>
  <c r="K634" i="1"/>
  <c r="O634" i="1"/>
  <c r="G635" i="1"/>
  <c r="K635" i="1"/>
  <c r="O635" i="1"/>
  <c r="G637" i="1"/>
  <c r="K637" i="1"/>
  <c r="O637" i="1"/>
  <c r="G638" i="1"/>
  <c r="K638" i="1"/>
  <c r="O638" i="1"/>
  <c r="G648" i="1"/>
  <c r="K648" i="1"/>
  <c r="O648" i="1"/>
  <c r="G651" i="1"/>
  <c r="K651" i="1"/>
  <c r="O651" i="1"/>
  <c r="K652" i="1"/>
  <c r="G654" i="1"/>
  <c r="K654" i="1"/>
  <c r="O654" i="1"/>
  <c r="G655" i="1"/>
  <c r="K655" i="1"/>
  <c r="O655" i="1"/>
  <c r="G667" i="1"/>
  <c r="K667" i="1"/>
  <c r="O667" i="1"/>
  <c r="G666" i="1"/>
  <c r="K666" i="1"/>
  <c r="O666" i="1"/>
  <c r="G668" i="1"/>
  <c r="K668" i="1"/>
  <c r="O668" i="1"/>
  <c r="G669" i="1"/>
  <c r="K669" i="1"/>
  <c r="O669" i="1"/>
  <c r="G671" i="1"/>
  <c r="K671" i="1"/>
  <c r="O671" i="1"/>
  <c r="G672" i="1"/>
  <c r="K672" i="1"/>
  <c r="O672" i="1"/>
  <c r="G674" i="1"/>
  <c r="K674" i="1"/>
  <c r="O674" i="1"/>
  <c r="G675" i="1"/>
  <c r="K675" i="1"/>
  <c r="O675" i="1"/>
  <c r="G686" i="1"/>
  <c r="K686" i="1"/>
  <c r="O686" i="1"/>
  <c r="G687" i="1"/>
  <c r="K687" i="1"/>
  <c r="O687" i="1"/>
  <c r="G688" i="1"/>
  <c r="K688" i="1"/>
  <c r="O688" i="1"/>
  <c r="G689" i="1"/>
  <c r="K689" i="1"/>
  <c r="O689" i="1"/>
  <c r="G690" i="1"/>
  <c r="K690" i="1"/>
  <c r="O690" i="1"/>
  <c r="G685" i="1"/>
  <c r="K685" i="1"/>
  <c r="O685" i="1"/>
  <c r="G691" i="1"/>
  <c r="K691" i="1"/>
  <c r="O691" i="1"/>
  <c r="G693" i="1"/>
  <c r="K693" i="1"/>
  <c r="O693" i="1"/>
  <c r="G694" i="1"/>
  <c r="K694" i="1"/>
  <c r="O694" i="1"/>
  <c r="G696" i="1"/>
  <c r="K696" i="1"/>
  <c r="O696" i="1"/>
  <c r="G697" i="1"/>
  <c r="K697" i="1"/>
  <c r="O697" i="1"/>
  <c r="G698" i="1"/>
  <c r="K698" i="1"/>
  <c r="O698" i="1"/>
  <c r="G699" i="1"/>
  <c r="K699" i="1"/>
  <c r="O699" i="1"/>
  <c r="G710" i="1"/>
  <c r="K710" i="1"/>
  <c r="O710" i="1"/>
  <c r="G712" i="1"/>
  <c r="K712" i="1"/>
  <c r="O712" i="1"/>
  <c r="G709" i="1"/>
  <c r="K709" i="1"/>
  <c r="O709" i="1"/>
  <c r="G711" i="1"/>
  <c r="K711" i="1"/>
  <c r="O711" i="1"/>
  <c r="G713" i="1"/>
  <c r="K713" i="1"/>
  <c r="O713" i="1"/>
  <c r="G714" i="1"/>
  <c r="K714" i="1"/>
  <c r="O714" i="1"/>
  <c r="G716" i="1"/>
  <c r="K716" i="1"/>
  <c r="O716" i="1"/>
  <c r="G717" i="1"/>
  <c r="K717" i="1"/>
  <c r="O717" i="1"/>
  <c r="G719" i="1"/>
  <c r="K719" i="1"/>
  <c r="O719" i="1"/>
  <c r="G720" i="1"/>
  <c r="K720" i="1"/>
  <c r="O720" i="1"/>
  <c r="G721" i="1"/>
  <c r="K721" i="1"/>
  <c r="O721" i="1"/>
  <c r="G722" i="1"/>
  <c r="K722" i="1"/>
  <c r="O722" i="1"/>
  <c r="G733" i="1"/>
  <c r="K733" i="1"/>
  <c r="O733" i="1"/>
  <c r="G734" i="1"/>
  <c r="K734" i="1"/>
  <c r="O734" i="1"/>
  <c r="G735" i="1"/>
  <c r="K735" i="1"/>
  <c r="O735" i="1"/>
  <c r="G736" i="1"/>
  <c r="K736" i="1"/>
  <c r="O736" i="1"/>
  <c r="G737" i="1"/>
  <c r="K737" i="1"/>
  <c r="O737" i="1"/>
  <c r="G732" i="1"/>
  <c r="K732" i="1"/>
  <c r="O732" i="1"/>
  <c r="G738" i="1"/>
  <c r="K738" i="1"/>
  <c r="O738" i="1"/>
  <c r="G740" i="1"/>
  <c r="K740" i="1"/>
  <c r="O740" i="1"/>
  <c r="G863" i="1"/>
  <c r="K863" i="1"/>
  <c r="O863" i="1"/>
  <c r="G741" i="1"/>
  <c r="K741" i="1"/>
  <c r="O741" i="1"/>
  <c r="G743" i="1"/>
  <c r="K743" i="1"/>
  <c r="O743" i="1"/>
  <c r="G744" i="1"/>
  <c r="K744" i="1"/>
  <c r="O744" i="1"/>
  <c r="G745" i="1"/>
  <c r="K745" i="1"/>
  <c r="O745" i="1"/>
  <c r="G746" i="1"/>
  <c r="K746" i="1"/>
  <c r="O746" i="1"/>
  <c r="G747" i="1"/>
  <c r="K747" i="1"/>
  <c r="O747" i="1"/>
  <c r="G757" i="1"/>
  <c r="K757" i="1"/>
  <c r="O757" i="1"/>
  <c r="G758" i="1"/>
  <c r="K758" i="1"/>
  <c r="O758" i="1"/>
  <c r="G759" i="1"/>
  <c r="K759" i="1"/>
  <c r="O759" i="1"/>
  <c r="G760" i="1"/>
  <c r="K760" i="1"/>
  <c r="O760" i="1"/>
  <c r="G761" i="1"/>
  <c r="K761" i="1"/>
  <c r="O761" i="1"/>
  <c r="G762" i="1"/>
  <c r="K762" i="1"/>
  <c r="O762" i="1"/>
  <c r="G763" i="1"/>
  <c r="K763" i="1"/>
  <c r="O763" i="1"/>
  <c r="G764" i="1"/>
  <c r="K764" i="1"/>
  <c r="O764" i="1"/>
  <c r="G765" i="1"/>
  <c r="K765" i="1"/>
  <c r="O765" i="1"/>
  <c r="G766" i="1"/>
  <c r="K766" i="1"/>
  <c r="O766" i="1"/>
  <c r="G767" i="1"/>
  <c r="K767" i="1"/>
  <c r="O767" i="1"/>
  <c r="G768" i="1"/>
  <c r="K768" i="1"/>
  <c r="O768" i="1"/>
  <c r="G770" i="1"/>
  <c r="K770" i="1"/>
  <c r="O770" i="1"/>
  <c r="G771" i="1"/>
  <c r="K771" i="1"/>
  <c r="O771" i="1"/>
  <c r="G773" i="1"/>
  <c r="K773" i="1"/>
  <c r="O773" i="1"/>
  <c r="G774" i="1"/>
  <c r="K774" i="1"/>
  <c r="O774" i="1"/>
  <c r="G775" i="1"/>
  <c r="K775" i="1"/>
  <c r="O775" i="1"/>
  <c r="G776" i="1"/>
  <c r="K776" i="1"/>
  <c r="O776" i="1"/>
  <c r="G777" i="1"/>
  <c r="K777" i="1"/>
  <c r="O777" i="1"/>
  <c r="G787" i="1"/>
  <c r="K787" i="1"/>
  <c r="O787" i="1"/>
  <c r="G788" i="1"/>
  <c r="K788" i="1"/>
  <c r="O788" i="1"/>
  <c r="G789" i="1"/>
  <c r="K789" i="1"/>
  <c r="O789" i="1"/>
  <c r="G790" i="1"/>
  <c r="K790" i="1"/>
  <c r="O790" i="1"/>
  <c r="G791" i="1"/>
  <c r="K791" i="1"/>
  <c r="O791" i="1"/>
  <c r="G792" i="1"/>
  <c r="K792" i="1"/>
  <c r="O792" i="1"/>
  <c r="G793" i="1"/>
  <c r="K793" i="1"/>
  <c r="O793" i="1"/>
  <c r="G794" i="1"/>
  <c r="K794" i="1"/>
  <c r="O794" i="1"/>
  <c r="G796" i="1"/>
  <c r="K796" i="1"/>
  <c r="O796" i="1"/>
  <c r="G797" i="1"/>
  <c r="K797" i="1"/>
  <c r="O797" i="1"/>
  <c r="G799" i="1"/>
  <c r="K799" i="1"/>
  <c r="O799" i="1"/>
  <c r="G800" i="1"/>
  <c r="K800" i="1"/>
  <c r="O800" i="1"/>
  <c r="G801" i="1"/>
  <c r="K801" i="1"/>
  <c r="O801" i="1"/>
  <c r="G802" i="1"/>
  <c r="K802" i="1"/>
  <c r="O802" i="1"/>
  <c r="G812" i="1"/>
  <c r="K812" i="1"/>
  <c r="O812" i="1"/>
  <c r="G815" i="1"/>
  <c r="K815" i="1"/>
  <c r="O815" i="1"/>
  <c r="G820" i="1"/>
  <c r="K820" i="1"/>
  <c r="O820" i="1"/>
  <c r="G813" i="1"/>
  <c r="K813" i="1"/>
  <c r="O813" i="1"/>
  <c r="G814" i="1"/>
  <c r="K814" i="1"/>
  <c r="O814" i="1"/>
  <c r="G816" i="1"/>
  <c r="K816" i="1"/>
  <c r="O816" i="1"/>
  <c r="G817" i="1"/>
  <c r="K817" i="1"/>
  <c r="O817" i="1"/>
  <c r="G818" i="1"/>
  <c r="K818" i="1"/>
  <c r="O818" i="1"/>
  <c r="G819" i="1"/>
  <c r="K819" i="1"/>
  <c r="O819" i="1"/>
  <c r="G821" i="1"/>
  <c r="K821" i="1"/>
  <c r="O821" i="1"/>
  <c r="G823" i="1"/>
  <c r="K823" i="1"/>
  <c r="O823" i="1"/>
  <c r="G824" i="1"/>
  <c r="K824" i="1"/>
  <c r="O824" i="1"/>
  <c r="G826" i="1"/>
  <c r="K826" i="1"/>
  <c r="O826" i="1"/>
  <c r="G827" i="1"/>
  <c r="K827" i="1"/>
  <c r="O827" i="1"/>
  <c r="G828" i="1"/>
  <c r="K828" i="1"/>
  <c r="O828" i="1"/>
  <c r="G829" i="1"/>
  <c r="K829" i="1"/>
  <c r="O829" i="1"/>
  <c r="G839" i="1"/>
  <c r="K839" i="1"/>
  <c r="O839" i="1"/>
  <c r="G840" i="1"/>
  <c r="K840" i="1"/>
  <c r="O840" i="1"/>
  <c r="G841" i="1"/>
  <c r="K841" i="1"/>
  <c r="O841" i="1"/>
  <c r="G842" i="1"/>
  <c r="K842" i="1"/>
  <c r="O842" i="1"/>
  <c r="G843" i="1"/>
  <c r="K843" i="1"/>
  <c r="O843" i="1"/>
  <c r="G844" i="1"/>
  <c r="K844" i="1"/>
  <c r="O844" i="1"/>
  <c r="G846" i="1"/>
  <c r="K846" i="1"/>
  <c r="O846" i="1"/>
  <c r="G847" i="1"/>
  <c r="K847" i="1"/>
  <c r="O847" i="1"/>
  <c r="G849" i="1"/>
  <c r="K849" i="1"/>
  <c r="O849" i="1"/>
  <c r="G850" i="1"/>
  <c r="K850" i="1"/>
  <c r="O850" i="1"/>
  <c r="G851" i="1"/>
  <c r="K851" i="1"/>
  <c r="O851" i="1"/>
  <c r="G861" i="1"/>
  <c r="K861" i="1"/>
  <c r="O861" i="1"/>
  <c r="G864" i="1"/>
  <c r="K864" i="1"/>
  <c r="O864" i="1"/>
  <c r="G877" i="1"/>
  <c r="K877" i="1"/>
  <c r="O877" i="1"/>
  <c r="G878" i="1"/>
  <c r="K878" i="1"/>
  <c r="O878" i="1"/>
  <c r="G879" i="1"/>
  <c r="K879" i="1"/>
  <c r="O879" i="1"/>
  <c r="G881" i="1"/>
  <c r="K881" i="1"/>
  <c r="O881" i="1"/>
  <c r="G882" i="1"/>
  <c r="K882" i="1"/>
  <c r="O882" i="1"/>
  <c r="G884" i="1"/>
  <c r="K884" i="1"/>
  <c r="O884" i="1"/>
  <c r="G885" i="1"/>
  <c r="K885" i="1"/>
  <c r="O885" i="1"/>
  <c r="G895" i="1"/>
  <c r="K895" i="1"/>
  <c r="O895" i="1"/>
  <c r="G897" i="1"/>
  <c r="K897" i="1"/>
  <c r="O897" i="1"/>
  <c r="G898" i="1"/>
  <c r="K898" i="1"/>
  <c r="O898" i="1"/>
  <c r="G900" i="1"/>
  <c r="K900" i="1"/>
  <c r="O900" i="1"/>
  <c r="G901" i="1"/>
  <c r="K901" i="1"/>
  <c r="O901" i="1"/>
  <c r="G913" i="1"/>
  <c r="K913" i="1"/>
  <c r="O913" i="1"/>
  <c r="G914" i="1"/>
  <c r="K914" i="1"/>
  <c r="O914" i="1"/>
  <c r="G916" i="1"/>
  <c r="K916" i="1"/>
  <c r="O916" i="1"/>
  <c r="G917" i="1"/>
  <c r="K917" i="1"/>
  <c r="O917" i="1"/>
  <c r="G919" i="1"/>
  <c r="K919" i="1"/>
  <c r="O919" i="1"/>
  <c r="G920" i="1"/>
  <c r="K920" i="1"/>
  <c r="O920" i="1"/>
  <c r="G930" i="1"/>
  <c r="K930" i="1"/>
  <c r="O930" i="1"/>
  <c r="G931" i="1"/>
  <c r="K931" i="1"/>
  <c r="O931" i="1"/>
  <c r="G933" i="1"/>
  <c r="K933" i="1"/>
  <c r="O933" i="1"/>
  <c r="G934" i="1"/>
  <c r="K934" i="1"/>
  <c r="O934" i="1"/>
  <c r="G936" i="1"/>
  <c r="K936" i="1"/>
  <c r="O936" i="1"/>
  <c r="G937" i="1"/>
  <c r="K937" i="1"/>
  <c r="O937" i="1"/>
  <c r="G947" i="1"/>
  <c r="K947" i="1"/>
  <c r="O947" i="1"/>
  <c r="G949" i="1"/>
  <c r="K949" i="1"/>
  <c r="O949" i="1"/>
  <c r="G950" i="1"/>
  <c r="K950" i="1"/>
  <c r="O950" i="1"/>
  <c r="G952" i="1"/>
  <c r="K952" i="1"/>
  <c r="O952" i="1"/>
  <c r="G953" i="1"/>
  <c r="K953" i="1"/>
  <c r="O953" i="1"/>
  <c r="G963" i="1"/>
  <c r="K963" i="1"/>
  <c r="O963" i="1"/>
  <c r="G964" i="1"/>
  <c r="K964" i="1"/>
  <c r="O964" i="1"/>
  <c r="G966" i="1"/>
  <c r="K966" i="1"/>
  <c r="O966" i="1"/>
  <c r="G967" i="1"/>
  <c r="K967" i="1"/>
  <c r="O967" i="1"/>
  <c r="G969" i="1"/>
  <c r="K969" i="1"/>
  <c r="O969" i="1"/>
  <c r="G970" i="1"/>
  <c r="K970" i="1"/>
  <c r="O970" i="1"/>
  <c r="G980" i="1"/>
  <c r="K980" i="1"/>
  <c r="O980" i="1"/>
  <c r="G981" i="1"/>
  <c r="K981" i="1"/>
  <c r="O981" i="1"/>
  <c r="G983" i="1"/>
  <c r="K983" i="1"/>
  <c r="O983" i="1"/>
  <c r="G984" i="1"/>
  <c r="K984" i="1"/>
  <c r="O984" i="1"/>
  <c r="G986" i="1"/>
  <c r="K986" i="1"/>
  <c r="O986" i="1"/>
  <c r="G987" i="1"/>
  <c r="K987" i="1"/>
  <c r="O987" i="1"/>
  <c r="G997" i="1"/>
  <c r="K997" i="1"/>
  <c r="O997" i="1"/>
  <c r="G998" i="1"/>
  <c r="K998" i="1"/>
  <c r="O998" i="1"/>
  <c r="G1000" i="1"/>
  <c r="K1000" i="1"/>
  <c r="O1000" i="1"/>
  <c r="G1001" i="1"/>
  <c r="K1001" i="1"/>
  <c r="O1001" i="1"/>
  <c r="G1003" i="1"/>
  <c r="K1003" i="1"/>
  <c r="O1003" i="1"/>
  <c r="G1004" i="1"/>
  <c r="K1004" i="1"/>
  <c r="O1004" i="1"/>
  <c r="G1014" i="1"/>
  <c r="K1014" i="1"/>
  <c r="O1014" i="1"/>
  <c r="G1015" i="1"/>
  <c r="K1015" i="1"/>
  <c r="O1015" i="1"/>
  <c r="G1017" i="1"/>
  <c r="K1017" i="1"/>
  <c r="O1017" i="1"/>
  <c r="G1018" i="1"/>
  <c r="K1018" i="1"/>
  <c r="O1018" i="1"/>
  <c r="G1020" i="1"/>
  <c r="K1020" i="1"/>
  <c r="O1020" i="1"/>
  <c r="G1021" i="1"/>
  <c r="K1021" i="1"/>
  <c r="O1021" i="1"/>
  <c r="G1032" i="1"/>
  <c r="K1032" i="1"/>
  <c r="O1032" i="1"/>
  <c r="G1033" i="1"/>
  <c r="K1033" i="1"/>
  <c r="O1033" i="1"/>
  <c r="G1034" i="1"/>
  <c r="K1034" i="1"/>
  <c r="O1034" i="1"/>
  <c r="G1035" i="1"/>
  <c r="K1035" i="1"/>
  <c r="O1035" i="1"/>
  <c r="G1036" i="1"/>
  <c r="K1036" i="1"/>
  <c r="O1036" i="1"/>
  <c r="G1031" i="1"/>
  <c r="K1031" i="1"/>
  <c r="O1031" i="1"/>
  <c r="G1037" i="1"/>
  <c r="K1037" i="1"/>
  <c r="O1037" i="1"/>
  <c r="G1039" i="1"/>
  <c r="K1039" i="1"/>
  <c r="O1039" i="1"/>
  <c r="G1040" i="1"/>
  <c r="K1040" i="1"/>
  <c r="O1040" i="1"/>
  <c r="G1042" i="1"/>
  <c r="K1042" i="1"/>
  <c r="O1042" i="1"/>
  <c r="G1043" i="1"/>
  <c r="K1043" i="1"/>
  <c r="O1043" i="1"/>
  <c r="G1055" i="1"/>
  <c r="K1055" i="1"/>
  <c r="O1055" i="1"/>
  <c r="G1056" i="1"/>
  <c r="K1056" i="1"/>
  <c r="O1056" i="1"/>
  <c r="G1058" i="1"/>
  <c r="K1058" i="1"/>
  <c r="O1058" i="1"/>
  <c r="G1059" i="1"/>
  <c r="K1059" i="1"/>
  <c r="O1059" i="1"/>
  <c r="G1061" i="1"/>
  <c r="K1061" i="1"/>
  <c r="O1061" i="1"/>
  <c r="G1057" i="1"/>
  <c r="K1057" i="1"/>
  <c r="O1057" i="1"/>
  <c r="G1060" i="1"/>
  <c r="K1060" i="1"/>
  <c r="O1060" i="1"/>
  <c r="G1063" i="1"/>
  <c r="K1063" i="1"/>
  <c r="O1063" i="1"/>
  <c r="G1065" i="1"/>
  <c r="K1065" i="1"/>
  <c r="O1065" i="1"/>
  <c r="G1066" i="1"/>
  <c r="K1066" i="1"/>
  <c r="O1066" i="1"/>
  <c r="G1068" i="1"/>
  <c r="K1068" i="1"/>
  <c r="O1068" i="1"/>
  <c r="G1069" i="1"/>
  <c r="K1069" i="1"/>
  <c r="O1069" i="1"/>
  <c r="G1070" i="1"/>
  <c r="K1070" i="1"/>
  <c r="O1070" i="1"/>
  <c r="G1080" i="1"/>
  <c r="K1080" i="1"/>
  <c r="O1080" i="1"/>
  <c r="G1081" i="1"/>
  <c r="K1081" i="1"/>
  <c r="O1081" i="1"/>
  <c r="G1082" i="1"/>
  <c r="K1082" i="1"/>
  <c r="O1082" i="1"/>
  <c r="G1084" i="1"/>
  <c r="K1084" i="1"/>
  <c r="O1084" i="1"/>
  <c r="G1085" i="1"/>
  <c r="K1085" i="1"/>
  <c r="O1085" i="1"/>
  <c r="G1087" i="1"/>
  <c r="K1087" i="1"/>
  <c r="O1087" i="1"/>
  <c r="G1083" i="1"/>
  <c r="K1083" i="1"/>
  <c r="O1083" i="1"/>
  <c r="G1086" i="1"/>
  <c r="K1086" i="1"/>
  <c r="O1086" i="1"/>
  <c r="G1089" i="1"/>
  <c r="K1089" i="1"/>
  <c r="O1089" i="1"/>
  <c r="G1091" i="1"/>
  <c r="K1091" i="1"/>
  <c r="O1091" i="1"/>
  <c r="G1092" i="1"/>
  <c r="K1092" i="1"/>
  <c r="O1092" i="1"/>
  <c r="G1094" i="1"/>
  <c r="K1094" i="1"/>
  <c r="O1094" i="1"/>
  <c r="G1096" i="1"/>
  <c r="K1096" i="1"/>
  <c r="O1096" i="1"/>
  <c r="G1106" i="1"/>
  <c r="K1106" i="1"/>
  <c r="O1106" i="1"/>
  <c r="G1107" i="1"/>
  <c r="K1107" i="1"/>
  <c r="O1107" i="1"/>
  <c r="G1109" i="1"/>
  <c r="K1109" i="1"/>
  <c r="O1109" i="1"/>
  <c r="G1110" i="1"/>
  <c r="K1110" i="1"/>
  <c r="O1110" i="1"/>
  <c r="G1112" i="1"/>
  <c r="K1112" i="1"/>
  <c r="O1112" i="1"/>
  <c r="G1108" i="1"/>
  <c r="K1108" i="1"/>
  <c r="O1108" i="1"/>
  <c r="G1113" i="1"/>
  <c r="K1113" i="1"/>
  <c r="O1113" i="1"/>
  <c r="G1115" i="1"/>
  <c r="K1115" i="1"/>
  <c r="O1115" i="1"/>
  <c r="G1116" i="1"/>
  <c r="K1116" i="1"/>
  <c r="O1116" i="1"/>
  <c r="G1118" i="1"/>
  <c r="K1118" i="1"/>
  <c r="O1118" i="1"/>
  <c r="G1119" i="1"/>
  <c r="K1119" i="1"/>
  <c r="O1119" i="1"/>
  <c r="G1129" i="1"/>
  <c r="K1129" i="1"/>
  <c r="O1129" i="1"/>
  <c r="G1132" i="1"/>
  <c r="K1132" i="1"/>
  <c r="O1132" i="1"/>
  <c r="G1134" i="1"/>
  <c r="K1134" i="1"/>
  <c r="O1134" i="1"/>
  <c r="G1135" i="1"/>
  <c r="K1135" i="1"/>
  <c r="O1135" i="1"/>
  <c r="G1136" i="1"/>
  <c r="K1136" i="1"/>
  <c r="O1136" i="1"/>
  <c r="G1137" i="1"/>
  <c r="K1137" i="1"/>
  <c r="O1137" i="1"/>
  <c r="G1138" i="1"/>
  <c r="K1138" i="1"/>
  <c r="O1138" i="1"/>
  <c r="G1139" i="1"/>
  <c r="K1139" i="1"/>
  <c r="O1139" i="1"/>
  <c r="G1140" i="1"/>
  <c r="K1140" i="1"/>
  <c r="O1140" i="1"/>
  <c r="G1141" i="1"/>
  <c r="K1141" i="1"/>
  <c r="O1141" i="1"/>
  <c r="G1142" i="1"/>
  <c r="K1142" i="1"/>
  <c r="O1142" i="1"/>
  <c r="G1143" i="1"/>
  <c r="K1143" i="1"/>
  <c r="O1143" i="1"/>
  <c r="G1145" i="1"/>
  <c r="K1145" i="1"/>
  <c r="O1145" i="1"/>
  <c r="G1131" i="1"/>
  <c r="K1131" i="1"/>
  <c r="O1131" i="1"/>
  <c r="G1146" i="1"/>
  <c r="K1146" i="1"/>
  <c r="O1146" i="1"/>
  <c r="G1148" i="1"/>
  <c r="K1148" i="1"/>
  <c r="O1148" i="1"/>
  <c r="G1149" i="1"/>
  <c r="K1149" i="1"/>
  <c r="O1149" i="1"/>
  <c r="G1150" i="1"/>
  <c r="K1150" i="1"/>
  <c r="O1150" i="1"/>
  <c r="G1151" i="1"/>
  <c r="K1151" i="1"/>
  <c r="O1151" i="1"/>
  <c r="G1153" i="1"/>
  <c r="K1153" i="1"/>
  <c r="O1153" i="1"/>
  <c r="G1154" i="1"/>
  <c r="K1154" i="1"/>
  <c r="O1154" i="1"/>
  <c r="G1155" i="1"/>
  <c r="K1155" i="1"/>
  <c r="O1155" i="1"/>
  <c r="G1157" i="1"/>
  <c r="K1157" i="1"/>
  <c r="O1157" i="1"/>
  <c r="G1158" i="1"/>
  <c r="K1158" i="1"/>
  <c r="O1158" i="1"/>
  <c r="G1160" i="1"/>
  <c r="K1160" i="1"/>
  <c r="O1160" i="1"/>
  <c r="G1161" i="1"/>
  <c r="K1161" i="1"/>
  <c r="O1161" i="1"/>
  <c r="G1163" i="1"/>
  <c r="K1163" i="1"/>
  <c r="O1163" i="1"/>
  <c r="G1173" i="1"/>
  <c r="K1173" i="1"/>
  <c r="O1173" i="1"/>
  <c r="G1174" i="1"/>
  <c r="K1174" i="1"/>
  <c r="O1174" i="1"/>
  <c r="G1176" i="1"/>
  <c r="K1176" i="1"/>
  <c r="O1176" i="1"/>
  <c r="G1178" i="1"/>
  <c r="K1178" i="1"/>
  <c r="O1178" i="1"/>
  <c r="G1179" i="1"/>
  <c r="K1179" i="1"/>
  <c r="O1179" i="1"/>
  <c r="G1180" i="1"/>
  <c r="K1180" i="1"/>
  <c r="O1180" i="1"/>
  <c r="G1181" i="1"/>
  <c r="K1181" i="1"/>
  <c r="O1181" i="1"/>
  <c r="G1182" i="1"/>
  <c r="K1182" i="1"/>
  <c r="O1182" i="1"/>
  <c r="G1183" i="1"/>
  <c r="K1183" i="1"/>
  <c r="O1183" i="1"/>
  <c r="G1185" i="1"/>
  <c r="K1185" i="1"/>
  <c r="O1185" i="1"/>
  <c r="G1186" i="1"/>
  <c r="K1186" i="1"/>
  <c r="O1186" i="1"/>
  <c r="G1187" i="1"/>
  <c r="K1187" i="1"/>
  <c r="O1187" i="1"/>
  <c r="G1190" i="1"/>
  <c r="K1190" i="1"/>
  <c r="O1190" i="1"/>
  <c r="G1191" i="1"/>
  <c r="K1191" i="1"/>
  <c r="O1191" i="1"/>
  <c r="G1192" i="1"/>
  <c r="K1192" i="1"/>
  <c r="O1192" i="1"/>
  <c r="G1193" i="1"/>
  <c r="K1193" i="1"/>
  <c r="O1193" i="1"/>
  <c r="G1194" i="1"/>
  <c r="K1194" i="1"/>
  <c r="O1194" i="1"/>
  <c r="G1196" i="1"/>
  <c r="K1196" i="1"/>
  <c r="O1196" i="1"/>
  <c r="G1198" i="1"/>
  <c r="K1198" i="1"/>
  <c r="O1198" i="1"/>
  <c r="G1200" i="1"/>
  <c r="K1200" i="1"/>
  <c r="O1200" i="1"/>
  <c r="G1175" i="1"/>
  <c r="K1175" i="1"/>
  <c r="O1175" i="1"/>
  <c r="G1177" i="1"/>
  <c r="K1177" i="1"/>
  <c r="O1177" i="1"/>
  <c r="G1184" i="1"/>
  <c r="K1184" i="1"/>
  <c r="O1184" i="1"/>
  <c r="G1188" i="1"/>
  <c r="K1188" i="1"/>
  <c r="O1188" i="1"/>
  <c r="G1189" i="1"/>
  <c r="K1189" i="1"/>
  <c r="O1189" i="1"/>
  <c r="G1195" i="1"/>
  <c r="K1195" i="1"/>
  <c r="O1195" i="1"/>
  <c r="G1197" i="1"/>
  <c r="K1197" i="1"/>
  <c r="O1197" i="1"/>
  <c r="G1199" i="1"/>
  <c r="K1199" i="1"/>
  <c r="O1199" i="1"/>
  <c r="G1201" i="1"/>
  <c r="K1201" i="1"/>
  <c r="O1201" i="1"/>
  <c r="G1203" i="1"/>
  <c r="K1203" i="1"/>
  <c r="O1203" i="1"/>
  <c r="G1204" i="1"/>
  <c r="K1204" i="1"/>
  <c r="O1204" i="1"/>
  <c r="G1206" i="1"/>
  <c r="K1206" i="1"/>
  <c r="O1206" i="1"/>
  <c r="G1207" i="1"/>
  <c r="K1207" i="1"/>
  <c r="O1207" i="1"/>
  <c r="G1208" i="1"/>
  <c r="K1208" i="1"/>
  <c r="O1208" i="1"/>
  <c r="G1218" i="1"/>
  <c r="K1218" i="1"/>
  <c r="O1218" i="1"/>
  <c r="G1219" i="1"/>
  <c r="K1219" i="1"/>
  <c r="O1219" i="1"/>
  <c r="G1220" i="1"/>
  <c r="K1220" i="1"/>
  <c r="O1220" i="1"/>
  <c r="G1221" i="1"/>
  <c r="K1221" i="1"/>
  <c r="O1221" i="1"/>
  <c r="G1222" i="1"/>
  <c r="K1222" i="1"/>
  <c r="O1222" i="1"/>
  <c r="G1223" i="1"/>
  <c r="K1223" i="1"/>
  <c r="O1223" i="1"/>
  <c r="G1225" i="1"/>
  <c r="K1225" i="1"/>
  <c r="O1225" i="1"/>
  <c r="G1228" i="1"/>
  <c r="K1228" i="1"/>
  <c r="O1228" i="1"/>
  <c r="G1229" i="1"/>
  <c r="K1229" i="1"/>
  <c r="O1229" i="1"/>
  <c r="G1230" i="1"/>
  <c r="K1230" i="1"/>
  <c r="O1230" i="1"/>
  <c r="G1232" i="1"/>
  <c r="K1232" i="1"/>
  <c r="O1232" i="1"/>
  <c r="G1233" i="1"/>
  <c r="K1233" i="1"/>
  <c r="O1233" i="1"/>
  <c r="G1224" i="1"/>
  <c r="K1224" i="1"/>
  <c r="O1224" i="1"/>
  <c r="G1226" i="1"/>
  <c r="K1226" i="1"/>
  <c r="O1226" i="1"/>
  <c r="G1227" i="1"/>
  <c r="K1227" i="1"/>
  <c r="O1227" i="1"/>
  <c r="G1231" i="1"/>
  <c r="K1231" i="1"/>
  <c r="O1231" i="1"/>
  <c r="G1234" i="1"/>
  <c r="K1234" i="1"/>
  <c r="O1234" i="1"/>
  <c r="G1236" i="1"/>
  <c r="K1236" i="1"/>
  <c r="O1236" i="1"/>
  <c r="G1237" i="1"/>
  <c r="K1237" i="1"/>
  <c r="O1237" i="1"/>
  <c r="G1239" i="1"/>
  <c r="K1239" i="1"/>
  <c r="O1239" i="1"/>
  <c r="G1240" i="1"/>
  <c r="K1240" i="1"/>
  <c r="O1240" i="1"/>
  <c r="G1250" i="1"/>
  <c r="K1250" i="1"/>
  <c r="O1250" i="1"/>
  <c r="G1252" i="1"/>
  <c r="K1252" i="1"/>
  <c r="O1252" i="1"/>
  <c r="G1253" i="1"/>
  <c r="K1253" i="1"/>
  <c r="O1253" i="1"/>
  <c r="G1255" i="1"/>
  <c r="K1255" i="1"/>
  <c r="O1255" i="1"/>
  <c r="G1265" i="1"/>
  <c r="K1265" i="1"/>
  <c r="O1265" i="1"/>
  <c r="G1266" i="1"/>
  <c r="K1266" i="1"/>
  <c r="O1266" i="1"/>
  <c r="G1268" i="1"/>
  <c r="K1268" i="1"/>
  <c r="O1268" i="1"/>
  <c r="G1269" i="1"/>
  <c r="K1269" i="1"/>
  <c r="O1269" i="1"/>
  <c r="G1267" i="1"/>
  <c r="K1267" i="1"/>
  <c r="O1267" i="1"/>
  <c r="G1270" i="1"/>
  <c r="K1270" i="1"/>
  <c r="O1270" i="1"/>
  <c r="G1271" i="1"/>
  <c r="K1271" i="1"/>
  <c r="O1271" i="1"/>
  <c r="G1272" i="1"/>
  <c r="K1272" i="1"/>
  <c r="O1272" i="1"/>
  <c r="G1274" i="1"/>
  <c r="K1274" i="1"/>
  <c r="O1274" i="1"/>
  <c r="G1275" i="1"/>
  <c r="K1275" i="1"/>
  <c r="O1275" i="1"/>
  <c r="G1277" i="1"/>
  <c r="K1277" i="1"/>
  <c r="O1277" i="1"/>
  <c r="G1287" i="1"/>
  <c r="K1287" i="1"/>
  <c r="O1287" i="1"/>
  <c r="G1290" i="1"/>
  <c r="K1290" i="1"/>
  <c r="O1290" i="1"/>
  <c r="G1291" i="1"/>
  <c r="K1291" i="1"/>
  <c r="O1291" i="1"/>
  <c r="G1292" i="1"/>
  <c r="K1292" i="1"/>
  <c r="O1292" i="1"/>
  <c r="G1293" i="1"/>
  <c r="K1293" i="1"/>
  <c r="O1293" i="1"/>
  <c r="G1295" i="1"/>
  <c r="K1295" i="1"/>
  <c r="O1295" i="1"/>
  <c r="G1296" i="1"/>
  <c r="K1296" i="1"/>
  <c r="O1296" i="1"/>
  <c r="G1298" i="1"/>
  <c r="K1298" i="1"/>
  <c r="O1298" i="1"/>
  <c r="G1308" i="1"/>
  <c r="K1308" i="1"/>
  <c r="O1308" i="1"/>
  <c r="G1309" i="1"/>
  <c r="K1309" i="1"/>
  <c r="O1309" i="1"/>
  <c r="G1310" i="1"/>
  <c r="K1310" i="1"/>
  <c r="O1310" i="1"/>
  <c r="G1312" i="1"/>
  <c r="K1312" i="1"/>
  <c r="O1312" i="1"/>
  <c r="G1313" i="1"/>
  <c r="K1313" i="1"/>
  <c r="O1313" i="1"/>
  <c r="G1315" i="1"/>
  <c r="K1315" i="1"/>
  <c r="O1315" i="1"/>
  <c r="G1342" i="1"/>
  <c r="K1342" i="1"/>
  <c r="O1342" i="1"/>
  <c r="G1343" i="1"/>
  <c r="K1343" i="1"/>
  <c r="O1343" i="1"/>
  <c r="G1345" i="1"/>
  <c r="K1345" i="1"/>
  <c r="O1345" i="1"/>
  <c r="G1348" i="1"/>
  <c r="K1348" i="1"/>
  <c r="O1348" i="1"/>
  <c r="G1349" i="1"/>
  <c r="K1349" i="1"/>
  <c r="O1349" i="1"/>
  <c r="G1351" i="1"/>
  <c r="K1351" i="1"/>
  <c r="O1351" i="1"/>
  <c r="G1352" i="1"/>
  <c r="K1352" i="1"/>
  <c r="O1352" i="1"/>
  <c r="G1354" i="1"/>
  <c r="K1354" i="1"/>
  <c r="O1354" i="1"/>
  <c r="G1366" i="1"/>
  <c r="K1366" i="1"/>
  <c r="O1366" i="1"/>
  <c r="G1368" i="1"/>
  <c r="K1368" i="1"/>
  <c r="O1368" i="1"/>
  <c r="G1369" i="1"/>
  <c r="K1369" i="1"/>
  <c r="O1369" i="1"/>
  <c r="G1371" i="1"/>
  <c r="K1371" i="1"/>
  <c r="O1371" i="1"/>
  <c r="G1381" i="1"/>
  <c r="K1381" i="1"/>
  <c r="O1381" i="1"/>
  <c r="G1383" i="1"/>
  <c r="K1383" i="1"/>
  <c r="O1383" i="1"/>
  <c r="G1384" i="1"/>
  <c r="K1384" i="1"/>
  <c r="O1384" i="1"/>
  <c r="G1386" i="1"/>
  <c r="K1386" i="1"/>
  <c r="O1386" i="1"/>
  <c r="G1396" i="1"/>
  <c r="K1396" i="1"/>
  <c r="O1396" i="1"/>
  <c r="G1398" i="1"/>
  <c r="K1398" i="1"/>
  <c r="O1398" i="1"/>
  <c r="G1399" i="1"/>
  <c r="K1399" i="1"/>
  <c r="O1399" i="1"/>
  <c r="G1401" i="1"/>
  <c r="K1401" i="1"/>
  <c r="O1401" i="1"/>
  <c r="G1411" i="1"/>
  <c r="K1411" i="1"/>
  <c r="O1411" i="1"/>
  <c r="G1413" i="1"/>
  <c r="K1413" i="1"/>
  <c r="O1413" i="1"/>
  <c r="G1414" i="1"/>
  <c r="K1414" i="1"/>
  <c r="O1414" i="1"/>
  <c r="G1416" i="1"/>
  <c r="K1416" i="1"/>
  <c r="O1416" i="1"/>
  <c r="G1426" i="1"/>
  <c r="K1426" i="1"/>
  <c r="O1426" i="1"/>
  <c r="G1428" i="1"/>
  <c r="K1428" i="1"/>
  <c r="O1428" i="1"/>
  <c r="G1429" i="1"/>
  <c r="K1429" i="1"/>
  <c r="O1429" i="1"/>
  <c r="G1431" i="1"/>
  <c r="K1431" i="1"/>
  <c r="O1431" i="1"/>
  <c r="G1441" i="1"/>
  <c r="K1441" i="1"/>
  <c r="O1441" i="1"/>
  <c r="G1443" i="1"/>
  <c r="K1443" i="1"/>
  <c r="O1443" i="1"/>
  <c r="G1444" i="1"/>
  <c r="K1444" i="1"/>
  <c r="O1444" i="1"/>
  <c r="G1446" i="1"/>
  <c r="K1446" i="1"/>
  <c r="O1446" i="1"/>
  <c r="G1457" i="1"/>
  <c r="K1457" i="1"/>
  <c r="O1457" i="1"/>
  <c r="G1459" i="1"/>
  <c r="K1459" i="1"/>
  <c r="O1459" i="1"/>
  <c r="G1462" i="1"/>
  <c r="K1462" i="1"/>
  <c r="O1462" i="1"/>
  <c r="G1465" i="1"/>
  <c r="K1465" i="1"/>
  <c r="O1465" i="1"/>
  <c r="G1467" i="1"/>
  <c r="K1467" i="1"/>
  <c r="O1467" i="1"/>
  <c r="G1468" i="1"/>
  <c r="K1468" i="1"/>
  <c r="O1468" i="1"/>
  <c r="G1470" i="1"/>
  <c r="K1470" i="1"/>
  <c r="O1470" i="1"/>
  <c r="G1480" i="1"/>
  <c r="K1480" i="1"/>
  <c r="O1480" i="1"/>
  <c r="G1482" i="1"/>
  <c r="K1482" i="1"/>
  <c r="O1482" i="1"/>
  <c r="G1483" i="1"/>
  <c r="K1483" i="1"/>
  <c r="O1483" i="1"/>
  <c r="G1484" i="1"/>
  <c r="K1484" i="1"/>
  <c r="O1484" i="1"/>
  <c r="G1486" i="1"/>
  <c r="K1486" i="1"/>
  <c r="O1486" i="1"/>
  <c r="G1487" i="1"/>
  <c r="K1487" i="1"/>
  <c r="O1487" i="1"/>
  <c r="G1490" i="1"/>
  <c r="K1490" i="1"/>
  <c r="O1490" i="1"/>
  <c r="G1491" i="1"/>
  <c r="K1491" i="1"/>
  <c r="O1491" i="1"/>
  <c r="G1492" i="1"/>
  <c r="K1492" i="1"/>
  <c r="O1492" i="1"/>
  <c r="G1494" i="1"/>
  <c r="K1494" i="1"/>
  <c r="O1494" i="1"/>
  <c r="G1495" i="1"/>
  <c r="K1495" i="1"/>
  <c r="O1495" i="1"/>
  <c r="G1497" i="1"/>
  <c r="K1497" i="1"/>
  <c r="O1497" i="1"/>
  <c r="G1507" i="1"/>
  <c r="K1507" i="1"/>
  <c r="O1507" i="1"/>
  <c r="G1509" i="1"/>
  <c r="K1509" i="1"/>
  <c r="O1509" i="1"/>
  <c r="G1510" i="1"/>
  <c r="K1510" i="1"/>
  <c r="O1510" i="1"/>
  <c r="G1512" i="1"/>
  <c r="K1512" i="1"/>
  <c r="O1512" i="1"/>
  <c r="G1522" i="1"/>
  <c r="K1522" i="1"/>
  <c r="O1522" i="1"/>
  <c r="G1524" i="1"/>
  <c r="K1524" i="1"/>
  <c r="O1524" i="1"/>
  <c r="G1525" i="1"/>
  <c r="K1525" i="1"/>
  <c r="O1525" i="1"/>
  <c r="G1527" i="1"/>
  <c r="K1527" i="1"/>
  <c r="O1527" i="1"/>
  <c r="G1537" i="1"/>
  <c r="K1537" i="1"/>
  <c r="O1537" i="1"/>
  <c r="G1539" i="1"/>
  <c r="K1539" i="1"/>
  <c r="O1539" i="1"/>
  <c r="G1540" i="1"/>
  <c r="K1540" i="1"/>
  <c r="O1540" i="1"/>
  <c r="G1542" i="1"/>
  <c r="K1542" i="1"/>
  <c r="O1542" i="1"/>
  <c r="G1556" i="1"/>
  <c r="K1556" i="1"/>
  <c r="O1556" i="1"/>
  <c r="G1557" i="1"/>
  <c r="K1557" i="1"/>
  <c r="O1557" i="1"/>
  <c r="G1558" i="1"/>
  <c r="K1558" i="1"/>
  <c r="O1558" i="1"/>
  <c r="G1560" i="1"/>
  <c r="K1560" i="1"/>
  <c r="O1560" i="1"/>
  <c r="G1561" i="1"/>
  <c r="K1561" i="1"/>
  <c r="O1561" i="1"/>
  <c r="G1562" i="1"/>
  <c r="K1562" i="1"/>
  <c r="O1562" i="1"/>
  <c r="G1563" i="1"/>
  <c r="K1563" i="1"/>
  <c r="O1563" i="1"/>
  <c r="G1565" i="1"/>
  <c r="K1565" i="1"/>
  <c r="O1565" i="1"/>
  <c r="G1567" i="1"/>
  <c r="K1567" i="1"/>
  <c r="O1567" i="1"/>
  <c r="G1569" i="1"/>
  <c r="K1569" i="1"/>
  <c r="O1569" i="1"/>
  <c r="G1571" i="1"/>
  <c r="K1571" i="1"/>
  <c r="O1571" i="1"/>
  <c r="G1585" i="1"/>
  <c r="K1585" i="1"/>
  <c r="O1585" i="1"/>
  <c r="G1587" i="1"/>
  <c r="K1587" i="1"/>
  <c r="O1587" i="1"/>
  <c r="G1588" i="1"/>
  <c r="K1588" i="1"/>
  <c r="O1588" i="1"/>
  <c r="G1591" i="1"/>
  <c r="K1591" i="1"/>
  <c r="O1591" i="1"/>
  <c r="G1593" i="1"/>
  <c r="K1593" i="1"/>
  <c r="O1593" i="1"/>
  <c r="G1595" i="1"/>
  <c r="K1595" i="1"/>
  <c r="O1595" i="1"/>
  <c r="G1596" i="1"/>
  <c r="K1596" i="1"/>
  <c r="O1596" i="1"/>
  <c r="G1613" i="1"/>
  <c r="K1613" i="1"/>
  <c r="O1613" i="1"/>
  <c r="G1616" i="1"/>
  <c r="K1616" i="1"/>
  <c r="O1616" i="1"/>
  <c r="G1617" i="1"/>
  <c r="K1617" i="1"/>
  <c r="O1617" i="1"/>
  <c r="G1618" i="1"/>
  <c r="K1618" i="1"/>
  <c r="O1618" i="1"/>
  <c r="G1620" i="1"/>
  <c r="K1620" i="1"/>
  <c r="O1620" i="1"/>
  <c r="G1623" i="1"/>
  <c r="K1623" i="1"/>
  <c r="O1623" i="1"/>
  <c r="G1609" i="1"/>
  <c r="K1609" i="1"/>
  <c r="O1609" i="1"/>
  <c r="G1615" i="1"/>
  <c r="K1615" i="1"/>
  <c r="O1615" i="1"/>
  <c r="G1624" i="1"/>
  <c r="K1624" i="1"/>
  <c r="O1624" i="1"/>
  <c r="G1626" i="1"/>
  <c r="K1626" i="1"/>
  <c r="O1626" i="1"/>
  <c r="G1627" i="1"/>
  <c r="K1627" i="1"/>
  <c r="O1627" i="1"/>
  <c r="G1628" i="1"/>
  <c r="K1628" i="1"/>
  <c r="O1628" i="1"/>
  <c r="G1630" i="1"/>
  <c r="K1630" i="1"/>
  <c r="O1630" i="1"/>
  <c r="G1631" i="1"/>
  <c r="K1631" i="1"/>
  <c r="O1631" i="1"/>
  <c r="G1632" i="1"/>
  <c r="K1632" i="1"/>
  <c r="O1632" i="1"/>
  <c r="G1634" i="1"/>
  <c r="K1634" i="1"/>
  <c r="O1634" i="1"/>
  <c r="G1635" i="1"/>
  <c r="K1635" i="1"/>
  <c r="O1635" i="1"/>
  <c r="G1637" i="1"/>
  <c r="K1637" i="1"/>
  <c r="O1637" i="1"/>
  <c r="G1649" i="1"/>
  <c r="K1649" i="1"/>
  <c r="O1649" i="1"/>
  <c r="G1652" i="1"/>
  <c r="K1652" i="1"/>
  <c r="O1652" i="1"/>
  <c r="G1653" i="1"/>
  <c r="K1653" i="1"/>
  <c r="O1653" i="1"/>
  <c r="G1656" i="1"/>
  <c r="K1656" i="1"/>
  <c r="O1656" i="1"/>
  <c r="G1657" i="1"/>
  <c r="K1657" i="1"/>
  <c r="O1657" i="1"/>
  <c r="G1687" i="1"/>
  <c r="K1687" i="1"/>
  <c r="O1687" i="1"/>
  <c r="G1688" i="1"/>
  <c r="K1688" i="1"/>
  <c r="O1688" i="1"/>
  <c r="G1690" i="1"/>
  <c r="K1690" i="1"/>
  <c r="O1690" i="1"/>
  <c r="G1699" i="1"/>
  <c r="K1699" i="1"/>
  <c r="O1699" i="1"/>
  <c r="G1711" i="1"/>
  <c r="K1711" i="1"/>
  <c r="O1711" i="1"/>
  <c r="G1710" i="1"/>
  <c r="K1710" i="1"/>
  <c r="O1710" i="1"/>
  <c r="G1712" i="1"/>
  <c r="K1712" i="1"/>
  <c r="O1712" i="1"/>
  <c r="G1715" i="1"/>
  <c r="K1715" i="1"/>
  <c r="O1715" i="1"/>
  <c r="G1714" i="1"/>
  <c r="K1714" i="1"/>
  <c r="O1714" i="1"/>
  <c r="G1717" i="1"/>
  <c r="K1717" i="1"/>
  <c r="O1717" i="1"/>
  <c r="G1718" i="1"/>
  <c r="K1718" i="1"/>
  <c r="O1718" i="1"/>
  <c r="G1722" i="1"/>
  <c r="K1722" i="1"/>
  <c r="O1722" i="1"/>
  <c r="G36" i="1"/>
  <c r="K36" i="1"/>
  <c r="O36" i="1"/>
  <c r="G1724" i="1"/>
  <c r="K1724" i="1"/>
  <c r="O1724" i="1"/>
  <c r="G1725" i="1"/>
  <c r="K1725" i="1"/>
  <c r="O1725" i="1"/>
  <c r="G1726" i="1"/>
  <c r="K1726" i="1"/>
  <c r="O1726" i="1"/>
  <c r="G1727" i="1"/>
  <c r="K1727" i="1"/>
  <c r="O1727" i="1"/>
  <c r="G1730" i="1"/>
  <c r="K1730" i="1"/>
  <c r="O1730" i="1"/>
  <c r="G1731" i="1"/>
  <c r="K1731" i="1"/>
  <c r="O1731" i="1"/>
  <c r="G1734" i="1"/>
  <c r="K1734" i="1"/>
  <c r="O1734" i="1"/>
  <c r="G1735" i="1"/>
  <c r="K1735" i="1"/>
  <c r="O1735" i="1"/>
  <c r="G1737" i="1"/>
  <c r="K1737" i="1"/>
  <c r="O1737" i="1"/>
  <c r="G1739" i="1"/>
  <c r="K1739" i="1"/>
  <c r="O1739" i="1"/>
  <c r="G1740" i="1"/>
  <c r="K1740" i="1"/>
  <c r="O1740" i="1"/>
  <c r="G1750" i="1"/>
  <c r="K1750" i="1"/>
  <c r="O1750" i="1"/>
  <c r="G1751" i="1"/>
  <c r="K1751" i="1"/>
  <c r="O1751" i="1"/>
  <c r="G1753" i="1"/>
  <c r="K1753" i="1"/>
  <c r="O1753" i="1"/>
  <c r="G1754" i="1"/>
  <c r="K1754" i="1"/>
  <c r="O1754" i="1"/>
  <c r="G1756" i="1"/>
  <c r="K1756" i="1"/>
  <c r="O1756" i="1"/>
  <c r="G1757" i="1"/>
  <c r="K1757" i="1"/>
  <c r="O1757" i="1"/>
  <c r="G1857" i="1"/>
  <c r="K1857" i="1"/>
  <c r="O1857" i="1"/>
  <c r="G1859" i="1"/>
  <c r="K1859" i="1"/>
  <c r="O1859" i="1"/>
  <c r="G1860" i="1"/>
  <c r="K1860" i="1"/>
  <c r="O1860" i="1"/>
  <c r="G1862" i="1"/>
  <c r="K1862" i="1"/>
  <c r="O1862" i="1"/>
  <c r="G1863" i="1"/>
  <c r="K1863" i="1"/>
  <c r="O1863" i="1"/>
  <c r="G1873" i="1"/>
  <c r="K1873" i="1"/>
  <c r="O1873" i="1"/>
  <c r="G1874" i="1"/>
  <c r="K1874" i="1"/>
  <c r="O1874" i="1"/>
  <c r="G1876" i="1"/>
  <c r="K1876" i="1"/>
  <c r="O1876" i="1"/>
  <c r="G1877" i="1"/>
  <c r="K1877" i="1"/>
  <c r="O1877" i="1"/>
  <c r="G1879" i="1"/>
  <c r="K1879" i="1"/>
  <c r="O1879" i="1"/>
  <c r="G1889" i="1"/>
  <c r="K1889" i="1"/>
  <c r="O1889" i="1"/>
  <c r="G1892" i="1"/>
  <c r="K1892" i="1"/>
  <c r="O1892" i="1"/>
  <c r="G1893" i="1"/>
  <c r="K1893" i="1"/>
  <c r="O1893" i="1"/>
  <c r="G1894" i="1"/>
  <c r="K1894" i="1"/>
  <c r="O1894" i="1"/>
  <c r="G1896" i="1"/>
  <c r="K1896" i="1"/>
  <c r="O1896" i="1"/>
  <c r="G1897" i="1"/>
  <c r="K1897" i="1"/>
  <c r="O1897" i="1"/>
  <c r="G1899" i="1"/>
  <c r="K1899" i="1"/>
  <c r="O1899" i="1"/>
  <c r="G1936" i="1"/>
  <c r="K1936" i="1"/>
  <c r="O1936" i="1"/>
  <c r="G1943" i="1"/>
  <c r="K1943" i="1"/>
  <c r="O1943" i="1"/>
  <c r="G1944" i="1"/>
  <c r="K1944" i="1"/>
  <c r="O1944" i="1"/>
  <c r="G1946" i="1"/>
  <c r="K1946" i="1"/>
  <c r="O1946" i="1"/>
  <c r="G1957" i="1"/>
  <c r="K1957" i="1"/>
  <c r="O1957" i="1"/>
  <c r="G1958" i="1"/>
  <c r="K1958" i="1"/>
  <c r="O1958" i="1"/>
  <c r="G1959" i="1"/>
  <c r="K1959" i="1"/>
  <c r="O1959" i="1"/>
  <c r="G1961" i="1"/>
  <c r="K1961" i="1"/>
  <c r="O1961" i="1"/>
  <c r="G1962" i="1"/>
  <c r="K1962" i="1"/>
  <c r="O1962" i="1"/>
  <c r="G1964" i="1"/>
  <c r="K1964" i="1"/>
  <c r="O1964" i="1"/>
  <c r="G1974" i="1"/>
  <c r="K1974" i="1"/>
  <c r="O1974" i="1"/>
  <c r="G1975" i="1"/>
  <c r="K1975" i="1"/>
  <c r="O1975" i="1"/>
  <c r="G1976" i="1"/>
  <c r="K1976" i="1"/>
  <c r="O1976" i="1"/>
  <c r="G1977" i="1"/>
  <c r="K1977" i="1"/>
  <c r="O1977" i="1"/>
  <c r="G1978" i="1"/>
  <c r="K1978" i="1"/>
  <c r="O1978" i="1"/>
  <c r="G1979" i="1"/>
  <c r="K1979" i="1"/>
  <c r="O1979" i="1"/>
  <c r="G1981" i="1"/>
  <c r="K1981" i="1"/>
  <c r="O1981" i="1"/>
  <c r="G1982" i="1"/>
  <c r="K1982" i="1"/>
  <c r="O1982" i="1"/>
  <c r="G1984" i="1"/>
  <c r="K1984" i="1"/>
  <c r="O1984" i="1"/>
  <c r="G1994" i="1"/>
  <c r="K1994" i="1"/>
  <c r="O1994" i="1"/>
  <c r="G1995" i="1"/>
  <c r="K1995" i="1"/>
  <c r="O1995" i="1"/>
  <c r="G1996" i="1"/>
  <c r="K1996" i="1"/>
  <c r="O1996" i="1"/>
  <c r="G1997" i="1"/>
  <c r="K1997" i="1"/>
  <c r="O1997" i="1"/>
  <c r="G1998" i="1"/>
  <c r="K1998" i="1"/>
  <c r="O1998" i="1"/>
  <c r="G1999" i="1"/>
  <c r="K1999" i="1"/>
  <c r="O1999" i="1"/>
  <c r="G2000" i="1"/>
  <c r="K2000" i="1"/>
  <c r="O2000" i="1"/>
  <c r="G2002" i="1"/>
  <c r="K2002" i="1"/>
  <c r="O2002" i="1"/>
  <c r="G2003" i="1"/>
  <c r="K2003" i="1"/>
  <c r="O2003" i="1"/>
  <c r="G2005" i="1"/>
  <c r="K2005" i="1"/>
  <c r="O2005" i="1"/>
  <c r="G2006" i="1"/>
  <c r="K2006" i="1"/>
  <c r="O2006" i="1"/>
  <c r="G2016" i="1"/>
  <c r="K2016" i="1"/>
  <c r="O2016" i="1"/>
  <c r="G2018" i="1"/>
  <c r="K2018" i="1"/>
  <c r="O2018" i="1"/>
  <c r="G2019" i="1"/>
  <c r="K2019" i="1"/>
  <c r="O2019" i="1"/>
  <c r="G2021" i="1"/>
  <c r="K2021" i="1"/>
  <c r="O2021" i="1"/>
  <c r="G2031" i="1"/>
  <c r="K2031" i="1"/>
  <c r="O2031" i="1"/>
  <c r="G2033" i="1"/>
  <c r="K2033" i="1"/>
  <c r="O2033" i="1"/>
  <c r="G2034" i="1"/>
  <c r="K2034" i="1"/>
  <c r="O2034" i="1"/>
  <c r="G2035" i="1"/>
  <c r="K2035" i="1"/>
  <c r="O2035" i="1"/>
  <c r="G2036" i="1"/>
  <c r="K2036" i="1"/>
  <c r="O2036" i="1"/>
  <c r="G2038" i="1"/>
  <c r="K2038" i="1"/>
  <c r="O2038" i="1"/>
  <c r="G2039" i="1"/>
  <c r="K2039" i="1"/>
  <c r="O2039" i="1"/>
  <c r="G2041" i="1"/>
  <c r="K2041" i="1"/>
  <c r="O2041" i="1"/>
  <c r="G2042" i="1"/>
  <c r="K2042" i="1"/>
  <c r="O2042" i="1"/>
  <c r="G2052" i="1"/>
  <c r="K2052" i="1"/>
  <c r="O2052" i="1"/>
  <c r="G2053" i="1"/>
  <c r="K2053" i="1"/>
  <c r="O2053" i="1"/>
  <c r="G2054" i="1"/>
  <c r="K2054" i="1"/>
  <c r="O2054" i="1"/>
  <c r="G2056" i="1"/>
  <c r="K2056" i="1"/>
  <c r="O2056" i="1"/>
  <c r="G2057" i="1"/>
  <c r="K2057" i="1"/>
  <c r="O2057" i="1"/>
  <c r="G2059" i="1"/>
  <c r="K2059" i="1"/>
  <c r="O2059" i="1"/>
  <c r="G2069" i="1"/>
  <c r="K2069" i="1"/>
  <c r="O2069" i="1"/>
  <c r="G2071" i="1"/>
  <c r="K2071" i="1"/>
  <c r="O2071" i="1"/>
  <c r="G2072" i="1"/>
  <c r="K2072" i="1"/>
  <c r="O2072" i="1"/>
  <c r="G2074" i="1"/>
  <c r="K2074" i="1"/>
  <c r="O2074" i="1"/>
  <c r="G2084" i="1"/>
  <c r="K2084" i="1"/>
  <c r="O2084" i="1"/>
  <c r="G2085" i="1"/>
  <c r="K2085" i="1"/>
  <c r="O2085" i="1"/>
  <c r="G2086" i="1"/>
  <c r="K2086" i="1"/>
  <c r="O2086" i="1"/>
  <c r="G2088" i="1"/>
  <c r="K2088" i="1"/>
  <c r="O2088" i="1"/>
  <c r="G2089" i="1"/>
  <c r="K2089" i="1"/>
  <c r="O2089" i="1"/>
  <c r="G2091" i="1"/>
  <c r="K2091" i="1"/>
  <c r="O2091" i="1"/>
  <c r="G2092" i="1"/>
  <c r="K2092" i="1"/>
  <c r="O2092" i="1"/>
  <c r="G2102" i="1"/>
  <c r="K2102" i="1"/>
  <c r="O2102" i="1"/>
  <c r="G2104" i="1"/>
  <c r="K2104" i="1"/>
  <c r="O2104" i="1"/>
  <c r="G2105" i="1"/>
  <c r="K2105" i="1"/>
  <c r="O2105" i="1"/>
  <c r="G2106" i="1"/>
  <c r="K2106" i="1"/>
  <c r="O2106" i="1"/>
  <c r="G2107" i="1"/>
  <c r="K2107" i="1"/>
  <c r="O2107" i="1"/>
  <c r="G2109" i="1"/>
  <c r="K2109" i="1"/>
  <c r="O2109" i="1"/>
  <c r="G2110" i="1"/>
  <c r="K2110" i="1"/>
  <c r="O2110" i="1"/>
  <c r="G2112" i="1"/>
  <c r="K2112" i="1"/>
  <c r="O2112" i="1"/>
  <c r="G2113" i="1"/>
  <c r="K2113" i="1"/>
  <c r="O2113" i="1"/>
  <c r="G2123" i="1"/>
  <c r="K2123" i="1"/>
  <c r="O2123" i="1"/>
  <c r="G2124" i="1"/>
  <c r="K2124" i="1"/>
  <c r="O2124" i="1"/>
  <c r="G2125" i="1"/>
  <c r="K2125" i="1"/>
  <c r="O2125" i="1"/>
  <c r="G2126" i="1"/>
  <c r="K2126" i="1"/>
  <c r="O2126" i="1"/>
  <c r="G2128" i="1"/>
  <c r="K2128" i="1"/>
  <c r="O2128" i="1"/>
  <c r="G2129" i="1"/>
  <c r="K2129" i="1"/>
  <c r="O2129" i="1"/>
  <c r="G2131" i="1"/>
  <c r="K2131" i="1"/>
  <c r="O2131" i="1"/>
  <c r="K414" i="1" l="1"/>
  <c r="Q409" i="1"/>
  <c r="Q410" i="1"/>
  <c r="Q417" i="1"/>
  <c r="O1742" i="1"/>
  <c r="O1743" i="1" s="1"/>
  <c r="K1742" i="1"/>
  <c r="K1743" i="1" s="1"/>
  <c r="G1742" i="1"/>
  <c r="G1743" i="1" s="1"/>
  <c r="G125" i="1"/>
  <c r="G126" i="1" s="1"/>
  <c r="O1641" i="1"/>
  <c r="O1642" i="1" s="1"/>
  <c r="K1641" i="1"/>
  <c r="K1642" i="1" s="1"/>
  <c r="G1641" i="1"/>
  <c r="G1642" i="1" s="1"/>
  <c r="K1659" i="1"/>
  <c r="K1660" i="1" s="1"/>
  <c r="O602" i="1"/>
  <c r="O603" i="1" s="1"/>
  <c r="K602" i="1"/>
  <c r="K603" i="1" s="1"/>
  <c r="G602" i="1"/>
  <c r="G603" i="1" s="1"/>
  <c r="O420" i="1"/>
  <c r="O421" i="1" s="1"/>
  <c r="K420" i="1"/>
  <c r="K421" i="1" s="1"/>
  <c r="G420" i="1"/>
  <c r="G421" i="1" s="1"/>
  <c r="K50" i="1"/>
  <c r="K51" i="1" s="1"/>
  <c r="G50" i="1"/>
  <c r="G51" i="1" s="1"/>
  <c r="G238" i="1"/>
  <c r="G239" i="1" s="1"/>
  <c r="G1279" i="1"/>
  <c r="G1280" i="1" s="1"/>
  <c r="G1072" i="1"/>
  <c r="G1073" i="1" s="1"/>
  <c r="O168" i="1"/>
  <c r="O169" i="1" s="1"/>
  <c r="G831" i="1"/>
  <c r="G832" i="1" s="1"/>
  <c r="O1006" i="1"/>
  <c r="O1007" i="1" s="1"/>
  <c r="K972" i="1"/>
  <c r="K973" i="1" s="1"/>
  <c r="O151" i="1"/>
  <c r="O152" i="1" s="1"/>
  <c r="G1448" i="1"/>
  <c r="G1449" i="1" s="1"/>
  <c r="G1659" i="1"/>
  <c r="G1660" i="1" s="1"/>
  <c r="G1544" i="1"/>
  <c r="G1545" i="1" s="1"/>
  <c r="K1023" i="1"/>
  <c r="K1024" i="1" s="1"/>
  <c r="O256" i="1"/>
  <c r="O257" i="1" s="1"/>
  <c r="K256" i="1"/>
  <c r="O2061" i="1"/>
  <c r="O2062" i="1" s="1"/>
  <c r="G18" i="1"/>
  <c r="G19" i="1" s="1"/>
  <c r="K989" i="1"/>
  <c r="K990" i="1" s="1"/>
  <c r="K1966" i="1"/>
  <c r="K1967" i="1" s="1"/>
  <c r="O1257" i="1"/>
  <c r="O1258" i="1" s="1"/>
  <c r="K2133" i="1"/>
  <c r="K2134" i="1" s="1"/>
  <c r="K2094" i="1"/>
  <c r="K2095" i="1" s="1"/>
  <c r="G939" i="1"/>
  <c r="G940" i="1" s="1"/>
  <c r="G922" i="1"/>
  <c r="G923" i="1" s="1"/>
  <c r="O955" i="1"/>
  <c r="O956" i="1" s="1"/>
  <c r="K1279" i="1"/>
  <c r="K1280" i="1" s="1"/>
  <c r="K1121" i="1"/>
  <c r="K1122" i="1" s="1"/>
  <c r="O658" i="1"/>
  <c r="O659" i="1" s="1"/>
  <c r="O640" i="1"/>
  <c r="O641" i="1" s="1"/>
  <c r="G256" i="1"/>
  <c r="G257" i="1" s="1"/>
  <c r="K188" i="1"/>
  <c r="K189" i="1" s="1"/>
  <c r="O2133" i="1"/>
  <c r="O2134" i="1" s="1"/>
  <c r="G2061" i="1"/>
  <c r="G2062" i="1" s="1"/>
  <c r="G1901" i="1"/>
  <c r="G1902" i="1" s="1"/>
  <c r="G1356" i="1"/>
  <c r="G1357" i="1" s="1"/>
  <c r="K677" i="1"/>
  <c r="K678" i="1" s="1"/>
  <c r="K151" i="1"/>
  <c r="K152" i="1" s="1"/>
  <c r="G903" i="1"/>
  <c r="G904" i="1" s="1"/>
  <c r="G220" i="1"/>
  <c r="G221" i="1" s="1"/>
  <c r="K168" i="1"/>
  <c r="K169" i="1" s="1"/>
  <c r="K2044" i="1"/>
  <c r="K2045" i="1" s="1"/>
  <c r="O1121" i="1"/>
  <c r="O1122" i="1" s="1"/>
  <c r="G724" i="1"/>
  <c r="G725" i="1" s="1"/>
  <c r="O1881" i="1"/>
  <c r="O1882" i="1" s="1"/>
  <c r="O1448" i="1"/>
  <c r="O1449" i="1" s="1"/>
  <c r="K1006" i="1"/>
  <c r="K1007" i="1" s="1"/>
  <c r="O939" i="1"/>
  <c r="O940" i="1" s="1"/>
  <c r="K437" i="1"/>
  <c r="K438" i="1" s="1"/>
  <c r="K2061" i="1"/>
  <c r="K2062" i="1" s="1"/>
  <c r="K1529" i="1"/>
  <c r="K1530" i="1" s="1"/>
  <c r="K1514" i="1"/>
  <c r="K1515" i="1" s="1"/>
  <c r="O972" i="1"/>
  <c r="O973" i="1" s="1"/>
  <c r="G437" i="1"/>
  <c r="G438" i="1" s="1"/>
  <c r="G1701" i="1"/>
  <c r="G1702" i="1" s="1"/>
  <c r="G1598" i="1"/>
  <c r="G1599" i="1" s="1"/>
  <c r="K658" i="1"/>
  <c r="K659" i="1" s="1"/>
  <c r="O1865" i="1"/>
  <c r="O1866" i="1" s="1"/>
  <c r="O1544" i="1"/>
  <c r="O1545" i="1" s="1"/>
  <c r="O989" i="1"/>
  <c r="O990" i="1" s="1"/>
  <c r="K955" i="1"/>
  <c r="K956" i="1" s="1"/>
  <c r="G619" i="1"/>
  <c r="G620" i="1" s="1"/>
  <c r="K1317" i="1"/>
  <c r="K1318" i="1" s="1"/>
  <c r="K1098" i="1"/>
  <c r="K1099" i="1" s="1"/>
  <c r="G1006" i="1"/>
  <c r="G1007" i="1" s="1"/>
  <c r="G524" i="1"/>
  <c r="G525" i="1" s="1"/>
  <c r="G541" i="1"/>
  <c r="G542" i="1" s="1"/>
  <c r="G1865" i="1"/>
  <c r="G1866" i="1" s="1"/>
  <c r="G1418" i="1"/>
  <c r="G1419" i="1" s="1"/>
  <c r="G1388" i="1"/>
  <c r="G1389" i="1" s="1"/>
  <c r="G1373" i="1"/>
  <c r="G1374" i="1" s="1"/>
  <c r="G868" i="1"/>
  <c r="G869" i="1" s="1"/>
  <c r="K640" i="1"/>
  <c r="K641" i="1" s="1"/>
  <c r="K903" i="1"/>
  <c r="K904" i="1" s="1"/>
  <c r="O2044" i="1"/>
  <c r="O2045" i="1" s="1"/>
  <c r="O188" i="1"/>
  <c r="O189" i="1" s="1"/>
  <c r="O292" i="1"/>
  <c r="O293" i="1" s="1"/>
  <c r="K1986" i="1"/>
  <c r="K1987" i="1" s="1"/>
  <c r="O1901" i="1"/>
  <c r="O1902" i="1" s="1"/>
  <c r="K1865" i="1"/>
  <c r="K1866" i="1" s="1"/>
  <c r="O1659" i="1"/>
  <c r="O1660" i="1" s="1"/>
  <c r="O1598" i="1"/>
  <c r="O1599" i="1" s="1"/>
  <c r="O1300" i="1"/>
  <c r="O1301" i="1" s="1"/>
  <c r="K1210" i="1"/>
  <c r="K1211" i="1" s="1"/>
  <c r="G955" i="1"/>
  <c r="G956" i="1" s="1"/>
  <c r="K939" i="1"/>
  <c r="K940" i="1" s="1"/>
  <c r="O779" i="1"/>
  <c r="O780" i="1" s="1"/>
  <c r="G701" i="1"/>
  <c r="G702" i="1" s="1"/>
  <c r="O524" i="1"/>
  <c r="O525" i="1" s="1"/>
  <c r="K292" i="1"/>
  <c r="K293" i="1" s="1"/>
  <c r="O220" i="1"/>
  <c r="O221" i="1" s="1"/>
  <c r="O125" i="1"/>
  <c r="O126" i="1" s="1"/>
  <c r="O67" i="1"/>
  <c r="O68" i="1" s="1"/>
  <c r="O18" i="1"/>
  <c r="O19" i="1" s="1"/>
  <c r="G749" i="1"/>
  <c r="G750" i="1" s="1"/>
  <c r="G2133" i="1"/>
  <c r="G2134" i="1" s="1"/>
  <c r="G2094" i="1"/>
  <c r="G2095" i="1" s="1"/>
  <c r="G2023" i="1"/>
  <c r="G2024" i="1" s="1"/>
  <c r="G1986" i="1"/>
  <c r="G1987" i="1" s="1"/>
  <c r="K1901" i="1"/>
  <c r="K1902" i="1" s="1"/>
  <c r="K1598" i="1"/>
  <c r="K1599" i="1" s="1"/>
  <c r="G1514" i="1"/>
  <c r="G1515" i="1" s="1"/>
  <c r="G1472" i="1"/>
  <c r="G1473" i="1" s="1"/>
  <c r="K1448" i="1"/>
  <c r="K1449" i="1" s="1"/>
  <c r="O1418" i="1"/>
  <c r="O1419" i="1" s="1"/>
  <c r="K1300" i="1"/>
  <c r="K1301" i="1" s="1"/>
  <c r="G1257" i="1"/>
  <c r="G1258" i="1" s="1"/>
  <c r="G1210" i="1"/>
  <c r="G1211" i="1" s="1"/>
  <c r="O1045" i="1"/>
  <c r="O1046" i="1" s="1"/>
  <c r="K779" i="1"/>
  <c r="K780" i="1" s="1"/>
  <c r="O701" i="1"/>
  <c r="O702" i="1" s="1"/>
  <c r="O437" i="1"/>
  <c r="O438" i="1" s="1"/>
  <c r="G292" i="1"/>
  <c r="G293" i="1" s="1"/>
  <c r="K220" i="1"/>
  <c r="K221" i="1" s="1"/>
  <c r="G188" i="1"/>
  <c r="G189" i="1" s="1"/>
  <c r="O1948" i="1"/>
  <c r="O1949" i="1" s="1"/>
  <c r="K1418" i="1"/>
  <c r="K1419" i="1" s="1"/>
  <c r="K2115" i="1"/>
  <c r="K2116" i="1" s="1"/>
  <c r="K1948" i="1"/>
  <c r="K1949" i="1" s="1"/>
  <c r="G1881" i="1"/>
  <c r="G1882" i="1" s="1"/>
  <c r="O1433" i="1"/>
  <c r="O1434" i="1" s="1"/>
  <c r="K1388" i="1"/>
  <c r="K1389" i="1" s="1"/>
  <c r="O1356" i="1"/>
  <c r="O1357" i="1" s="1"/>
  <c r="K1257" i="1"/>
  <c r="K1258" i="1" s="1"/>
  <c r="G1121" i="1"/>
  <c r="G1122" i="1" s="1"/>
  <c r="G887" i="1"/>
  <c r="G888" i="1" s="1"/>
  <c r="K868" i="1"/>
  <c r="K869" i="1" s="1"/>
  <c r="O831" i="1"/>
  <c r="O832" i="1" s="1"/>
  <c r="O749" i="1"/>
  <c r="O750" i="1" s="1"/>
  <c r="K541" i="1"/>
  <c r="K542" i="1" s="1"/>
  <c r="O502" i="1"/>
  <c r="O503" i="1" s="1"/>
  <c r="O459" i="1"/>
  <c r="O460" i="1" s="1"/>
  <c r="K379" i="1"/>
  <c r="K380" i="1" s="1"/>
  <c r="K345" i="1"/>
  <c r="K346" i="1" s="1"/>
  <c r="K311" i="1"/>
  <c r="K312" i="1" s="1"/>
  <c r="O50" i="1"/>
  <c r="O51" i="1" s="1"/>
  <c r="G1573" i="1"/>
  <c r="G1574" i="1" s="1"/>
  <c r="G1300" i="1"/>
  <c r="G1301" i="1" s="1"/>
  <c r="G779" i="1"/>
  <c r="G780" i="1" s="1"/>
  <c r="O379" i="1"/>
  <c r="O380" i="1" s="1"/>
  <c r="G2115" i="1"/>
  <c r="G2116" i="1" s="1"/>
  <c r="G1948" i="1"/>
  <c r="G1949" i="1" s="1"/>
  <c r="G1759" i="1"/>
  <c r="G1760" i="1" s="1"/>
  <c r="K1433" i="1"/>
  <c r="K1434" i="1" s="1"/>
  <c r="O1403" i="1"/>
  <c r="O1404" i="1" s="1"/>
  <c r="K1356" i="1"/>
  <c r="K1357" i="1" s="1"/>
  <c r="G1165" i="1"/>
  <c r="G1166" i="1" s="1"/>
  <c r="O1072" i="1"/>
  <c r="O1073" i="1" s="1"/>
  <c r="G1023" i="1"/>
  <c r="G1024" i="1" s="1"/>
  <c r="G972" i="1"/>
  <c r="G973" i="1" s="1"/>
  <c r="K831" i="1"/>
  <c r="K832" i="1" s="1"/>
  <c r="K502" i="1"/>
  <c r="K503" i="1" s="1"/>
  <c r="K459" i="1"/>
  <c r="K460" i="1" s="1"/>
  <c r="G379" i="1"/>
  <c r="G380" i="1" s="1"/>
  <c r="G345" i="1"/>
  <c r="G346" i="1" s="1"/>
  <c r="G311" i="1"/>
  <c r="G312" i="1" s="1"/>
  <c r="G274" i="1"/>
  <c r="G275" i="1" s="1"/>
  <c r="K83" i="1"/>
  <c r="K84" i="1" s="1"/>
  <c r="O1388" i="1"/>
  <c r="O1389" i="1" s="1"/>
  <c r="K701" i="1"/>
  <c r="K702" i="1" s="1"/>
  <c r="O345" i="1"/>
  <c r="O346" i="1" s="1"/>
  <c r="O2023" i="1"/>
  <c r="O2024" i="1" s="1"/>
  <c r="O1986" i="1"/>
  <c r="O1987" i="1" s="1"/>
  <c r="K1881" i="1"/>
  <c r="K1882" i="1" s="1"/>
  <c r="O1759" i="1"/>
  <c r="O1760" i="1" s="1"/>
  <c r="O1472" i="1"/>
  <c r="O1473" i="1" s="1"/>
  <c r="G1433" i="1"/>
  <c r="G1434" i="1" s="1"/>
  <c r="K1403" i="1"/>
  <c r="K1404" i="1" s="1"/>
  <c r="O1373" i="1"/>
  <c r="O1374" i="1" s="1"/>
  <c r="G1317" i="1"/>
  <c r="G1318" i="1" s="1"/>
  <c r="O1210" i="1"/>
  <c r="O1211" i="1" s="1"/>
  <c r="K1072" i="1"/>
  <c r="K1073" i="1" s="1"/>
  <c r="O1023" i="1"/>
  <c r="O1024" i="1" s="1"/>
  <c r="O853" i="1"/>
  <c r="O854" i="1" s="1"/>
  <c r="G804" i="1"/>
  <c r="G805" i="1" s="1"/>
  <c r="O541" i="1"/>
  <c r="O542" i="1" s="1"/>
  <c r="G459" i="1"/>
  <c r="G460" i="1" s="1"/>
  <c r="O274" i="1"/>
  <c r="O275" i="1" s="1"/>
  <c r="O238" i="1"/>
  <c r="O239" i="1" s="1"/>
  <c r="G151" i="1"/>
  <c r="G152" i="1" s="1"/>
  <c r="K564" i="1"/>
  <c r="K565" i="1" s="1"/>
  <c r="K2023" i="1"/>
  <c r="K2024" i="1" s="1"/>
  <c r="K1759" i="1"/>
  <c r="K1760" i="1" s="1"/>
  <c r="O1573" i="1"/>
  <c r="O1574" i="1" s="1"/>
  <c r="G1529" i="1"/>
  <c r="G1530" i="1" s="1"/>
  <c r="K1472" i="1"/>
  <c r="K1473" i="1" s="1"/>
  <c r="G1403" i="1"/>
  <c r="G1404" i="1" s="1"/>
  <c r="O1317" i="1"/>
  <c r="O1318" i="1" s="1"/>
  <c r="O922" i="1"/>
  <c r="O923" i="1" s="1"/>
  <c r="K853" i="1"/>
  <c r="K854" i="1" s="1"/>
  <c r="O804" i="1"/>
  <c r="O805" i="1" s="1"/>
  <c r="G677" i="1"/>
  <c r="G678" i="1" s="1"/>
  <c r="G564" i="1"/>
  <c r="G565" i="1" s="1"/>
  <c r="K274" i="1"/>
  <c r="K275" i="1" s="1"/>
  <c r="K238" i="1"/>
  <c r="K239" i="1" s="1"/>
  <c r="O83" i="1"/>
  <c r="O84" i="1" s="1"/>
  <c r="O2094" i="1"/>
  <c r="O2095" i="1" s="1"/>
  <c r="O1514" i="1"/>
  <c r="O1515" i="1" s="1"/>
  <c r="G658" i="1"/>
  <c r="G659" i="1" s="1"/>
  <c r="G67" i="1"/>
  <c r="G68" i="1" s="1"/>
  <c r="G2044" i="1"/>
  <c r="G2045" i="1" s="1"/>
  <c r="G1966" i="1"/>
  <c r="G1967" i="1" s="1"/>
  <c r="K1573" i="1"/>
  <c r="K1574" i="1" s="1"/>
  <c r="G1499" i="1"/>
  <c r="G1500" i="1" s="1"/>
  <c r="G1242" i="1"/>
  <c r="G1243" i="1" s="1"/>
  <c r="K922" i="1"/>
  <c r="K923" i="1" s="1"/>
  <c r="O887" i="1"/>
  <c r="O888" i="1" s="1"/>
  <c r="G853" i="1"/>
  <c r="G854" i="1" s="1"/>
  <c r="K804" i="1"/>
  <c r="K805" i="1" s="1"/>
  <c r="O724" i="1"/>
  <c r="O725" i="1" s="1"/>
  <c r="K619" i="1"/>
  <c r="K620" i="1" s="1"/>
  <c r="K481" i="1"/>
  <c r="K482" i="1" s="1"/>
  <c r="K125" i="1"/>
  <c r="K126" i="1" s="1"/>
  <c r="K18" i="1"/>
  <c r="K19" i="1" s="1"/>
  <c r="K1045" i="1"/>
  <c r="K1046" i="1" s="1"/>
  <c r="G2076" i="1"/>
  <c r="G2077" i="1" s="1"/>
  <c r="O2115" i="1"/>
  <c r="O2116" i="1" s="1"/>
  <c r="O2008" i="1"/>
  <c r="O2009" i="1" s="1"/>
  <c r="O1966" i="1"/>
  <c r="O1967" i="1" s="1"/>
  <c r="O1499" i="1"/>
  <c r="O1500" i="1" s="1"/>
  <c r="O1242" i="1"/>
  <c r="O1243" i="1" s="1"/>
  <c r="O1165" i="1"/>
  <c r="O1166" i="1" s="1"/>
  <c r="G989" i="1"/>
  <c r="G990" i="1" s="1"/>
  <c r="K887" i="1"/>
  <c r="K888" i="1" s="1"/>
  <c r="K724" i="1"/>
  <c r="K725" i="1" s="1"/>
  <c r="G481" i="1"/>
  <c r="G482" i="1" s="1"/>
  <c r="O398" i="1"/>
  <c r="O399" i="1" s="1"/>
  <c r="O362" i="1"/>
  <c r="O363" i="1" s="1"/>
  <c r="O328" i="1"/>
  <c r="O329" i="1" s="1"/>
  <c r="G205" i="1"/>
  <c r="G206" i="1" s="1"/>
  <c r="G83" i="1"/>
  <c r="G84" i="1" s="1"/>
  <c r="K1544" i="1"/>
  <c r="K1545" i="1" s="1"/>
  <c r="O868" i="1"/>
  <c r="O869" i="1" s="1"/>
  <c r="G502" i="1"/>
  <c r="G503" i="1" s="1"/>
  <c r="K2076" i="1"/>
  <c r="K2077" i="1" s="1"/>
  <c r="K2008" i="1"/>
  <c r="K2009" i="1" s="1"/>
  <c r="O1701" i="1"/>
  <c r="O1702" i="1" s="1"/>
  <c r="K1499" i="1"/>
  <c r="K1500" i="1" s="1"/>
  <c r="K1373" i="1"/>
  <c r="K1374" i="1" s="1"/>
  <c r="K1242" i="1"/>
  <c r="K1243" i="1" s="1"/>
  <c r="K1165" i="1"/>
  <c r="K1166" i="1" s="1"/>
  <c r="G1098" i="1"/>
  <c r="G1099" i="1" s="1"/>
  <c r="G1045" i="1"/>
  <c r="G1046" i="1" s="1"/>
  <c r="O619" i="1"/>
  <c r="O620" i="1" s="1"/>
  <c r="O481" i="1"/>
  <c r="O482" i="1" s="1"/>
  <c r="K398" i="1"/>
  <c r="K399" i="1" s="1"/>
  <c r="K362" i="1"/>
  <c r="K363" i="1" s="1"/>
  <c r="K328" i="1"/>
  <c r="K329" i="1" s="1"/>
  <c r="O205" i="1"/>
  <c r="O206" i="1" s="1"/>
  <c r="G168" i="1"/>
  <c r="G169" i="1" s="1"/>
  <c r="O311" i="1"/>
  <c r="O312" i="1" s="1"/>
  <c r="O2076" i="1"/>
  <c r="O2077" i="1" s="1"/>
  <c r="G2008" i="1"/>
  <c r="G2009" i="1" s="1"/>
  <c r="K1701" i="1"/>
  <c r="K1702" i="1" s="1"/>
  <c r="O1529" i="1"/>
  <c r="O1530" i="1" s="1"/>
  <c r="O1279" i="1"/>
  <c r="O1280" i="1" s="1"/>
  <c r="O1098" i="1"/>
  <c r="O1099" i="1" s="1"/>
  <c r="O903" i="1"/>
  <c r="O904" i="1" s="1"/>
  <c r="O677" i="1"/>
  <c r="O678" i="1" s="1"/>
  <c r="G640" i="1"/>
  <c r="G641" i="1" s="1"/>
  <c r="O564" i="1"/>
  <c r="O565" i="1" s="1"/>
  <c r="K524" i="1"/>
  <c r="K525" i="1" s="1"/>
  <c r="G398" i="1"/>
  <c r="G399" i="1" s="1"/>
  <c r="G362" i="1"/>
  <c r="G363" i="1" s="1"/>
  <c r="G328" i="1"/>
  <c r="G329" i="1" s="1"/>
  <c r="K205" i="1"/>
  <c r="K206" i="1" s="1"/>
  <c r="K67" i="1"/>
  <c r="K68" i="1" s="1"/>
  <c r="K749" i="1"/>
  <c r="K750" i="1" s="1"/>
  <c r="K257" i="1" l="1"/>
  <c r="Q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- Arquetika</author>
    <author>Usuario</author>
  </authors>
  <commentList>
    <comment ref="N202" authorId="0" shapeId="0" xr:uid="{0D854485-0D48-405A-BEBE-ADF3E5C55785}">
      <text>
        <r>
          <rPr>
            <b/>
            <sz val="9"/>
            <color indexed="81"/>
            <rFont val="Tahoma"/>
            <family val="2"/>
          </rPr>
          <t>Diego - Arquetika:</t>
        </r>
        <r>
          <rPr>
            <sz val="9"/>
            <color indexed="81"/>
            <rFont val="Tahoma"/>
            <family val="2"/>
          </rPr>
          <t xml:space="preserve">
Precio final $ 4,25 transporte no factura IVA</t>
        </r>
      </text>
    </comment>
    <comment ref="K1680" authorId="1" shapeId="0" xr:uid="{0A4F9AB0-A206-408C-96DB-6F12FEA81062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Ver los m2 presupuestados</t>
        </r>
      </text>
    </comment>
    <comment ref="O1680" authorId="1" shapeId="0" xr:uid="{02B9B8F7-F630-430E-B292-369BF194692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Ver los m2 presupuestados</t>
        </r>
      </text>
    </comment>
    <comment ref="J2018" authorId="0" shapeId="0" xr:uid="{494550AA-AD83-4ACF-A09D-B788CE2E4EDC}">
      <text>
        <r>
          <rPr>
            <b/>
            <sz val="9"/>
            <color indexed="81"/>
            <rFont val="Tahoma"/>
            <family val="2"/>
          </rPr>
          <t>Diego - Arquetika:</t>
        </r>
        <r>
          <rPr>
            <sz val="9"/>
            <color indexed="81"/>
            <rFont val="Tahoma"/>
            <family val="2"/>
          </rPr>
          <t xml:space="preserve">
Relleno manual</t>
        </r>
      </text>
    </comment>
    <comment ref="J2038" authorId="0" shapeId="0" xr:uid="{52CDDE9D-2ACD-4A96-8A24-919140894C79}">
      <text>
        <r>
          <rPr>
            <b/>
            <sz val="9"/>
            <color indexed="81"/>
            <rFont val="Tahoma"/>
            <family val="2"/>
          </rPr>
          <t>Diego - Arquetika:</t>
        </r>
        <r>
          <rPr>
            <sz val="9"/>
            <color indexed="81"/>
            <rFont val="Tahoma"/>
            <family val="2"/>
          </rPr>
          <t xml:space="preserve">
Subió a $ 3,20</t>
        </r>
      </text>
    </comment>
    <comment ref="J2071" authorId="0" shapeId="0" xr:uid="{500E6AA0-D37A-4AE7-A11F-EA9418A8264E}">
      <text>
        <r>
          <rPr>
            <b/>
            <sz val="9"/>
            <color indexed="81"/>
            <rFont val="Tahoma"/>
            <family val="2"/>
          </rPr>
          <t>Diego - Arquetika:</t>
        </r>
        <r>
          <rPr>
            <sz val="9"/>
            <color indexed="81"/>
            <rFont val="Tahoma"/>
            <family val="2"/>
          </rPr>
          <t xml:space="preserve">
Bajó a $ 0,72</t>
        </r>
      </text>
    </comment>
    <comment ref="J2088" authorId="0" shapeId="0" xr:uid="{EF671184-4776-486F-9D8D-761FD01CC454}">
      <text>
        <r>
          <rPr>
            <b/>
            <sz val="9"/>
            <color indexed="81"/>
            <rFont val="Tahoma"/>
            <family val="2"/>
          </rPr>
          <t>Diego - Arquetika:</t>
        </r>
        <r>
          <rPr>
            <sz val="9"/>
            <color indexed="81"/>
            <rFont val="Tahoma"/>
            <family val="2"/>
          </rPr>
          <t xml:space="preserve">
Relleno manual</t>
        </r>
      </text>
    </comment>
    <comment ref="J2109" authorId="0" shapeId="0" xr:uid="{51EA995D-87AB-4469-B037-04F57BE54A0D}">
      <text>
        <r>
          <rPr>
            <b/>
            <sz val="9"/>
            <color indexed="81"/>
            <rFont val="Tahoma"/>
            <family val="2"/>
          </rPr>
          <t>Diego - Arquetika:</t>
        </r>
        <r>
          <rPr>
            <sz val="9"/>
            <color indexed="81"/>
            <rFont val="Tahoma"/>
            <family val="2"/>
          </rPr>
          <t xml:space="preserve">
Subió a $ 3,20</t>
        </r>
      </text>
    </comment>
    <comment ref="J2128" authorId="0" shapeId="0" xr:uid="{12355373-38DA-42DF-A8D9-F0AB8ED0394E}">
      <text>
        <r>
          <rPr>
            <b/>
            <sz val="9"/>
            <color indexed="81"/>
            <rFont val="Tahoma"/>
            <family val="2"/>
          </rPr>
          <t>Diego - Arquetika:</t>
        </r>
        <r>
          <rPr>
            <sz val="9"/>
            <color indexed="81"/>
            <rFont val="Tahoma"/>
            <family val="2"/>
          </rPr>
          <t xml:space="preserve">
Subió a $ 2,80</t>
        </r>
      </text>
    </comment>
  </commentList>
</comments>
</file>

<file path=xl/sharedStrings.xml><?xml version="1.0" encoding="utf-8"?>
<sst xmlns="http://schemas.openxmlformats.org/spreadsheetml/2006/main" count="16301" uniqueCount="2080">
  <si>
    <t>COSTO UNITARIO APU</t>
  </si>
  <si>
    <t>TOTAL COSTO APU</t>
  </si>
  <si>
    <t>EQUIPO</t>
  </si>
  <si>
    <t>ml</t>
  </si>
  <si>
    <t>M. Bordillo en estacionamiento (1,00x0,10x0,30m)</t>
  </si>
  <si>
    <t>MANO DE OBRA</t>
  </si>
  <si>
    <t>m3</t>
  </si>
  <si>
    <t>Polvo Azul (Polvo Azul)</t>
  </si>
  <si>
    <t>qq</t>
  </si>
  <si>
    <t>Cemento Campeon HS 50KG (Cemento Campeon HS 50KG)</t>
  </si>
  <si>
    <t>Bordillo  100X25X8 Gris Natural (Bordillo  100X25X8 Gris Natural)</t>
  </si>
  <si>
    <t>MATERIALES</t>
  </si>
  <si>
    <t>Bordillo en estacionamiento (1,00x0,10x0,30m)</t>
  </si>
  <si>
    <r>
      <t>m</t>
    </r>
    <r>
      <rPr>
        <vertAlign val="superscript"/>
        <sz val="12"/>
        <color rgb="FF000000"/>
        <rFont val="Arial"/>
        <family val="2"/>
      </rPr>
      <t>2</t>
    </r>
  </si>
  <si>
    <t>M. Adoquín En Estacionamiento</t>
  </si>
  <si>
    <t>Uni.</t>
  </si>
  <si>
    <t>Disco de corte de diamante 9" (Disco de corte de diamante 9")</t>
  </si>
  <si>
    <t>Adoquin Toledo 6cm Color 24X24 (Adoquin Toledo 6cm Color 24X24)</t>
  </si>
  <si>
    <t>Adoquin Toledo 6cm Color 16X16 (Adoquin Toledo 6cm Color 16X16)</t>
  </si>
  <si>
    <r>
      <t>m</t>
    </r>
    <r>
      <rPr>
        <b/>
        <vertAlign val="superscript"/>
        <sz val="12"/>
        <color rgb="FF000000"/>
        <rFont val="Arial"/>
        <family val="2"/>
      </rPr>
      <t>2</t>
    </r>
  </si>
  <si>
    <t>Adoquín En Estacionamiento</t>
  </si>
  <si>
    <t>M. Suministro, tendido y compactación de subbase clase III e=20cm (Parqueadero)</t>
  </si>
  <si>
    <t>Lastre (Lastre)</t>
  </si>
  <si>
    <t>gal</t>
  </si>
  <si>
    <t>Gasolina - Extra (Gasolina - Extra)</t>
  </si>
  <si>
    <t>Suministro, tendido y compactación de subbase clase III e=20cm (Parqueadero)</t>
  </si>
  <si>
    <t>15.01.14</t>
  </si>
  <si>
    <t>M. Replanteo Plataforma Parqueadero</t>
  </si>
  <si>
    <t>Conformación Manual De Plataforma Parqueadero</t>
  </si>
  <si>
    <t>15.01.13</t>
  </si>
  <si>
    <t>Kg.</t>
  </si>
  <si>
    <t>Clavos galvanizados 2" (Clavos galvanizados 2")</t>
  </si>
  <si>
    <t>Clavos galvanizados 2 1/2" (Clavos galvanizados 2 1/2")</t>
  </si>
  <si>
    <t>Replanteo Plataforma Parqueadero</t>
  </si>
  <si>
    <t>15.01.12</t>
  </si>
  <si>
    <t>M. Adoquín En Acceso Peatonal</t>
  </si>
  <si>
    <t>Adoquín En Acceso Peatonal</t>
  </si>
  <si>
    <t>15.01.11</t>
  </si>
  <si>
    <t>M. Suministro, tendido y compactación de subbase clase III e=20cm</t>
  </si>
  <si>
    <t>Suministro, tendido y compactación de subbase clase III e=20cm (Acceso Peatonal)</t>
  </si>
  <si>
    <t>15.01.10</t>
  </si>
  <si>
    <t>Alquiler vibrador (Alquiler vibrador)</t>
  </si>
  <si>
    <r>
      <t>m</t>
    </r>
    <r>
      <rPr>
        <vertAlign val="superscript"/>
        <sz val="12"/>
        <color rgb="FF000000"/>
        <rFont val="Arial"/>
        <family val="2"/>
      </rPr>
      <t>3</t>
    </r>
  </si>
  <si>
    <t>Sika Premium 32 (Sika Premium 32)</t>
  </si>
  <si>
    <t>Recargo Minimo Concreto (Recargo Minimo Concreto)</t>
  </si>
  <si>
    <t>Polvo Rosado (Polvo Rosado)</t>
  </si>
  <si>
    <t>Plancha espumaflex 5cm (Plancha espumaflex 5cm)</t>
  </si>
  <si>
    <t>Hormigón Premez. fc= 210 kg S/B (Hormigón Premezclado fc= 210 kg/cm2)</t>
  </si>
  <si>
    <t>Cemento Campeon (Cemento Campeon)</t>
  </si>
  <si>
    <r>
      <t>m</t>
    </r>
    <r>
      <rPr>
        <b/>
        <vertAlign val="superscript"/>
        <sz val="12"/>
        <color rgb="FF000000"/>
        <rFont val="Arial"/>
        <family val="2"/>
      </rPr>
      <t>3</t>
    </r>
  </si>
  <si>
    <t>Hormigón En Escaleras F'c=180kg/Cm² (Acceso Peatonal)</t>
  </si>
  <si>
    <t>15.01.09</t>
  </si>
  <si>
    <t>M. Encofrado de gradas exteriores (Detalle para luces acceso peatonal)</t>
  </si>
  <si>
    <t>Tablas de Monte (Tablas de Monte)</t>
  </si>
  <si>
    <t>Disco Corte Madera 7 (Disco Corte Madera 7)</t>
  </si>
  <si>
    <t>Cuarton 6 x 4 de eucalipto (Cuarton 6 x 4 de eucalipto)</t>
  </si>
  <si>
    <t>Clavos galvanizados 2 1/2'' (Clavos galvanizados 2 1/2'')</t>
  </si>
  <si>
    <t>Clavos galvanizados 2'' (Clavos galvanizados 2'')</t>
  </si>
  <si>
    <t>m</t>
  </si>
  <si>
    <t>Encofrado de gradas exteriores (Detalle para luces acceso peatonal)</t>
  </si>
  <si>
    <t>15.01.08</t>
  </si>
  <si>
    <t>M. Malla De Refuerzo 6*15 (Acceso Peatonal)</t>
  </si>
  <si>
    <t>V10</t>
  </si>
  <si>
    <t>Varilla Hierro D=10mmx12m (Varilla Hierro D=10mmx12m)</t>
  </si>
  <si>
    <t>Malla Armex Elect.6mmx15x15R188 (Malla Armex Elect.6mmx15x15 R188)</t>
  </si>
  <si>
    <t>Malla De Refuerzo 6*15 (Acceso Peatonal)</t>
  </si>
  <si>
    <t>15.01.07</t>
  </si>
  <si>
    <t>M. Plástico Polietileno 2 Capas (Acceso peatonal)</t>
  </si>
  <si>
    <t>Plástico Polietileno 2 Capas (Acceso peatonal)</t>
  </si>
  <si>
    <t>15.01.06</t>
  </si>
  <si>
    <t>M. Conformación plataforma - Acceso Peatonal</t>
  </si>
  <si>
    <t>v14</t>
  </si>
  <si>
    <t>Varilla Hierro D=14mmx12m (Varilla Hierro D=14mmx12m)</t>
  </si>
  <si>
    <t>Conformación plataforma (Acceso Peatonal)</t>
  </si>
  <si>
    <t>15.01.05</t>
  </si>
  <si>
    <t>M. Replanteo Acceso Peatonal</t>
  </si>
  <si>
    <t>Replanteo (Acceso Peatonal)</t>
  </si>
  <si>
    <t>15.01.04</t>
  </si>
  <si>
    <t>Hr.</t>
  </si>
  <si>
    <t>Horas Maquinas Retroexcavadora (Horas Maquinas Retroexcavadora)</t>
  </si>
  <si>
    <t>M. Rasanteo y conformación de  jardines</t>
  </si>
  <si>
    <t>Rasanteo y conformación de  jardines</t>
  </si>
  <si>
    <t>15.01.01</t>
  </si>
  <si>
    <t>15. OBRAS EXTERIORES</t>
  </si>
  <si>
    <t>mes</t>
  </si>
  <si>
    <t>Guachimanía de obra</t>
  </si>
  <si>
    <t>Mes</t>
  </si>
  <si>
    <t>13.01.12</t>
  </si>
  <si>
    <t>Glb</t>
  </si>
  <si>
    <t>Mantenimiento Herramientas (Mantenimiento Herramientas)</t>
  </si>
  <si>
    <t>Zapapico Herrago 5 lbs (Zapapico Herrago 5 lbs)</t>
  </si>
  <si>
    <t>Tanque Tool Abierto 55 Gln. (Tanque Tool Abierto 55 Gln)</t>
  </si>
  <si>
    <t>Tanque para combustible 20lts. (Tanque para combustible rojo 20lts.)</t>
  </si>
  <si>
    <t>Sierra Circular Dewalt 71/4 180 (Sierra Circular Dewalt 71/4 1800W DWE575-B3)</t>
  </si>
  <si>
    <t>Rueda Neumatica p/carretilla c/ (Rueda Neumatica p/carretilla c/aro 16X4")</t>
  </si>
  <si>
    <t>Pistola Calefateo Truper Refz. (Pistola Calefateo Truper Refz.)</t>
  </si>
  <si>
    <t>Pala Cuadrada (Pala Cuadrada)</t>
  </si>
  <si>
    <t>Manguera transparente (Manguera transparente)</t>
  </si>
  <si>
    <t>Manguera de Jardin con Acce (Manguera de Jardin con Accesorios)</t>
  </si>
  <si>
    <t>Machete (Machete)</t>
  </si>
  <si>
    <t>Codal de Aluminio (Codal de Aluminio)</t>
  </si>
  <si>
    <t>Carretilla Truper 220kl tomate (Carretilla Truper 220kl tomate  )</t>
  </si>
  <si>
    <t>mts.</t>
  </si>
  <si>
    <t>Cabo1/2 (Cabo 1/2)</t>
  </si>
  <si>
    <t>Cabo Madera Zapapico (Cabo Madera Zapapico)</t>
  </si>
  <si>
    <t>R-Alambre</t>
  </si>
  <si>
    <t>Cable Gemelo Blanco 2X10 (Cable Gemelo Blanco 2X10)</t>
  </si>
  <si>
    <t>Barra agricola de 14 libras (Barra agricola de 14 libras)</t>
  </si>
  <si>
    <t>Amoladora 9" DWE496-B3 Dewalt (Amoladora 9" DWE496-B3 Dewalt)</t>
  </si>
  <si>
    <t>Uniones de Manguera (Uniones de Manguera)</t>
  </si>
  <si>
    <t>Balde de construccion caucho (Balde de construccion caucho)</t>
  </si>
  <si>
    <t>Herramientas de obra</t>
  </si>
  <si>
    <t>13.01.09</t>
  </si>
  <si>
    <t>Mascara Para Esmerilar Reforzad (ascara Para Esmerilar Reforzada)</t>
  </si>
  <si>
    <t>pr</t>
  </si>
  <si>
    <t>Guantes de Caucho (Guantes de Caucho)</t>
  </si>
  <si>
    <t>Gafa Transparente Reforzada (Gafa Transparente Reforzada)</t>
  </si>
  <si>
    <t>Guante de Cuero Operador (Guante de Cuero Operador)</t>
  </si>
  <si>
    <t>Cinta amarilla Precaución 200MT (Cinta amarilla Precaución 200MT)</t>
  </si>
  <si>
    <t>Casco (Casco)</t>
  </si>
  <si>
    <t>Protección Personal</t>
  </si>
  <si>
    <t>13.01.05</t>
  </si>
  <si>
    <t>Viaje</t>
  </si>
  <si>
    <t>Limpieza Y Desalojo De Escombros + tickets emgirs</t>
  </si>
  <si>
    <t>13.01.03</t>
  </si>
  <si>
    <t>M. Limpieza Provisional (Durante la obra Material Y Personal)</t>
  </si>
  <si>
    <t>Trapeador (Trapeador)</t>
  </si>
  <si>
    <t>Paño Multiusos (Paño Multiusos)</t>
  </si>
  <si>
    <t>Pala Plastica (Pala Plastica de Basura)</t>
  </si>
  <si>
    <t>Lustre Nº 4 (Lustre Nº 4)</t>
  </si>
  <si>
    <t>m2</t>
  </si>
  <si>
    <t>Guaipe (Guaipe)</t>
  </si>
  <si>
    <t>Desinfectante (Desinfectante)</t>
  </si>
  <si>
    <t>Caneca 20 litros s/tapa (Caneca 20 litros s/tapa)</t>
  </si>
  <si>
    <t>Fundas de Basura (Fundas de Basura)</t>
  </si>
  <si>
    <t>Escobas Plastico Suave (Escobas Plastico Suave)</t>
  </si>
  <si>
    <t>Escoba Negra Industrial Grande (Escoba Negra Industrial Grande 40cm)</t>
  </si>
  <si>
    <t>Escoba de coco (Escoba de coco)</t>
  </si>
  <si>
    <t>Detergente (Detergente)</t>
  </si>
  <si>
    <t>Cloro (Cloro)</t>
  </si>
  <si>
    <t>Limpieza Provisional (Durante la obra Material Y Personal)</t>
  </si>
  <si>
    <t>13.01.02</t>
  </si>
  <si>
    <t>13. VARIOS</t>
  </si>
  <si>
    <t>M, Plástico Negro Para Protección De Terminados</t>
  </si>
  <si>
    <t>rollo</t>
  </si>
  <si>
    <t>Plastico Negro 1.5 mts (Plastico Negro 1.5 mts (2.20 mts x kg) (45 kilos))</t>
  </si>
  <si>
    <t>Plastico Enmascarar 220cmx25m (Plastico Enmascarar 220cmx25m)</t>
  </si>
  <si>
    <t>Cinta Masking (Cinta Masking)</t>
  </si>
  <si>
    <t>Masking Abro 2x40 (Masking Abro 2x40)</t>
  </si>
  <si>
    <t>Rollo</t>
  </si>
  <si>
    <t>Plástico Negro Para Protección De Terminados</t>
  </si>
  <si>
    <t>08.01.10</t>
  </si>
  <si>
    <t>08. REVESTIMIENTOS PISOS, PAREDES</t>
  </si>
  <si>
    <t>Maxicril Galon (Maxicril Galon)</t>
  </si>
  <si>
    <t>Maxicril Caneca (Maxicril Caneca)</t>
  </si>
  <si>
    <t>Malla para tumbado (rollo) (Malla para tumbado (rollo))</t>
  </si>
  <si>
    <t>Clavos de acero 1” (1/2 kilo) (Clavos de acero 1” (1/2 kilo))</t>
  </si>
  <si>
    <t>Chapisco 25 kg (Chapisco 25 kg)</t>
  </si>
  <si>
    <t>Cubierta de fibrocemento (Incluye capa super K)</t>
  </si>
  <si>
    <t>07.01.05</t>
  </si>
  <si>
    <t>07. CUBIERTAS</t>
  </si>
  <si>
    <t>M. Masillado De Piso A Máquina Con Endurecedor</t>
  </si>
  <si>
    <t>Masillado De Piso A Máquina Con Endurecedor</t>
  </si>
  <si>
    <t>06.01.15</t>
  </si>
  <si>
    <t>M. Enlucido Exterior Terminado Hormigón Visto</t>
  </si>
  <si>
    <t>Enlucido Exterior Terminado Hormigón Visto</t>
  </si>
  <si>
    <t>M. Goterones - Medias Cañas</t>
  </si>
  <si>
    <t>Goterones - Medias Cañas</t>
  </si>
  <si>
    <t>06.01.10</t>
  </si>
  <si>
    <t xml:space="preserve">M. Picado Y Corchado </t>
  </si>
  <si>
    <t>Sikaflex 221 Cartucho 300ml (Sikaflex 221 Cartucho 300ml)</t>
  </si>
  <si>
    <t>Malla Tela fina x metros (Malla Tela fina x metros)</t>
  </si>
  <si>
    <t>Malla Tejida Zaranda mts (Malla Tejida Zaranda mts)</t>
  </si>
  <si>
    <t>Clavo de acero blanco chino 1 (Clavo de acero blanco chino 1)</t>
  </si>
  <si>
    <t>saco</t>
  </si>
  <si>
    <t>Bondex Plus 25kg (Bondex Plus 25kg)</t>
  </si>
  <si>
    <t>Arena Rosada (Arena Rosada)</t>
  </si>
  <si>
    <t xml:space="preserve">Picado Y Corchado </t>
  </si>
  <si>
    <t>06.01.09</t>
  </si>
  <si>
    <t xml:space="preserve">M. Masillado De Piso A Máquina </t>
  </si>
  <si>
    <t>Malla fina para cernir (Malla fina para cernir)</t>
  </si>
  <si>
    <t xml:space="preserve">Masillado De Piso A Máquina </t>
  </si>
  <si>
    <t>06.01.08</t>
  </si>
  <si>
    <t>M. Enlucido De Filos Interiores</t>
  </si>
  <si>
    <t>Enlucido De Filos Interiores</t>
  </si>
  <si>
    <t>06.01.07</t>
  </si>
  <si>
    <t>M. Enlucido De Fajas Interiores</t>
  </si>
  <si>
    <t>Enlucido De Fajas Interiores</t>
  </si>
  <si>
    <t>06.01.06</t>
  </si>
  <si>
    <t>M. Enlucido Vertical Interior</t>
  </si>
  <si>
    <t>Enlucido Vertical Interior</t>
  </si>
  <si>
    <t>06.01.05</t>
  </si>
  <si>
    <t>M. Enlucido De Filos Exteriores</t>
  </si>
  <si>
    <t>Enlucido De Filos Exteriores</t>
  </si>
  <si>
    <t>06.01.04</t>
  </si>
  <si>
    <t>M. Enlucido De Fajas Exteriores</t>
  </si>
  <si>
    <t>Enlucido De Fajas Exteriores</t>
  </si>
  <si>
    <t>06.01.03</t>
  </si>
  <si>
    <t>M. Enlucido De Fachada</t>
  </si>
  <si>
    <t>Enlucido De Fachada</t>
  </si>
  <si>
    <t>06.01.01</t>
  </si>
  <si>
    <t>06. ENLUCIDOS</t>
  </si>
  <si>
    <t>M. Forrado de columnas metálicas</t>
  </si>
  <si>
    <t>Rodillo de felpa (Rodillo de felpa)</t>
  </si>
  <si>
    <t>Brocha 3" (Brocha 3")</t>
  </si>
  <si>
    <t>Forrado de columnas metálicas</t>
  </si>
  <si>
    <t>05.01.15</t>
  </si>
  <si>
    <t>M. Ducha Rehundida</t>
  </si>
  <si>
    <t>Ducha Rehundida</t>
  </si>
  <si>
    <t>05.01.11</t>
  </si>
  <si>
    <t>Und</t>
  </si>
  <si>
    <t>M. Nicho Para Baños y lavavajillas</t>
  </si>
  <si>
    <t>Ripio (Ripio)</t>
  </si>
  <si>
    <t>Nicho Para Baños y lavavajillas</t>
  </si>
  <si>
    <t>05.01.10</t>
  </si>
  <si>
    <t>M. Bordillo De Terrazas</t>
  </si>
  <si>
    <t>Bordillo De Terrazas</t>
  </si>
  <si>
    <t>05.01.09</t>
  </si>
  <si>
    <t>M. Alfeizar En Antepecho</t>
  </si>
  <si>
    <t>Alfeizar En Antepecho</t>
  </si>
  <si>
    <t>05.01.08</t>
  </si>
  <si>
    <t>M. Alfeizar En Ventana</t>
  </si>
  <si>
    <t>lb</t>
  </si>
  <si>
    <t>Plastocrete dm 4kg Sika (Plastocrete dm 4kg Sika)</t>
  </si>
  <si>
    <t>Maxikote Madera 4kg (Maxikote Madera 4kg)</t>
  </si>
  <si>
    <t>Disco Corte Madera 9" (Sierra) (Disco Corte Madera 9" (Sierra))</t>
  </si>
  <si>
    <t>Tubo Conduit PVC 1/2" Plastidor (Tubo Conduit PVC 1/2" Plastido)</t>
  </si>
  <si>
    <t>Triplex 18mm Lamina 1.22x2.44C (Triplex 18mm Lamina 1.22x2.44C)</t>
  </si>
  <si>
    <t>Sika 1 Imperm.10kg (Sika 1 Imperm.10kg)</t>
  </si>
  <si>
    <t>Disco diamante segmentado 9" (Disco diamante segmentado 9")</t>
  </si>
  <si>
    <t>Clavos de acero 21/2'' (Clavos de acero 21/2'')</t>
  </si>
  <si>
    <t>Alfeizar En Ventana</t>
  </si>
  <si>
    <t>05.01.07</t>
  </si>
  <si>
    <t>Alquiler de Tablones (Alquiler de Tablones)</t>
  </si>
  <si>
    <t>Alquiler Andamio (Alquiler Andamio)</t>
  </si>
  <si>
    <t>M. Arrostramiento Vertical de Mampostería</t>
  </si>
  <si>
    <t>V12</t>
  </si>
  <si>
    <t>Varilla Hierro D=12mmx12m (Varilla Hierro D=12mmx12m)</t>
  </si>
  <si>
    <t>Tiza Industrial (Tiza Industrial)</t>
  </si>
  <si>
    <t>Tela Zaran Verde 2.10m (Tela Zaran Verde 2.10m (Rollo 100m))</t>
  </si>
  <si>
    <t>Sika Top 77 (4 kg) (Sika Top 77 (4 kg))</t>
  </si>
  <si>
    <t>Plancha espumaflex 2cm (Plancha espumaflex 2cm)</t>
  </si>
  <si>
    <t>Maxilastic 3.8lt/4.33kg (Maxilastic 3.8lt/4.33kg)</t>
  </si>
  <si>
    <t>Cepillo de acero 5f cromado (Cepillo de acero 5f cromado)</t>
  </si>
  <si>
    <t>Broca Concreto 1/2" 13mm (Broca Concreto 1/2" 13mm)</t>
  </si>
  <si>
    <t>Bloque alivianado 10x20x40 (Bloque alivianado 10x20x40)</t>
  </si>
  <si>
    <t>Viga Columna V1 (7.0 mm .10x10) (Viga Columna V1 (7.0 mm .10x10))</t>
  </si>
  <si>
    <t>Sika Anchofix-2  300ml (Sika Anchofix-2  300ml)</t>
  </si>
  <si>
    <t>Sierra Sanflex Hoja (Sierra Sanflex Hoja)</t>
  </si>
  <si>
    <t>Disco de corte metal 9" (Disco de corte metal 9")</t>
  </si>
  <si>
    <t>Clavos de acero 2'' (Clavos de acero 2'')</t>
  </si>
  <si>
    <t>Broca Concreto 1/2X30cm (Broca Concreto 1/2X30cm)</t>
  </si>
  <si>
    <t>Alambre galvanizado N 14 (Alambre galvanizado N 14)</t>
  </si>
  <si>
    <t>Arrostramiento Vertical de Mampostería</t>
  </si>
  <si>
    <t>05.01.06</t>
  </si>
  <si>
    <t>M. Dinteles De Hormigón F'c = 180 Kg/Cm2</t>
  </si>
  <si>
    <t>Dinteles De Hormigón F'c = 180 Kg/Cm2</t>
  </si>
  <si>
    <t>05.01.05</t>
  </si>
  <si>
    <t>M. Mampostería De Bloque E=10 Cm</t>
  </si>
  <si>
    <t>Rejilla PVC Ventilacion 75mm 3" (Rejilla Plastica PVC Ventilacion 75mm 3")</t>
  </si>
  <si>
    <t>Caoba Roja (Caoba Roja)</t>
  </si>
  <si>
    <t>Arena Fina (Arena Fina)</t>
  </si>
  <si>
    <t>Mampostería De Bloque E=10 Cm</t>
  </si>
  <si>
    <t>05.01.03</t>
  </si>
  <si>
    <t xml:space="preserve">M. Mampostería De Bloque E=15 Cm </t>
  </si>
  <si>
    <t>Bloque alivianado 15x20x40 (Bloque alivianado 15x20x40)</t>
  </si>
  <si>
    <t xml:space="preserve">Mampostería De Bloque E=15 Cm </t>
  </si>
  <si>
    <t>05.01.02</t>
  </si>
  <si>
    <t>M. Mampostería De Bloque E=20cm</t>
  </si>
  <si>
    <t>Bloque alivianado 20x40x20 (Bloque alivianado 20x40x20)</t>
  </si>
  <si>
    <t>Mampostería De Bloque E=20cm</t>
  </si>
  <si>
    <t>05.01.01</t>
  </si>
  <si>
    <t>05. MAMPOSTERÍA</t>
  </si>
  <si>
    <t>M. Encofrado y  Desencofrado Losa Perimetral</t>
  </si>
  <si>
    <t>Alambre galvanizado Nº 14 (Alambre galvanizado Nº 14)</t>
  </si>
  <si>
    <t xml:space="preserve">Encofrado dintel descolgado perimetral </t>
  </si>
  <si>
    <t>04.01.08</t>
  </si>
  <si>
    <t>M. Apuntalamiento de losa deck metálico</t>
  </si>
  <si>
    <t>Apuntalamiento de losa deck metálico</t>
  </si>
  <si>
    <t>04.01.07</t>
  </si>
  <si>
    <t>M. Encofrado y  Desencofrado Muros</t>
  </si>
  <si>
    <t>Encofrado y  Desencofrado Muros</t>
  </si>
  <si>
    <t>04.01.06</t>
  </si>
  <si>
    <t>Encofrado y  Desencofrado Losa Perimetral</t>
  </si>
  <si>
    <t>04.01.05</t>
  </si>
  <si>
    <t>M. Encofrado y  Desencofrado de Losa</t>
  </si>
  <si>
    <t>Encofrado y  Desencofrado de Losa</t>
  </si>
  <si>
    <t>M. Encofrado y  Desencofrado de Vigas</t>
  </si>
  <si>
    <t>Encofrado y  Desencofrado de Vigas</t>
  </si>
  <si>
    <t>04.01.02</t>
  </si>
  <si>
    <t>M. Encofrado y  Desencofrado Columnas Circulares</t>
  </si>
  <si>
    <t>Encofrado y  Desencofrado Columnas Circulares</t>
  </si>
  <si>
    <t>04.01.01.01</t>
  </si>
  <si>
    <t>M. Encofrado y  Desencofrado Columnas Rectangulares</t>
  </si>
  <si>
    <t>Encofrado y  Desencofrado Columnas Rectangulares</t>
  </si>
  <si>
    <t>04.01.01</t>
  </si>
  <si>
    <t>04. ENCOFRADOS</t>
  </si>
  <si>
    <t>M. Hormigón de nivelación de placas metálicas</t>
  </si>
  <si>
    <t>Hormigón de nivelación de placas metálicas</t>
  </si>
  <si>
    <t>03.03.22</t>
  </si>
  <si>
    <t>M. Hormigón en detalle tipo Vigueta</t>
  </si>
  <si>
    <t>Hormigón en detalle tipo Vigueta</t>
  </si>
  <si>
    <t>03.03.21</t>
  </si>
  <si>
    <t>M. Pruebas de compactación en plataformas</t>
  </si>
  <si>
    <t>Pruebas de laboratorio</t>
  </si>
  <si>
    <t>03.03.15</t>
  </si>
  <si>
    <t>M. Hormigón en dintel descolgado perimetral</t>
  </si>
  <si>
    <t>Cemento Campeón (Cemento Campeón)</t>
  </si>
  <si>
    <t>Hormigón en dintel descolgado perimetral</t>
  </si>
  <si>
    <t>03.03.11</t>
  </si>
  <si>
    <t>Alquiler Rotomartillo (Alquiler Rotomartillo)</t>
  </si>
  <si>
    <t>M. Hormigón En Cubierta Plana F'c=210kg/Cm²</t>
  </si>
  <si>
    <r>
      <t>m</t>
    </r>
    <r>
      <rPr>
        <b/>
        <vertAlign val="superscript"/>
        <sz val="12"/>
        <rFont val="Arial"/>
        <family val="2"/>
      </rPr>
      <t>3</t>
    </r>
  </si>
  <si>
    <t>Hormigón En Cubierta Plana F'c=210kg/Cm²</t>
  </si>
  <si>
    <t>03.03.09</t>
  </si>
  <si>
    <t>Bomba Estacionaria (Bomba Estacionaria)</t>
  </si>
  <si>
    <t>M. Hormigón En Losa De Entrepiso F'c=210kg/Cm²</t>
  </si>
  <si>
    <t>Broca Concreto 1/2X12cm (Broca Concreto 1/2X12cm)</t>
  </si>
  <si>
    <t>Hormigón En Losa De Entrepiso F'c=210kg/Cm²</t>
  </si>
  <si>
    <t>03.03.08</t>
  </si>
  <si>
    <t>Servicio mínimo de Bombeo (Servicio mínimo de Bombeo)</t>
  </si>
  <si>
    <t>Alquiler de Tableros de madera (Alquiler de Tableros de madera)</t>
  </si>
  <si>
    <t xml:space="preserve">M. Hormigón Premezclado En Vigas F'c=210kg/Cm² </t>
  </si>
  <si>
    <t>Sika Anchofix2  300ml (Sika Anchofix2  300ml)</t>
  </si>
  <si>
    <t>Maxicril (Maxicril)</t>
  </si>
  <si>
    <t>Broca Concreto 5/8X12cm (Broca Concreto 5/8X12cm)</t>
  </si>
  <si>
    <t xml:space="preserve">Hormigón Premezclado En Vigas F'c=210kg/Cm² </t>
  </si>
  <si>
    <t>03.03.07</t>
  </si>
  <si>
    <t>Alquiler de Maquinaria (retroex (Alquiler de Maquinaria (retroexcavadora))</t>
  </si>
  <si>
    <t>M. Pruebas De Laboratorio</t>
  </si>
  <si>
    <t>M. Hormigón Premezclado En Columnas F'c=210kg/Cm² COLUMNAS</t>
  </si>
  <si>
    <t>Recargo Mínimo Concreto (Recargo Mínimo Concreto)</t>
  </si>
  <si>
    <t>Hormigón Premezclado En Columnas F'c=210kg/Cm² COLUMNAS</t>
  </si>
  <si>
    <t>03.03.06</t>
  </si>
  <si>
    <t>M. Hormigón En Cadenas F'c=210kg/Cm²</t>
  </si>
  <si>
    <t>M. Hormigón Premezclado En Columnas F'c=210kg/Cm² CABEZALES</t>
  </si>
  <si>
    <t>Hormigón Premezclado En Columnas F'c=210kg/Cm² CABEZALES</t>
  </si>
  <si>
    <t>03.03.05</t>
  </si>
  <si>
    <t xml:space="preserve">M. Hormigón En Muros F'c=210kg/Cm² </t>
  </si>
  <si>
    <t>Broca Concreto 1/2" 12mm (Broca Concreto 1/2" 12mm)</t>
  </si>
  <si>
    <t xml:space="preserve">Hormigón En Muros F'c=210kg/Cm² </t>
  </si>
  <si>
    <t>03.03.04</t>
  </si>
  <si>
    <t>Hormigón En Cadenas F'c=210kg/Cm²</t>
  </si>
  <si>
    <t>03.03.03</t>
  </si>
  <si>
    <t>M. Hormigón En Plintos F'c=210kg/Cm²</t>
  </si>
  <si>
    <t>Cuartón 6 x 4 de eucalipto (Cuartón 6 x 4 de eucalipto)</t>
  </si>
  <si>
    <t>Hormigón En Plintos F'c=210kg/Cm²</t>
  </si>
  <si>
    <t>03.03.02</t>
  </si>
  <si>
    <t xml:space="preserve">M. Contrapiso De Hormigón Planta Baja F'c=210 Kg/Cm² </t>
  </si>
  <si>
    <t>M. Hormigón En Replantillo F'c=180kg/Cm²</t>
  </si>
  <si>
    <t>Hormigón En Replantillo F'c=180kg/Cm²</t>
  </si>
  <si>
    <t>03.03.01</t>
  </si>
  <si>
    <t>c) ESTRUCTURA DE HORMIGÓN</t>
  </si>
  <si>
    <t>M. Juntas de dilatación en contrapiso</t>
  </si>
  <si>
    <t>Juntas de dilatación en contrapiso</t>
  </si>
  <si>
    <t>03.02.03</t>
  </si>
  <si>
    <t>Dia</t>
  </si>
  <si>
    <t>Alquiler Rodillo (Alquiler Rodillo)</t>
  </si>
  <si>
    <t>Alquiler compactador sapo (Alquiler compactador sapo)</t>
  </si>
  <si>
    <t>Horas Maquinas Mini Cargadora (Horas Maquinas Mini Cargadora        )</t>
  </si>
  <si>
    <t>Sikadur 32 Primer (2.5kl) (Sikadur 32 Primer (2.5kl))</t>
  </si>
  <si>
    <t>Riel de eucalipto (Riel de eucalipto)</t>
  </si>
  <si>
    <t>Pingos de 3 mts. (Pingos de 3 mts.)</t>
  </si>
  <si>
    <t>Disco de corte de diamante 7" (Disco de corte de diamante 7")</t>
  </si>
  <si>
    <t>Clavos de acero 2.1/2” (Clavos de acero 2.1/2” (1 kilo))</t>
  </si>
  <si>
    <t>Pingos de 2.5 mts (Pingos de 2.5 mts)</t>
  </si>
  <si>
    <r>
      <t>m</t>
    </r>
    <r>
      <rPr>
        <b/>
        <vertAlign val="superscript"/>
        <sz val="12"/>
        <rFont val="Arial"/>
        <family val="2"/>
      </rPr>
      <t>2</t>
    </r>
  </si>
  <si>
    <t xml:space="preserve">Contrapiso De Hormigón Planta Baja F'c=210 Kg/Cm² </t>
  </si>
  <si>
    <t>03.02.02</t>
  </si>
  <si>
    <t>M. Plástico Polietileno 2 Capas</t>
  </si>
  <si>
    <t>Plastico Negro 1.5 mts (Plastico Negro 1.5 mts (1.98mts x kg) (50.50 kilos))</t>
  </si>
  <si>
    <t>Clavos galvanizados 3" (Clavos galvanizados 3")</t>
  </si>
  <si>
    <t>Plástico Negro 2 mts (Plástico Negro 2 mts (1.70 mts x kg) (50.50 kilos))</t>
  </si>
  <si>
    <t>Plástico Polietileno 2 Capas</t>
  </si>
  <si>
    <t>03.02.01</t>
  </si>
  <si>
    <t>b) CONTRAPISO</t>
  </si>
  <si>
    <t>M. Hierro 18 Mm X 12 M</t>
  </si>
  <si>
    <t>Varilla Hierro D=18mmx12m (Varilla Hierro D=18mmx12m)</t>
  </si>
  <si>
    <t>Hierro 18 Mm X 12 M</t>
  </si>
  <si>
    <t>03.01.07</t>
  </si>
  <si>
    <t>M. Hierro 16 Mm X 12 M</t>
  </si>
  <si>
    <t>Varilla Hierro D=16mmx12m (Varilla Hierro D=12mmx12m)</t>
  </si>
  <si>
    <t>Rr20Kg</t>
  </si>
  <si>
    <t>Alambre recocido N18 (20kg) (Alambre recocido N18 (20kg))</t>
  </si>
  <si>
    <t>Hierro 16 Mm X 12 M</t>
  </si>
  <si>
    <t>03.01.06</t>
  </si>
  <si>
    <t>M. Hierro 14 Mm X 12 M</t>
  </si>
  <si>
    <t>Varilla Hierro D=14mmx12m (Varilla Hierro D=12mmx12m)</t>
  </si>
  <si>
    <t>Hierro 14 Mm X 12 M</t>
  </si>
  <si>
    <t>03.01.05</t>
  </si>
  <si>
    <t>M. Hierro 12 Mm X 12 M</t>
  </si>
  <si>
    <t>Hierro 12 Mm X 12 M</t>
  </si>
  <si>
    <t>03.01.04</t>
  </si>
  <si>
    <t>M. Hierro 10 Mm X 12 M</t>
  </si>
  <si>
    <t>Hierro 10 Mm X 12 M</t>
  </si>
  <si>
    <t>03.01.03</t>
  </si>
  <si>
    <t>M. Hierro 8 Mm X 12 M</t>
  </si>
  <si>
    <t>Varilla Hierro D=08mmx12m (Varilla Hierro D=08mmx12m)</t>
  </si>
  <si>
    <t>Hierro 8 Mm X 12 M</t>
  </si>
  <si>
    <t>03.01.02</t>
  </si>
  <si>
    <t>Transporte de Montacargas (Transporte de Montacargas)</t>
  </si>
  <si>
    <t>M. Malla De Refuerzo 6*15</t>
  </si>
  <si>
    <t>Malla De Refuerzo 6*15</t>
  </si>
  <si>
    <t>03.01.01</t>
  </si>
  <si>
    <t>a) ACERO DE REFUERZO</t>
  </si>
  <si>
    <t>03. ESTRUCTURA</t>
  </si>
  <si>
    <t>M. Perfilado de taludes Muros</t>
  </si>
  <si>
    <t>Disco de corte de hierro 9" (Me (Disco de corte de hierro 9" (Metal))</t>
  </si>
  <si>
    <t>Perfilado de taludes Muros (Incluye plástico polietileno)</t>
  </si>
  <si>
    <t>02.02.06</t>
  </si>
  <si>
    <t>día</t>
  </si>
  <si>
    <t>M. Relleno Compactado Con Material Local (Plintos Y Cimientos)</t>
  </si>
  <si>
    <t>Gasolina  Extra (Gasolina  Extra)</t>
  </si>
  <si>
    <t>Relleno Compactado Con Material Local (Plintos Y Cimientos)</t>
  </si>
  <si>
    <t>02.02.05</t>
  </si>
  <si>
    <t>M. Excavaciones Para Plintos Y Cimientos ( Maquina Y Perfilado Manual)</t>
  </si>
  <si>
    <t>Excavaciones Para Plintos Y Cimientos ( Maquina Y Perfilado Manual)</t>
  </si>
  <si>
    <t>02.02.04</t>
  </si>
  <si>
    <t>Cajas De Revisión H= 1,50x1,00x1,00m</t>
  </si>
  <si>
    <t>02.02.03</t>
  </si>
  <si>
    <t>M. Excavaciones Y Relleno Compactado Para Instalaciones Eléctricas</t>
  </si>
  <si>
    <t>Excavaciones Y Relleno Compactado Para Instalaciones Eléctricas</t>
  </si>
  <si>
    <t>02.02.02</t>
  </si>
  <si>
    <t>M. Excavaciones Y Relleno Compactado Para Instalaciones Hidrosanitarias</t>
  </si>
  <si>
    <t>Excavaciones Y Relleno Compactado Para Instalaciones Hidrosanitarias</t>
  </si>
  <si>
    <t>02.02.01</t>
  </si>
  <si>
    <t>b) EXCAVACIONES PARA INSTALACIONES Y ESTRUCTURA</t>
  </si>
  <si>
    <t>Pruebas de compactación en plataformas</t>
  </si>
  <si>
    <t>02.01.07</t>
  </si>
  <si>
    <t>M. Transporte de material para relleno</t>
  </si>
  <si>
    <t>Transporte de material para relleno</t>
  </si>
  <si>
    <t>02.01.06</t>
  </si>
  <si>
    <t>Hr,</t>
  </si>
  <si>
    <t>M. Rasanteo Y Conformación Manual De Plataformas</t>
  </si>
  <si>
    <t>Rasanteo Y Conformación Manual De Plataformas</t>
  </si>
  <si>
    <t>02.01.05</t>
  </si>
  <si>
    <t>M. Desbroce de Capa Vegetal</t>
  </si>
  <si>
    <t xml:space="preserve">Desbroce de Capa Vegetal </t>
  </si>
  <si>
    <t>02.01.04</t>
  </si>
  <si>
    <t>M. Relleno compactado</t>
  </si>
  <si>
    <t>Relleno compactado</t>
  </si>
  <si>
    <t>02.01.03</t>
  </si>
  <si>
    <t>M. Transporte desalojo de material a botadero</t>
  </si>
  <si>
    <t>Transporte desalojo de material a botadero</t>
  </si>
  <si>
    <t>02.01.02</t>
  </si>
  <si>
    <t>M. Excavación mecánica en banco para conformación de plataforma</t>
  </si>
  <si>
    <t>Excavación mecánica en banco para conformación de plataforma</t>
  </si>
  <si>
    <t>02.01.01</t>
  </si>
  <si>
    <t>a) PLATAFORMAS</t>
  </si>
  <si>
    <t>02. MOVIMIENTOS DE TIERRA</t>
  </si>
  <si>
    <t>M. Desmontaje de guachimanía de obra, baños, vestidores de obra y otros provisionales</t>
  </si>
  <si>
    <t>Desmontaje de guachimanía de obra, baños, vestidores de obra y otros provisionales</t>
  </si>
  <si>
    <t>01.01.09</t>
  </si>
  <si>
    <t>M. Cerramiento provisional de zaram y pingos</t>
  </si>
  <si>
    <t>Tela Verde UV 2.00 mts. (Tela Verde UV 2.00 mts)</t>
  </si>
  <si>
    <t>Tiras de 3x3 (Tiras de 3x3)</t>
  </si>
  <si>
    <t>Tela Arpillera Verde 1.90m (Tela Arpillera Verde 1.90m (Rollo 100m))</t>
  </si>
  <si>
    <t>Cerramiento provisional de zaram y pingos</t>
  </si>
  <si>
    <t>01.01.08</t>
  </si>
  <si>
    <t>M. Guachimanía de obra, baños, vestidores de obra y otros provisionales</t>
  </si>
  <si>
    <t>Toma sobreponer cooper 125v (Toma sobreponer cooper 125v)</t>
  </si>
  <si>
    <t>Franela (Franela)</t>
  </si>
  <si>
    <t>Enchufe blindado 3 patas (Enchufe blindado 3 patas)</t>
  </si>
  <si>
    <t>Clavos Zinc 2 1/2"x9 (Caja 20kg (Clavos Zinc 2 1/2"x9 (Caja 20kg))</t>
  </si>
  <si>
    <t>Cinta de Embalaje (Cinta de Embalaje)</t>
  </si>
  <si>
    <t>Candado Viro Fai Anticizalla 70 (Candado Viro Fai Anticizalla 70)</t>
  </si>
  <si>
    <t>Aceite Multiuso 3 en 1 (Aceite Multiuso 3 en 1)</t>
  </si>
  <si>
    <t>Lavabo Guachimania (Lavabo Guachimania  )</t>
  </si>
  <si>
    <t>Inodoro Guachimania (Inodoro Guachimania)</t>
  </si>
  <si>
    <t>Costales o saquillos (Costales o saquillos)</t>
  </si>
  <si>
    <t>Armellas (Par de Armellas)</t>
  </si>
  <si>
    <t>Zinc 3.60mts x 0.8mts  Cal.0.20 (Zinc 3.60mts x 0.8mts  Cal.0.20)</t>
  </si>
  <si>
    <t>Zinc 2.40mts x 0.80 cm Cal.0.20 (Zinc 2.40mts x 0.80 cm Cal.0.20)</t>
  </si>
  <si>
    <t>Taipe 3m 3/4 x2 Negro (Taipe 3m 3/4 x2 Negro)</t>
  </si>
  <si>
    <t>Tablón Rustico (Tablón Rustico)</t>
  </si>
  <si>
    <t>Pingos de 6 mts. (Pingos de 6 mts.)</t>
  </si>
  <si>
    <t>Pingos de 4 mts. (Pingos de 4 mts.)</t>
  </si>
  <si>
    <t>Bisagra Negra 3" (Bisagra Negra 3")</t>
  </si>
  <si>
    <t>Aldaba Galvanizada 2'' (Aldaba Galvanizada 2'')</t>
  </si>
  <si>
    <t>Guachimanía de obra, baños, vestidores de obra y otros provisionales</t>
  </si>
  <si>
    <t>01.01.05</t>
  </si>
  <si>
    <t>Instalaciones hidrosanitarias provisionales</t>
  </si>
  <si>
    <t>01.01.04</t>
  </si>
  <si>
    <t>Instalaciones eléctricas provisionales</t>
  </si>
  <si>
    <t>01.01.03</t>
  </si>
  <si>
    <t>M. Replanteo Y Nivelación</t>
  </si>
  <si>
    <t>Broca Madera Titanio3/8" (Broca Madera Titanio3/8")</t>
  </si>
  <si>
    <t>Pingos de 3 mts (Pingos de 3 mts)</t>
  </si>
  <si>
    <t>Spray Rojo (Spray Rojo)</t>
  </si>
  <si>
    <t>Cementina (Cementina)</t>
  </si>
  <si>
    <t xml:space="preserve">Replanteo Y Nivelación </t>
  </si>
  <si>
    <t>01.01.02</t>
  </si>
  <si>
    <t>M. Replanteo Topográfico Ejes Estructurales y movimiento tierras</t>
  </si>
  <si>
    <t>Replanteo Topográfico Ejes Estructurales y movimiento tierras</t>
  </si>
  <si>
    <t>01.01.01</t>
  </si>
  <si>
    <t>01. PRELIMINARES</t>
  </si>
  <si>
    <t>IVA</t>
  </si>
  <si>
    <t>PRECIO              TOTAL</t>
  </si>
  <si>
    <t>PRECIO UNITARIO</t>
  </si>
  <si>
    <t>CANTIDAD</t>
  </si>
  <si>
    <t>UNIDAD</t>
  </si>
  <si>
    <t>DESCRIPCIÓN</t>
  </si>
  <si>
    <t>CÓDIGO</t>
  </si>
  <si>
    <t>MUÑOZ FREILE</t>
  </si>
  <si>
    <t>PABLO ESPINOSA</t>
  </si>
  <si>
    <t>BUENO FERRO</t>
  </si>
  <si>
    <t>04.01.03</t>
  </si>
  <si>
    <t>06.01.13</t>
  </si>
  <si>
    <t>14. SERVICIOS BASICOS EN FASE DE CONSTRUCCION</t>
  </si>
  <si>
    <t>14.01.01</t>
  </si>
  <si>
    <t>Servicio de Agua Potable</t>
  </si>
  <si>
    <t>14.01.02</t>
  </si>
  <si>
    <t>Servicio de Energía Eléctrica</t>
  </si>
  <si>
    <t>14.01.03</t>
  </si>
  <si>
    <t>Servicio de Internet</t>
  </si>
  <si>
    <t>M. Internet (Servicio de Internet)</t>
  </si>
  <si>
    <t>Acceso Peatonal (Obra Civil)</t>
  </si>
  <si>
    <t>M. Acceso Peatonal (Obra Civil)</t>
  </si>
  <si>
    <t>15.01.20</t>
  </si>
  <si>
    <t>15.01.21</t>
  </si>
  <si>
    <t>15.01.22</t>
  </si>
  <si>
    <t>Alquiler andamio (Alquiler andamio)</t>
  </si>
  <si>
    <t>Alquiler concretera</t>
  </si>
  <si>
    <t>Transporte Limpieza Y Desalojo De Escombros + tickets emgirs</t>
  </si>
  <si>
    <t>13.01.04</t>
  </si>
  <si>
    <t>Limpieza Final de la Obra previo a la Entrega</t>
  </si>
  <si>
    <t>Brocha 3"</t>
  </si>
  <si>
    <t>13.01.14</t>
  </si>
  <si>
    <t>Rejilla Metálilca de 2"</t>
  </si>
  <si>
    <t>M. Rejilla metálica de 2" (M. Rejilla metálica de 2")</t>
  </si>
  <si>
    <t>Rejilla con Trampa para Ducha</t>
  </si>
  <si>
    <t>M. Rejilla con trampa para ducha (M. Rejilla con trampa para ducha)</t>
  </si>
  <si>
    <t>13.01.18</t>
  </si>
  <si>
    <t>Adoquin Toledo 6cm Color 16X24 (Adoquin Toledo 6cm Color 24X24)</t>
  </si>
  <si>
    <t>Transporte Adoquin (Transporte Adoquin)</t>
  </si>
  <si>
    <t>Aceite Havoline (Aceite Havoline)</t>
  </si>
  <si>
    <t>16. OBRAS ESPECIALES</t>
  </si>
  <si>
    <t>16.01.01</t>
  </si>
  <si>
    <t>Mampostería de ladrillo visto (Mampostería de ladrillo visto)</t>
  </si>
  <si>
    <t>Bondex Premium  25kg (Bondex Premium  25kg)</t>
  </si>
  <si>
    <t>Ladrillo (Ladrillo Mambron)</t>
  </si>
  <si>
    <t>Lustre Nº 8 (Lustre Nº 8)</t>
  </si>
  <si>
    <t>Maxilane Caneca (Maxilane Caneca)</t>
  </si>
  <si>
    <t>Alambre recocido N.18 (20kg) (Alambre recocido N.18 (20kg))</t>
  </si>
  <si>
    <t>Varilla Hierro D=8mmx12m (Varilla Hierro D=8mmx12m)</t>
  </si>
  <si>
    <t>V8</t>
  </si>
  <si>
    <t>Alquiler Puntales (Alquiler Puntales)</t>
  </si>
  <si>
    <t>05.01.12</t>
  </si>
  <si>
    <t>05.01.14 Volumen para medidores (Volumen para medidores de agua y luz)</t>
  </si>
  <si>
    <t>M. Volumen para medidores de ag (Volumen para medidores de agua y luz)</t>
  </si>
  <si>
    <t>Und.</t>
  </si>
  <si>
    <t>Carretilla Polvo Azul (Carretilla Polvo Azul)</t>
  </si>
  <si>
    <t>Sika Anchofix-1 300ml (Sika Anchofix-1 300ml)</t>
  </si>
  <si>
    <t>Alquiler de Elevador a gasolina (Alquiler de Elevador a gasolina)</t>
  </si>
  <si>
    <t>Broca Metal Cobalto 5/32" (Broca Metal Cobalto 5/32"  )</t>
  </si>
  <si>
    <t>Rodillo de felpa 9" (Rodillo de felpa 9")</t>
  </si>
  <si>
    <t>Cinta Peligro 200MT (Cinta Peligro Amarillo 200MT)</t>
  </si>
  <si>
    <t>Plastico Transparente (Plastico Transparente 1.5mts)</t>
  </si>
  <si>
    <t>Brocha 4" (Brocha 4")</t>
  </si>
  <si>
    <t>Espatula stanley 3'' (Espatula stanley 3'')</t>
  </si>
  <si>
    <t>Escobas Plastico Dura (Escobas Plastico Dura)</t>
  </si>
  <si>
    <t>Lavador 100 (Lavador 100)</t>
  </si>
  <si>
    <t>Thinner Laca (Thinner Laca)</t>
  </si>
  <si>
    <t>Trans. Desalojo-Escombro Botade (Trans. Desalojo-Escombro Botadero fuera de obra)</t>
  </si>
  <si>
    <t>viaje</t>
  </si>
  <si>
    <t>Alfombra atrapamugre (Alfombra atrapamugre)</t>
  </si>
  <si>
    <t>Arnes de Seguridad + cuerda 3P. (Arnes de Seguridad + 3P Fijacion total)</t>
  </si>
  <si>
    <t>Caneca 5GLN (Caneca 5GLN)</t>
  </si>
  <si>
    <t>Destornillador Estrella 1/4"x5" (Destornillador Estrella 1/4"x5")</t>
  </si>
  <si>
    <t>Escalera Pie de Gallo (Escalera Pie de Gallo)</t>
  </si>
  <si>
    <t>Taladro Dewalt 1/2" - 1100W DWD (Taladro Dewalt 1/2" - 1100W DWD520 DEWALT)</t>
  </si>
  <si>
    <t>Carretilla Ripio (Carretilla Ripio)</t>
  </si>
  <si>
    <t>Malla Armex Elect.5mmx10x10 R-1 (Malla Armex Elect.5mmx10x10 R-196)</t>
  </si>
  <si>
    <t>Plastocrete 161 HE 4KG (Plastocrete 161 HE 4KG)</t>
  </si>
  <si>
    <t>Tubo PVC desague 75mm x 3mts (Tubo PVC desague 75mm x 3mts Rival  )</t>
  </si>
  <si>
    <t>Alquiler Generador (Alquiler Generador)</t>
  </si>
  <si>
    <t>16.01.03</t>
  </si>
  <si>
    <t>Cisterna (Incluye impermeabilización)</t>
  </si>
  <si>
    <t>M.Cisterna (Incluye impermeabilización)</t>
  </si>
  <si>
    <t>glb</t>
  </si>
  <si>
    <t>Sika -1 Impermeabilizante 2kg (Sika -1 Impermeabilizante 2kg)</t>
  </si>
  <si>
    <t>Piscina (Obra Civil)</t>
  </si>
  <si>
    <t>Bondex Standar 25Kg (Bondex Standar 25Kg)</t>
  </si>
  <si>
    <t>Clavos de acero 2.1/2” Japones (Clavos de acero 2.1/2” Japones)</t>
  </si>
  <si>
    <t>Maxicril - 70 gl (Maxicril - 70 gl)</t>
  </si>
  <si>
    <t>Piedra bola (Piedra bola)</t>
  </si>
  <si>
    <t>Rejilla PVC Ventilacion 50MM (Rejilla PVC Ventilacion 50MM)</t>
  </si>
  <si>
    <t>Sika -1 Impermeabilizante 4kg (Sika -1 Impermeabilizante 4kg)</t>
  </si>
  <si>
    <t>M.Piscina (Obra Civil)</t>
  </si>
  <si>
    <t>M. Encofrado y  Desencofrado Dintel Descolgado Perimetral</t>
  </si>
  <si>
    <t>M. Mamposteria de ladrillo visto una cara (Mamposteria de ladrillo visto)</t>
  </si>
  <si>
    <t>M. Hormigón En Escaleras F'c=210kg/Cm² (Acceso Peatonal)</t>
  </si>
  <si>
    <t>RESUMEN</t>
  </si>
  <si>
    <t>CANTIDAD x UNIDAD</t>
  </si>
  <si>
    <t>BUENO</t>
  </si>
  <si>
    <t>ESPINOSA</t>
  </si>
  <si>
    <t>MUÑOZ</t>
  </si>
  <si>
    <t>Sikadur Primer 32</t>
  </si>
  <si>
    <t>15.01.23</t>
  </si>
  <si>
    <t>M. Canal recolector aguas lluvias</t>
  </si>
  <si>
    <t>Canal recolector aguas lluvias</t>
  </si>
  <si>
    <t>Cemento</t>
  </si>
  <si>
    <t>Ripio</t>
  </si>
  <si>
    <t>Polvo Azul</t>
  </si>
  <si>
    <t>Malla Electrosoldada 6x15</t>
  </si>
  <si>
    <t>u</t>
  </si>
  <si>
    <t>Tablas de Monte</t>
  </si>
  <si>
    <t>Clavo Galvanizado 2 1/2"</t>
  </si>
  <si>
    <t>kg</t>
  </si>
  <si>
    <t>Disco Corte Diamante 9"</t>
  </si>
  <si>
    <t>Maxicril</t>
  </si>
  <si>
    <t>REPORTE DE DECISIONES PENDIENTES — Revisión con Ingenieros</t>
  </si>
  <si>
    <t>Insumos con dispersión de precio entre obras. Marcar 'Valor Adoptado' y firmar.</t>
  </si>
  <si>
    <t>Categoría</t>
  </si>
  <si>
    <t>APU</t>
  </si>
  <si>
    <t>Sección</t>
  </si>
  <si>
    <t>Insumo</t>
  </si>
  <si>
    <t>Unidad</t>
  </si>
  <si>
    <t>PU BUENO FERRO</t>
  </si>
  <si>
    <t>PU PABLO ESPINOSA</t>
  </si>
  <si>
    <t>PU MUÑOZ FREILE</t>
  </si>
  <si>
    <t>Desv %</t>
  </si>
  <si>
    <t>Valor Adoptado / Observación Ing.</t>
  </si>
  <si>
    <t>--- A - ERROR DE UNIDAD PROBABLE (5) ---</t>
  </si>
  <si>
    <t>A - ERROR DE UNIDAD PROBABLE</t>
  </si>
  <si>
    <t>materiales</t>
  </si>
  <si>
    <t>equipo</t>
  </si>
  <si>
    <t>--- B - REQUIERE CRITERIO (17) ---</t>
  </si>
  <si>
    <t>B - REQUIERE CRITERIO</t>
  </si>
  <si>
    <t>mano_obra</t>
  </si>
  <si>
    <t>--- C - VARIACIÓN MEDIA-ALTA (informativo) (6) ---</t>
  </si>
  <si>
    <t>C - VARIACIÓN MEDIA-ALTA (informativo)</t>
  </si>
  <si>
    <t>PROPUESTA DE APU ESTÁNDAR</t>
  </si>
  <si>
    <t>Construido a partir del análisis comparativo de 3 obras: BUENO FERRO · PABLO ESPINOSA · MUÑOZ FREILE</t>
  </si>
  <si>
    <t>Leyenda: 🟡 Fila amarilla = dato de 1 sola obra (cobertura única) | 🟠 Fila naranja = dispersión alta, revisar en hoja 'Reporte Decisiones Pendientes' | 🔴 Rojo = error de unidad probable</t>
  </si>
  <si>
    <t>Cant/Rend</t>
  </si>
  <si>
    <t>P.Unit</t>
  </si>
  <si>
    <t>Subtotal</t>
  </si>
  <si>
    <t>Cant BF</t>
  </si>
  <si>
    <t>PU BF</t>
  </si>
  <si>
    <t>Cant PE</t>
  </si>
  <si>
    <t>PU PE</t>
  </si>
  <si>
    <t>Cant MF</t>
  </si>
  <si>
    <t>PU MF</t>
  </si>
  <si>
    <t>Observación</t>
  </si>
  <si>
    <t>COSTO UNITARIO APU ESTÁNDAR</t>
  </si>
  <si>
    <t>CU observados →</t>
  </si>
  <si>
    <t>PU: cobertura única</t>
  </si>
  <si>
    <t>PU: Criterio pendiente — desv 222%</t>
  </si>
  <si>
    <t>PU: Revisar — desv 7593% | Rend: Rendimiento disperso</t>
  </si>
  <si>
    <t>PU: Revisar — desv 870%</t>
  </si>
  <si>
    <t>PU: Criterio pendiente — desv 246%</t>
  </si>
  <si>
    <t>PU: Revisar — desv 1170% | Rend: Rendimiento disperso</t>
  </si>
  <si>
    <t>PU: Criterio pendiente — desv 468% | Rend: Rendimiento disperso</t>
  </si>
  <si>
    <t>PU: Criterio pendiente — desv 135%</t>
  </si>
  <si>
    <t>PU: Criterio pendiente — desv 138%</t>
  </si>
  <si>
    <t>PU: Criterio pendiente — desv 170%</t>
  </si>
  <si>
    <t>PU: Criterio pendiente — desv 116% | Rend: Rendimiento disperso</t>
  </si>
  <si>
    <t>PU: cobertura única | Rend: Rendimiento disperso</t>
  </si>
  <si>
    <t>PU: Revisar — desv 1436%</t>
  </si>
  <si>
    <t>PU: Criterio pendiente — desv 407%</t>
  </si>
  <si>
    <t>PU: Criterio pendiente — desv 131%</t>
  </si>
  <si>
    <t>PU: Criterio pendiente — desv 279%</t>
  </si>
  <si>
    <t>PU: Revisar — desv 8159% | Rend: cobertura única</t>
  </si>
  <si>
    <t>PU: Criterio pendiente — desv 268% | Rend: cobertura única</t>
  </si>
  <si>
    <t>PU: Criterio pendiente — desv 135% | Rend: cobertura única</t>
  </si>
  <si>
    <t>PU: Criterio pendiente — desv 106%</t>
  </si>
  <si>
    <t>PU: Criterio pendiente — desv 133% | Rend: cobertura única</t>
  </si>
  <si>
    <t>Rubro con cobertura única</t>
  </si>
  <si>
    <t>RESUMEN COMPARATIVO — COSTO UNITARIO POR APU</t>
  </si>
  <si>
    <t>106 rubros · CU observado en cada obra vs. CU estándar propuesto</t>
  </si>
  <si>
    <t>Código</t>
  </si>
  <si>
    <t>Descripción</t>
  </si>
  <si>
    <t>CU BUENO FERRO</t>
  </si>
  <si>
    <t>CU PABLO ESPINOSA</t>
  </si>
  <si>
    <t>CU MUÑOZ FREILE</t>
  </si>
  <si>
    <t>CU ESTÁNDAR</t>
  </si>
  <si>
    <t>Cobertura</t>
  </si>
  <si>
    <t>Desv Max %</t>
  </si>
  <si>
    <t>Notas</t>
  </si>
  <si>
    <t>Tiene insumos con dispersión (ver hoja Reporte)</t>
  </si>
  <si>
    <t>0/3</t>
  </si>
  <si>
    <t>Cobertura única · Tiene insumos con dispersión (ver hoja Reporte)</t>
  </si>
  <si>
    <t>BASE DE DATOS — MATERIALES</t>
  </si>
  <si>
    <t>Edite la columna D (PU ESTÁNDAR) — los APUs y el CU se recalculan automáticamente</t>
  </si>
  <si>
    <t>PU ESTÁNDAR</t>
  </si>
  <si>
    <t>Usos</t>
  </si>
  <si>
    <t>Método</t>
  </si>
  <si>
    <t>MAT-0001</t>
  </si>
  <si>
    <t>Aceite Havoline</t>
  </si>
  <si>
    <t>único</t>
  </si>
  <si>
    <t>Cobertura única</t>
  </si>
  <si>
    <t>MAT-0002</t>
  </si>
  <si>
    <t>Aceite Multiuso 3 en 1</t>
  </si>
  <si>
    <t>MAT-0003</t>
  </si>
  <si>
    <t>Adoquin Toledo 6cm Color 16X16</t>
  </si>
  <si>
    <t>promedio</t>
  </si>
  <si>
    <t>MAT-0004</t>
  </si>
  <si>
    <t>MAT-0005</t>
  </si>
  <si>
    <t>Adoquin Toledo 6cm Color 24X24</t>
  </si>
  <si>
    <t>MAT-0006</t>
  </si>
  <si>
    <t>Alambre galvanizado N 14</t>
  </si>
  <si>
    <t>MAT-0007</t>
  </si>
  <si>
    <t>Alambre galvanizado Nº 14</t>
  </si>
  <si>
    <t>MAT-0008</t>
  </si>
  <si>
    <t>MAT-0009</t>
  </si>
  <si>
    <t>MAT-0010</t>
  </si>
  <si>
    <t>MAT-0011</t>
  </si>
  <si>
    <t>MAT-0012</t>
  </si>
  <si>
    <t>Aldaba Galvanizada 2''</t>
  </si>
  <si>
    <t>mediana</t>
  </si>
  <si>
    <t>Criterio pendiente — desv 222%</t>
  </si>
  <si>
    <t>MAT-0013</t>
  </si>
  <si>
    <t>Alfombra atrapamugre</t>
  </si>
  <si>
    <t>MAT-0014</t>
  </si>
  <si>
    <t>Amoladora 9" DWE496-B3 Dewalt</t>
  </si>
  <si>
    <t>MAT-0015</t>
  </si>
  <si>
    <t>Arena Fina</t>
  </si>
  <si>
    <t>MAT-0016</t>
  </si>
  <si>
    <t>MAT-0017</t>
  </si>
  <si>
    <t>Arena Rosada</t>
  </si>
  <si>
    <t>MAT-0018</t>
  </si>
  <si>
    <t>MAT-0019</t>
  </si>
  <si>
    <t>Balde de construccion caucho</t>
  </si>
  <si>
    <t>MAT-0020</t>
  </si>
  <si>
    <t>Barra agricola de 14 libras</t>
  </si>
  <si>
    <t>MAT-0021</t>
  </si>
  <si>
    <t>Bisagra Negra 3"</t>
  </si>
  <si>
    <t>MAT-0022</t>
  </si>
  <si>
    <t>Bloque alivianado 10x20x40</t>
  </si>
  <si>
    <t>MAT-0023</t>
  </si>
  <si>
    <t>Bloque alivianado 15x20x40</t>
  </si>
  <si>
    <t>MAT-0024</t>
  </si>
  <si>
    <t>Bloque alivianado 20x40x20</t>
  </si>
  <si>
    <t>MAT-0025</t>
  </si>
  <si>
    <t>Bondex Plus 25kg</t>
  </si>
  <si>
    <t>MAT-0026</t>
  </si>
  <si>
    <t>Bondex Premium 25kg</t>
  </si>
  <si>
    <t>MAT-0027</t>
  </si>
  <si>
    <t>Bondex Standar 25Kg</t>
  </si>
  <si>
    <t>MAT-0028</t>
  </si>
  <si>
    <t>Bordillo 100X25X8 Gris Natural</t>
  </si>
  <si>
    <t>MAT-0029</t>
  </si>
  <si>
    <t>Broca Concreto 1/2" 12mm</t>
  </si>
  <si>
    <t>MAT-0030</t>
  </si>
  <si>
    <t>Broca Concreto 1/2" 13mm</t>
  </si>
  <si>
    <t>MAT-0031</t>
  </si>
  <si>
    <t>Broca Concreto 1/2X12cm</t>
  </si>
  <si>
    <t>MAT-0032</t>
  </si>
  <si>
    <t>Broca Concreto 1/2X30cm</t>
  </si>
  <si>
    <t>Criterio pendiente — desv 170%</t>
  </si>
  <si>
    <t>MAT-0033</t>
  </si>
  <si>
    <t>Broca Concreto 5/8X12cm</t>
  </si>
  <si>
    <t>MAT-0034</t>
  </si>
  <si>
    <t>Broca Madera Titanio3/8"</t>
  </si>
  <si>
    <t>MAT-0035</t>
  </si>
  <si>
    <t>Broca Metal Cobalto 5/32"</t>
  </si>
  <si>
    <t>MAT-0036</t>
  </si>
  <si>
    <t>MAT-0037</t>
  </si>
  <si>
    <t>MAT-0038</t>
  </si>
  <si>
    <t>Brocha 4"</t>
  </si>
  <si>
    <t>MAT-0039</t>
  </si>
  <si>
    <t>Cable Gemelo Blanco 2X10</t>
  </si>
  <si>
    <t>mediana (outlier detectado)</t>
  </si>
  <si>
    <t>Revisar — desv 8159%</t>
  </si>
  <si>
    <t>MAT-0040</t>
  </si>
  <si>
    <t>Cabo Madera Zapapico</t>
  </si>
  <si>
    <t>MAT-0041</t>
  </si>
  <si>
    <t>MAT-0042</t>
  </si>
  <si>
    <t>Candado Viro Fai Anticizalla 70</t>
  </si>
  <si>
    <t>MAT-0043</t>
  </si>
  <si>
    <t>Caneca 20 litros s/tapa</t>
  </si>
  <si>
    <t>MAT-0044</t>
  </si>
  <si>
    <t>Caneca 5GLN</t>
  </si>
  <si>
    <t>MAT-0045</t>
  </si>
  <si>
    <t>Caoba Roja</t>
  </si>
  <si>
    <t>MAT-0046</t>
  </si>
  <si>
    <t>Carretilla Polvo Azul</t>
  </si>
  <si>
    <t>MAT-0047</t>
  </si>
  <si>
    <t>Carretilla Ripio</t>
  </si>
  <si>
    <t>MAT-0048</t>
  </si>
  <si>
    <t>Carretilla Truper 220kl tomate</t>
  </si>
  <si>
    <t>MAT-0049</t>
  </si>
  <si>
    <t>Cementina</t>
  </si>
  <si>
    <t>MAT-0050</t>
  </si>
  <si>
    <t>Cemento Campeon</t>
  </si>
  <si>
    <t>MAT-0051</t>
  </si>
  <si>
    <t>MAT-0052</t>
  </si>
  <si>
    <t>Cemento Campeon HS 50KG</t>
  </si>
  <si>
    <t>MAT-0053</t>
  </si>
  <si>
    <t>Cemento Campeón</t>
  </si>
  <si>
    <t>Criterio pendiente — desv 252%</t>
  </si>
  <si>
    <t>MAT-0054</t>
  </si>
  <si>
    <t>MAT-0055</t>
  </si>
  <si>
    <t>sin datos</t>
  </si>
  <si>
    <t>MAT-0056</t>
  </si>
  <si>
    <t>Cepillo de acero 5f cromado</t>
  </si>
  <si>
    <t>MAT-0057</t>
  </si>
  <si>
    <t>Chapisco 25 kg</t>
  </si>
  <si>
    <t>MAT-0058</t>
  </si>
  <si>
    <t>Cinta Masking</t>
  </si>
  <si>
    <t>MAT-0059</t>
  </si>
  <si>
    <t>MAT-0060</t>
  </si>
  <si>
    <t>Cinta de Embalaje</t>
  </si>
  <si>
    <t>MAT-0061</t>
  </si>
  <si>
    <t>MAT-0062</t>
  </si>
  <si>
    <t>Clavo de acero blanco chino 1</t>
  </si>
  <si>
    <t>MAT-0063</t>
  </si>
  <si>
    <t>MAT-0064</t>
  </si>
  <si>
    <t>MAT-0065</t>
  </si>
  <si>
    <t>Clavos de acero 2''</t>
  </si>
  <si>
    <t>Criterio pendiente — desv 138%</t>
  </si>
  <si>
    <t>MAT-0066</t>
  </si>
  <si>
    <t>MAT-0067</t>
  </si>
  <si>
    <t>Clavos de acero 2.1/2” Japones</t>
  </si>
  <si>
    <t>MAT-0068</t>
  </si>
  <si>
    <t>Clavos de acero 21/2''</t>
  </si>
  <si>
    <t>MAT-0069</t>
  </si>
  <si>
    <t>Clavos galvanizados 2 1/2"</t>
  </si>
  <si>
    <t>MAT-0070</t>
  </si>
  <si>
    <t>Clavos galvanizados 2 1/2''</t>
  </si>
  <si>
    <t>MAT-0071</t>
  </si>
  <si>
    <t>Clavos galvanizados 2"</t>
  </si>
  <si>
    <t>MAT-0072</t>
  </si>
  <si>
    <t>Clavos galvanizados 2''</t>
  </si>
  <si>
    <t>MAT-0073</t>
  </si>
  <si>
    <t>Clavos galvanizados 3"</t>
  </si>
  <si>
    <t>MAT-0074</t>
  </si>
  <si>
    <t>Cloro</t>
  </si>
  <si>
    <t>MAT-0075</t>
  </si>
  <si>
    <t>Codal de Aluminio</t>
  </si>
  <si>
    <t>MAT-0076</t>
  </si>
  <si>
    <t>Costales o saquillos</t>
  </si>
  <si>
    <t>MAT-0077</t>
  </si>
  <si>
    <t>Cuarton 6 x 4 de eucalipto</t>
  </si>
  <si>
    <t>MAT-0078</t>
  </si>
  <si>
    <t>Cuartón 6 x 4 de eucalipto</t>
  </si>
  <si>
    <t>MAT-0079</t>
  </si>
  <si>
    <t>Desinfectante</t>
  </si>
  <si>
    <t>MAT-0080</t>
  </si>
  <si>
    <t>Destornillador Estrella 1/4"x5"</t>
  </si>
  <si>
    <t>MAT-0081</t>
  </si>
  <si>
    <t>Detergente</t>
  </si>
  <si>
    <t>Revisar — desv 1436%</t>
  </si>
  <si>
    <t>MAT-0082</t>
  </si>
  <si>
    <t>MAT-0083</t>
  </si>
  <si>
    <t>Disco Corte Madera 7</t>
  </si>
  <si>
    <t>MAT-0084</t>
  </si>
  <si>
    <t>MAT-0085</t>
  </si>
  <si>
    <t>Disco de corte de diamante 7"</t>
  </si>
  <si>
    <t>MAT-0086</t>
  </si>
  <si>
    <t>Disco de corte de diamante 9"</t>
  </si>
  <si>
    <t>MAT-0087</t>
  </si>
  <si>
    <t>MAT-0088</t>
  </si>
  <si>
    <t>Disco de corte metal 9"</t>
  </si>
  <si>
    <t>MAT-0089</t>
  </si>
  <si>
    <t>Disco diamante segmentado 9"</t>
  </si>
  <si>
    <t>Revisar — desv 2786%</t>
  </si>
  <si>
    <t>MAT-0090</t>
  </si>
  <si>
    <t>Enchufe blindado 3 patas</t>
  </si>
  <si>
    <t>MAT-0091</t>
  </si>
  <si>
    <t>Escalera Pie de Gallo</t>
  </si>
  <si>
    <t>MAT-0092</t>
  </si>
  <si>
    <t>MAT-0093</t>
  </si>
  <si>
    <t>Escoba de coco</t>
  </si>
  <si>
    <t>MAT-0094</t>
  </si>
  <si>
    <t>Escobas Plastico Dura</t>
  </si>
  <si>
    <t>MAT-0095</t>
  </si>
  <si>
    <t>Escobas Plastico Suave</t>
  </si>
  <si>
    <t>MAT-0096</t>
  </si>
  <si>
    <t>Espatula stanley 3''</t>
  </si>
  <si>
    <t>MAT-0097</t>
  </si>
  <si>
    <t>Franela</t>
  </si>
  <si>
    <t>MAT-0098</t>
  </si>
  <si>
    <t>Fundas de Basura</t>
  </si>
  <si>
    <t>MAT-0099</t>
  </si>
  <si>
    <t>Gasolina - Extra</t>
  </si>
  <si>
    <t>MAT-0100</t>
  </si>
  <si>
    <t>MAT-0101</t>
  </si>
  <si>
    <t>Gasolina Extra</t>
  </si>
  <si>
    <t>MAT-0102</t>
  </si>
  <si>
    <t>Guaipe</t>
  </si>
  <si>
    <t>MAT-0103</t>
  </si>
  <si>
    <t>MAT-0104</t>
  </si>
  <si>
    <t>Criterio pendiente — desv 468%</t>
  </si>
  <si>
    <t>MAT-0105</t>
  </si>
  <si>
    <t>Inodoro Guachimania</t>
  </si>
  <si>
    <t>MAT-0106</t>
  </si>
  <si>
    <t>MAT-0107</t>
  </si>
  <si>
    <t>Lastre</t>
  </si>
  <si>
    <t>MAT-0108</t>
  </si>
  <si>
    <t>Lavabo Guachimania</t>
  </si>
  <si>
    <t>MAT-0109</t>
  </si>
  <si>
    <t>Lavador 100</t>
  </si>
  <si>
    <t>MAT-0110</t>
  </si>
  <si>
    <t>Lustre Nº 4</t>
  </si>
  <si>
    <t>MAT-0111</t>
  </si>
  <si>
    <t>Lustre Nº 8</t>
  </si>
  <si>
    <t>MAT-0112</t>
  </si>
  <si>
    <t>Machete</t>
  </si>
  <si>
    <t>MAT-0113</t>
  </si>
  <si>
    <t>MAT-0114</t>
  </si>
  <si>
    <t>MAT-0115</t>
  </si>
  <si>
    <t>MAT-0116</t>
  </si>
  <si>
    <t>Malla Tejida Zaranda mts</t>
  </si>
  <si>
    <t>MAT-0117</t>
  </si>
  <si>
    <t>Malla Tela fina x metros</t>
  </si>
  <si>
    <t>MAT-0118</t>
  </si>
  <si>
    <t>Malla fina para cernir</t>
  </si>
  <si>
    <t>MAT-0119</t>
  </si>
  <si>
    <t>MAT-0120</t>
  </si>
  <si>
    <t>MAT-0121</t>
  </si>
  <si>
    <t>Criterio pendiente — desv 268%</t>
  </si>
  <si>
    <t>MAT-0122</t>
  </si>
  <si>
    <t>Manguera transparente</t>
  </si>
  <si>
    <t>MAT-0123</t>
  </si>
  <si>
    <t>Masking Abro 2x40</t>
  </si>
  <si>
    <t>MAT-0124</t>
  </si>
  <si>
    <t>MAT-0125</t>
  </si>
  <si>
    <t>Maxicril - 70 gl</t>
  </si>
  <si>
    <t>MAT-0126</t>
  </si>
  <si>
    <t>Maxicril Caneca</t>
  </si>
  <si>
    <t>MAT-0127</t>
  </si>
  <si>
    <t>Maxicril Galon</t>
  </si>
  <si>
    <t>MAT-0128</t>
  </si>
  <si>
    <t>MAT-0129</t>
  </si>
  <si>
    <t>Maxikote Madera 4kg</t>
  </si>
  <si>
    <t>MAT-0130</t>
  </si>
  <si>
    <t>Maxilane Caneca</t>
  </si>
  <si>
    <t>MAT-0131</t>
  </si>
  <si>
    <t>Maxilastic 3.8lt/4.33kg</t>
  </si>
  <si>
    <t>MAT-0132</t>
  </si>
  <si>
    <t>Pala Cuadrada</t>
  </si>
  <si>
    <t>MAT-0133</t>
  </si>
  <si>
    <t>MAT-0134</t>
  </si>
  <si>
    <t>Paño Multiusos</t>
  </si>
  <si>
    <t>MAT-0135</t>
  </si>
  <si>
    <t>Piedra bola</t>
  </si>
  <si>
    <t>MAT-0136</t>
  </si>
  <si>
    <t>Pingos de 2.5 mts</t>
  </si>
  <si>
    <t>MAT-0137</t>
  </si>
  <si>
    <t>Pingos de 3 mts</t>
  </si>
  <si>
    <t>MAT-0138</t>
  </si>
  <si>
    <t>Pingos de 3 mts.</t>
  </si>
  <si>
    <t>MAT-0139</t>
  </si>
  <si>
    <t>Pingos de 4 mts.</t>
  </si>
  <si>
    <t>MAT-0140</t>
  </si>
  <si>
    <t>Pingos de 6 mts.</t>
  </si>
  <si>
    <t>MAT-0141</t>
  </si>
  <si>
    <t>Pistola Calefateo Truper Refz.</t>
  </si>
  <si>
    <t>MAT-0142</t>
  </si>
  <si>
    <t>Plancha espumaflex 2cm</t>
  </si>
  <si>
    <t>MAT-0143</t>
  </si>
  <si>
    <t>Plancha espumaflex 5cm</t>
  </si>
  <si>
    <t>MAT-0144</t>
  </si>
  <si>
    <t>Plastico Enmascarar 220cmx25m</t>
  </si>
  <si>
    <t>MAT-0145</t>
  </si>
  <si>
    <t>MAT-0146</t>
  </si>
  <si>
    <t>MAT-0147</t>
  </si>
  <si>
    <t>MAT-0148</t>
  </si>
  <si>
    <t>Plastocrete 161 HE 4KG</t>
  </si>
  <si>
    <t>MAT-0149</t>
  </si>
  <si>
    <t>Plastocrete dm 4kg Sika</t>
  </si>
  <si>
    <t>MAT-0150</t>
  </si>
  <si>
    <t>MAT-0151</t>
  </si>
  <si>
    <t>MAT-0152</t>
  </si>
  <si>
    <t>MAT-0153</t>
  </si>
  <si>
    <t>Polvo Rosado</t>
  </si>
  <si>
    <t>MAT-0154</t>
  </si>
  <si>
    <t>Recargo Minimo Concreto</t>
  </si>
  <si>
    <t>MAT-0155</t>
  </si>
  <si>
    <t>Recargo Mínimo Concreto</t>
  </si>
  <si>
    <t>MAT-0156</t>
  </si>
  <si>
    <t>Rejilla PVC Ventilacion 50MM</t>
  </si>
  <si>
    <t>MAT-0157</t>
  </si>
  <si>
    <t>MAT-0158</t>
  </si>
  <si>
    <t>Riel de eucalipto</t>
  </si>
  <si>
    <t>MAT-0159</t>
  </si>
  <si>
    <t>MAT-0160</t>
  </si>
  <si>
    <t>MAT-0161</t>
  </si>
  <si>
    <t>Rodillo de felpa</t>
  </si>
  <si>
    <t>MAT-0162</t>
  </si>
  <si>
    <t>Rodillo de felpa 9"</t>
  </si>
  <si>
    <t>MAT-0163</t>
  </si>
  <si>
    <t>MAT-0164</t>
  </si>
  <si>
    <t>Criterio pendiente — desv 135%</t>
  </si>
  <si>
    <t>MAT-0165</t>
  </si>
  <si>
    <t>Sierra Sanflex Hoja</t>
  </si>
  <si>
    <t>MAT-0166</t>
  </si>
  <si>
    <t>Sika -1 Impermeabilizante 2kg</t>
  </si>
  <si>
    <t>MAT-0167</t>
  </si>
  <si>
    <t>Sika -1 Impermeabilizante 4kg</t>
  </si>
  <si>
    <t>MAT-0168</t>
  </si>
  <si>
    <t>Sika 1 Imperm.10kg</t>
  </si>
  <si>
    <t>MAT-0169</t>
  </si>
  <si>
    <t>Sika Anchofix-1 300ml</t>
  </si>
  <si>
    <t>MAT-0170</t>
  </si>
  <si>
    <t>Sika Anchofix-2 300ml</t>
  </si>
  <si>
    <t>MAT-0171</t>
  </si>
  <si>
    <t>Sika Anchofix2 300ml</t>
  </si>
  <si>
    <t>MAT-0172</t>
  </si>
  <si>
    <t>Sika Premium 32</t>
  </si>
  <si>
    <t>MAT-0173</t>
  </si>
  <si>
    <t>MAT-0174</t>
  </si>
  <si>
    <t>MAT-0175</t>
  </si>
  <si>
    <t>MAT-0176</t>
  </si>
  <si>
    <t>Sikaflex 221 Cartucho 300ml</t>
  </si>
  <si>
    <t>MAT-0177</t>
  </si>
  <si>
    <t>Spray Rojo</t>
  </si>
  <si>
    <t>MAT-0178</t>
  </si>
  <si>
    <t>MAT-0179</t>
  </si>
  <si>
    <t>MAT-0180</t>
  </si>
  <si>
    <t>Tablón Rustico</t>
  </si>
  <si>
    <t>MAT-0181</t>
  </si>
  <si>
    <t>Taipe 3m 3/4 x2 Negro</t>
  </si>
  <si>
    <t>Criterio pendiente — desv 106%</t>
  </si>
  <si>
    <t>MAT-0182</t>
  </si>
  <si>
    <t>MAT-0183</t>
  </si>
  <si>
    <t>MAT-0184</t>
  </si>
  <si>
    <t>Criterio pendiente — desv 133%</t>
  </si>
  <si>
    <t>MAT-0185</t>
  </si>
  <si>
    <t>Revisar — desv 7593%</t>
  </si>
  <si>
    <t>MAT-0186</t>
  </si>
  <si>
    <t>MAT-0187</t>
  </si>
  <si>
    <t>MAT-0188</t>
  </si>
  <si>
    <t>Thinner Laca</t>
  </si>
  <si>
    <t>MAT-0189</t>
  </si>
  <si>
    <t>Tiras de 3x3</t>
  </si>
  <si>
    <t>MAT-0190</t>
  </si>
  <si>
    <t>Tiza Industrial</t>
  </si>
  <si>
    <t>MAT-0191</t>
  </si>
  <si>
    <t>Toma sobreponer cooper 125v</t>
  </si>
  <si>
    <t>MAT-0192</t>
  </si>
  <si>
    <t>Trapeador</t>
  </si>
  <si>
    <t>MAT-0193</t>
  </si>
  <si>
    <t>Triplex 18mm Lamina 1.22x2.44C</t>
  </si>
  <si>
    <t>MAT-0194</t>
  </si>
  <si>
    <t>MAT-0195</t>
  </si>
  <si>
    <t>Tubo PVC desague 75mm x 3mts (Tubo PVC desague 75mm x 3mts Rival )</t>
  </si>
  <si>
    <t>MAT-0196</t>
  </si>
  <si>
    <t>Uniones de Manguera</t>
  </si>
  <si>
    <t>MAT-0197</t>
  </si>
  <si>
    <t>Varilla Hierro D=08mmx12m</t>
  </si>
  <si>
    <t>MAT-0198</t>
  </si>
  <si>
    <t>Varilla Hierro D=10mmx12m</t>
  </si>
  <si>
    <t>MAT-0199</t>
  </si>
  <si>
    <t>MAT-0200</t>
  </si>
  <si>
    <t>Varilla Hierro D=12mmx12m</t>
  </si>
  <si>
    <t>MAT-0201</t>
  </si>
  <si>
    <t>MAT-0202</t>
  </si>
  <si>
    <t>MAT-0203</t>
  </si>
  <si>
    <t>Varilla Hierro D=14mmx12m</t>
  </si>
  <si>
    <t>MAT-0204</t>
  </si>
  <si>
    <t>MAT-0205</t>
  </si>
  <si>
    <t>Varilla Hierro D=18mmx12m</t>
  </si>
  <si>
    <t>MAT-0206</t>
  </si>
  <si>
    <t>Varilla Hierro D=8mmx12m</t>
  </si>
  <si>
    <t>MAT-0207</t>
  </si>
  <si>
    <t>MAT-0208</t>
  </si>
  <si>
    <t>Zapapico Herrago 5 lbs</t>
  </si>
  <si>
    <t>MAT-0209</t>
  </si>
  <si>
    <t>Zinc 2.40mts x 0.80 cm Cal.0.20</t>
  </si>
  <si>
    <t>MAT-0210</t>
  </si>
  <si>
    <t>Zinc 3.60mts x 0.8mts Cal.0.20</t>
  </si>
  <si>
    <t>BASE DE DATOS — MANO DE OBRA</t>
  </si>
  <si>
    <t>MO-0001</t>
  </si>
  <si>
    <t>MO-0002</t>
  </si>
  <si>
    <t>MO-0003</t>
  </si>
  <si>
    <t>MO-0004</t>
  </si>
  <si>
    <t>MO-0005</t>
  </si>
  <si>
    <t>MO-0006</t>
  </si>
  <si>
    <t>MO-0007</t>
  </si>
  <si>
    <t>MO-0008</t>
  </si>
  <si>
    <t>MO-0009</t>
  </si>
  <si>
    <t>MO-0010</t>
  </si>
  <si>
    <t>MO-0011</t>
  </si>
  <si>
    <t>MO-0012</t>
  </si>
  <si>
    <t>MO-0013</t>
  </si>
  <si>
    <t>MO-0014</t>
  </si>
  <si>
    <t>MO-0015</t>
  </si>
  <si>
    <t>M. Contrapiso De Hormigón Planta Baja F'c=210 Kg/Cm²</t>
  </si>
  <si>
    <t>MO-0016</t>
  </si>
  <si>
    <t>MO-0017</t>
  </si>
  <si>
    <t>MO-0018</t>
  </si>
  <si>
    <t>MO-0019</t>
  </si>
  <si>
    <t>MO-0020</t>
  </si>
  <si>
    <t>M. Encofrado y Desencofrado Columnas Circulares</t>
  </si>
  <si>
    <t>MO-0021</t>
  </si>
  <si>
    <t>M. Encofrado y Desencofrado Columnas Rectangulares</t>
  </si>
  <si>
    <t>MO-0022</t>
  </si>
  <si>
    <t>M. Encofrado y Desencofrado Dintel Descolgado Perimetral</t>
  </si>
  <si>
    <t>MO-0023</t>
  </si>
  <si>
    <t>M. Encofrado y Desencofrado Losa Perimetral</t>
  </si>
  <si>
    <t>MO-0024</t>
  </si>
  <si>
    <t>M. Encofrado y Desencofrado Muros</t>
  </si>
  <si>
    <t>MO-0025</t>
  </si>
  <si>
    <t>M. Encofrado y Desencofrado de Losa</t>
  </si>
  <si>
    <t>MO-0026</t>
  </si>
  <si>
    <t>M. Encofrado y Desencofrado de Vigas</t>
  </si>
  <si>
    <t>MO-0027</t>
  </si>
  <si>
    <t>MO-0028</t>
  </si>
  <si>
    <t>MO-0029</t>
  </si>
  <si>
    <t>MO-0030</t>
  </si>
  <si>
    <t>MO-0031</t>
  </si>
  <si>
    <t>MO-0032</t>
  </si>
  <si>
    <t>MO-0033</t>
  </si>
  <si>
    <t>MO-0034</t>
  </si>
  <si>
    <t>MO-0035</t>
  </si>
  <si>
    <t>MO-0036</t>
  </si>
  <si>
    <t>MO-0037</t>
  </si>
  <si>
    <t>MO-0038</t>
  </si>
  <si>
    <t>MO-0039</t>
  </si>
  <si>
    <t>MO-0040</t>
  </si>
  <si>
    <t>MO-0041</t>
  </si>
  <si>
    <t>MO-0042</t>
  </si>
  <si>
    <t>MO-0043</t>
  </si>
  <si>
    <t>MO-0044</t>
  </si>
  <si>
    <t>MO-0045</t>
  </si>
  <si>
    <t>MO-0046</t>
  </si>
  <si>
    <t>MO-0047</t>
  </si>
  <si>
    <t>MO-0048</t>
  </si>
  <si>
    <t>MO-0049</t>
  </si>
  <si>
    <t>MO-0050</t>
  </si>
  <si>
    <t>M. Hormigón En Muros F'c=210kg/Cm²</t>
  </si>
  <si>
    <t>MO-0051</t>
  </si>
  <si>
    <t>MO-0052</t>
  </si>
  <si>
    <t>MO-0053</t>
  </si>
  <si>
    <t>MO-0054</t>
  </si>
  <si>
    <t>MO-0055</t>
  </si>
  <si>
    <t>M. Hormigón Premezclado En Vigas F'c=210kg/Cm²</t>
  </si>
  <si>
    <t>MO-0056</t>
  </si>
  <si>
    <t>MO-0057</t>
  </si>
  <si>
    <t>MO-0058</t>
  </si>
  <si>
    <t>MO-0059</t>
  </si>
  <si>
    <t>MO-0060</t>
  </si>
  <si>
    <t>MO-0061</t>
  </si>
  <si>
    <t>Criterio pendiente — desv 407%</t>
  </si>
  <si>
    <t>MO-0062</t>
  </si>
  <si>
    <t>MO-0063</t>
  </si>
  <si>
    <t>MO-0064</t>
  </si>
  <si>
    <t>MO-0065</t>
  </si>
  <si>
    <t>MO-0066</t>
  </si>
  <si>
    <t>M. Mampostería De Bloque E=15 Cm</t>
  </si>
  <si>
    <t>MO-0067</t>
  </si>
  <si>
    <t>MO-0068</t>
  </si>
  <si>
    <t>MO-0069</t>
  </si>
  <si>
    <t>M. Masillado De Piso A Máquina</t>
  </si>
  <si>
    <t>MO-0070</t>
  </si>
  <si>
    <t>MO-0071</t>
  </si>
  <si>
    <t>MO-0072</t>
  </si>
  <si>
    <t>M. Picado Y Corchado</t>
  </si>
  <si>
    <t>MO-0073</t>
  </si>
  <si>
    <t>MO-0074</t>
  </si>
  <si>
    <t>MO-0075</t>
  </si>
  <si>
    <t>MO-0076</t>
  </si>
  <si>
    <t>M. Rasanteo y conformación de jardines</t>
  </si>
  <si>
    <t>MO-0077</t>
  </si>
  <si>
    <t>M. Rejilla con trampa para ducha</t>
  </si>
  <si>
    <t>MO-0078</t>
  </si>
  <si>
    <t>M. Rejilla metálica de 2"</t>
  </si>
  <si>
    <t>MO-0079</t>
  </si>
  <si>
    <t>MO-0080</t>
  </si>
  <si>
    <t>MO-0081</t>
  </si>
  <si>
    <t>MO-0082</t>
  </si>
  <si>
    <t>MO-0083</t>
  </si>
  <si>
    <t>MO-0084</t>
  </si>
  <si>
    <t>MO-0085</t>
  </si>
  <si>
    <t>MO-0086</t>
  </si>
  <si>
    <t>MO-0087</t>
  </si>
  <si>
    <t>MO-0088</t>
  </si>
  <si>
    <t>MO-0089</t>
  </si>
  <si>
    <t>MO-0090</t>
  </si>
  <si>
    <t>MO-0091</t>
  </si>
  <si>
    <t>MO-0092</t>
  </si>
  <si>
    <t>BASE DE DATOS — EQUIPO</t>
  </si>
  <si>
    <t>EQ-0001</t>
  </si>
  <si>
    <t>Alquiler Andamio</t>
  </si>
  <si>
    <t>EQ-0002</t>
  </si>
  <si>
    <t>Alquiler Generador</t>
  </si>
  <si>
    <t>EQ-0003</t>
  </si>
  <si>
    <t>Alquiler Puntales</t>
  </si>
  <si>
    <t>EQ-0004</t>
  </si>
  <si>
    <t>Alquiler Rodillo</t>
  </si>
  <si>
    <t>EQ-0005</t>
  </si>
  <si>
    <t>Alquiler Rotomartillo</t>
  </si>
  <si>
    <t>EQ-0006</t>
  </si>
  <si>
    <t>Alquiler andamio</t>
  </si>
  <si>
    <t>EQ-0007</t>
  </si>
  <si>
    <t>Alquiler compactador sapo</t>
  </si>
  <si>
    <t>EQ-0008</t>
  </si>
  <si>
    <t>EQ-0009</t>
  </si>
  <si>
    <t>EQ-0010</t>
  </si>
  <si>
    <t>Alquiler de Elevador a gasolina</t>
  </si>
  <si>
    <t>EQ-0011</t>
  </si>
  <si>
    <t>EQ-0012</t>
  </si>
  <si>
    <t>EQ-0013</t>
  </si>
  <si>
    <t>Alquiler de Tableros de madera</t>
  </si>
  <si>
    <t>EQ-0014</t>
  </si>
  <si>
    <t>Alquiler de Tablones</t>
  </si>
  <si>
    <t>EQ-0015</t>
  </si>
  <si>
    <t>Alquiler vibrador</t>
  </si>
  <si>
    <t>EQ-0016</t>
  </si>
  <si>
    <t>EQ-0017</t>
  </si>
  <si>
    <t>Bomba Estacionaria</t>
  </si>
  <si>
    <t>EQ-0018</t>
  </si>
  <si>
    <t>Casco</t>
  </si>
  <si>
    <t>Criterio pendiente — desv 131%</t>
  </si>
  <si>
    <t>EQ-0019</t>
  </si>
  <si>
    <t>Cinta amarilla Precaución 200MT</t>
  </si>
  <si>
    <t>EQ-0020</t>
  </si>
  <si>
    <t>Gafa Transparente Reforzada</t>
  </si>
  <si>
    <t>Criterio pendiente — desv 279%</t>
  </si>
  <si>
    <t>EQ-0021</t>
  </si>
  <si>
    <t>Guante de Cuero Operador</t>
  </si>
  <si>
    <t>EQ-0022</t>
  </si>
  <si>
    <t>Guantes de Caucho</t>
  </si>
  <si>
    <t>EQ-0023</t>
  </si>
  <si>
    <t>Horas Maquinas Mini Cargadora</t>
  </si>
  <si>
    <t>EQ-0024</t>
  </si>
  <si>
    <t>Horas Maquinas Retroexcavadora</t>
  </si>
  <si>
    <t>EQ-0025</t>
  </si>
  <si>
    <t>EQ-0026</t>
  </si>
  <si>
    <t>EQ-0027</t>
  </si>
  <si>
    <t>EQ-0028</t>
  </si>
  <si>
    <t>EQ-0029</t>
  </si>
  <si>
    <t>EQ-0030</t>
  </si>
  <si>
    <t>Revisar — desv 870%</t>
  </si>
  <si>
    <t>EQ-0031</t>
  </si>
  <si>
    <t>Mantenimiento Herramientas</t>
  </si>
  <si>
    <t>EQ-0032</t>
  </si>
  <si>
    <t>EQ-0033</t>
  </si>
  <si>
    <t>Servicio mínimo de Bombeo</t>
  </si>
  <si>
    <t>EQ-0034</t>
  </si>
  <si>
    <t>EQ-0035</t>
  </si>
  <si>
    <t>Transporte Adoquin</t>
  </si>
  <si>
    <t>EQ-0036</t>
  </si>
  <si>
    <t>EQ-0037</t>
  </si>
  <si>
    <t>Transporte de Montacargas</t>
  </si>
  <si>
    <t>EQ-0038</t>
  </si>
  <si>
    <t>BASE DE DATOS — RENDIMIENTOS (Cantidad de insumo por unidad de obra)</t>
  </si>
  <si>
    <t>Edite la columna G (RENDIMIENTO) — los APUs se recalculan automáticamente</t>
  </si>
  <si>
    <t>APU Código</t>
  </si>
  <si>
    <t>APU Descripción</t>
  </si>
  <si>
    <t>APU Unid.</t>
  </si>
  <si>
    <t>Unid.</t>
  </si>
  <si>
    <t>RENDIMIENTO</t>
  </si>
  <si>
    <t>MO</t>
  </si>
  <si>
    <t>MO principal (rend=1)</t>
  </si>
  <si>
    <t>EQ</t>
  </si>
  <si>
    <t>Rendimiento disperso</t>
  </si>
  <si>
    <t>MAT</t>
  </si>
  <si>
    <t>cobertura única</t>
  </si>
  <si>
    <t>Clave única</t>
  </si>
  <si>
    <t>01.01.01|M. Replanteo Topográfico Ejes Estructurales y movimiento tierras|Glb|mano_obra</t>
  </si>
  <si>
    <t>01.01.02|Alambre galvanizado N 14|rollo|materiales</t>
  </si>
  <si>
    <t>01.01.02|Broca Madera Titanio3/8"|Uni.|materiales</t>
  </si>
  <si>
    <t>01.01.02|Caoba Roja|lb|materiales</t>
  </si>
  <si>
    <t>01.01.02|Cementina|saco|materiales</t>
  </si>
  <si>
    <t>01.01.02|Clavos de acero 2''|Kg.|materiales</t>
  </si>
  <si>
    <t>01.01.02|Clavos de acero 21/2''|Kg.|materiales</t>
  </si>
  <si>
    <t>01.01.02|Clavos galvanizados 2''|Kg.|materiales</t>
  </si>
  <si>
    <t>01.01.02|Clavos galvanizados 2 1/2''|Kg.|materiales</t>
  </si>
  <si>
    <t>01.01.02|Clavos galvanizados 3"|Kg.|materiales</t>
  </si>
  <si>
    <t>01.01.02|Cuartón 6 x 4 de eucalipto|Uni.|materiales</t>
  </si>
  <si>
    <t>01.01.02|Manguera transparente|ml|materiales</t>
  </si>
  <si>
    <t>01.01.02|Pingos de 2.5 mts|Uni.|materiales</t>
  </si>
  <si>
    <t>01.01.02|Pingos de 3 mts|Uni.|materiales</t>
  </si>
  <si>
    <t>01.01.02|Riel de eucalipto|Uni.|materiales</t>
  </si>
  <si>
    <t>01.01.02|Spray Rojo|Uni.|materiales</t>
  </si>
  <si>
    <t>01.01.02|Tablas de Monte|Uni.|materiales</t>
  </si>
  <si>
    <t>01.01.02|M. Replanteo Y Nivelación|m2|mano_obra</t>
  </si>
  <si>
    <t>01.01.05|Alambre galvanizado N 14|rollo|materiales</t>
  </si>
  <si>
    <t>01.01.05|Aldaba Galvanizada 2''|Uni.|materiales</t>
  </si>
  <si>
    <t>01.01.05|Armellas (Par de Armellas)|Uni.|materiales</t>
  </si>
  <si>
    <t>01.01.05|Bisagra Negra 3"|Uni.|materiales</t>
  </si>
  <si>
    <t>01.01.05|Bloque alivianado 15x20x40|Uni.|materiales</t>
  </si>
  <si>
    <t>01.01.05|Candado Viro Fai Anticizalla 70|Uni.|materiales</t>
  </si>
  <si>
    <t>01.01.05|Cemento Campeón|saco|materiales</t>
  </si>
  <si>
    <t>01.01.05|Clavos de acero 2.1/2” (Clavos de acero 2.1/2” (1 kilo))|Kg.|materiales</t>
  </si>
  <si>
    <t>01.01.05|Clavos galvanizados 2''|Kg.|materiales</t>
  </si>
  <si>
    <t>01.01.05|Clavos galvanizados 2 1/2''|Kg.|materiales</t>
  </si>
  <si>
    <t>01.01.05|Clavos Zinc 2 1/2"x9 (Caja 20kg (Clavos Zinc 2 1/2"x9 (Caja 20kg))|Kg.|materiales</t>
  </si>
  <si>
    <t>01.01.05|Cuartón 6 x 4 de eucalipto|Uni.|materiales</t>
  </si>
  <si>
    <t>01.01.05|Disco diamante segmentado 9"|Uni.|materiales</t>
  </si>
  <si>
    <t>01.01.05|Inodoro Guachimania|Uni.|materiales</t>
  </si>
  <si>
    <t>01.01.05|Lavabo Guachimania|Uni.|materiales</t>
  </si>
  <si>
    <t>01.01.05|Pingos de 2.5 mts|Uni.|materiales</t>
  </si>
  <si>
    <t>01.01.05|Pingos de 3 mts.|Uni.|materiales</t>
  </si>
  <si>
    <t>01.01.05|Pingos de 4 mts.|Uni.|materiales</t>
  </si>
  <si>
    <t>01.01.05|Pingos de 6 mts.|Uni.|materiales</t>
  </si>
  <si>
    <t>01.01.05|Plastico Negro 1.5 mts (Plastico Negro 1.5 mts (2.20 mts x kg) (45 kilos))|rollo|materiales</t>
  </si>
  <si>
    <t>01.01.05|Riel de eucalipto|Uni.|materiales</t>
  </si>
  <si>
    <t>01.01.05|Tablas de Monte|Uni.|materiales</t>
  </si>
  <si>
    <t>01.01.05|Tablón Rustico|Uni.|materiales</t>
  </si>
  <si>
    <t>01.01.05|Tela Arpillera Verde 1.90m (Tela Arpillera Verde 1.90m (Rollo 100m))|rollo|materiales</t>
  </si>
  <si>
    <t>01.01.05|Zinc 2.40mts x 0.80 cm Cal.0.20|Uni.|materiales</t>
  </si>
  <si>
    <t>01.01.05|Zinc 3.60mts x 0.8mts Cal.0.20|Uni.|materiales</t>
  </si>
  <si>
    <t>01.01.05|M. Guachimanía de obra, baños, vestidores de obra y otros provisionales|Glb|mano_obra</t>
  </si>
  <si>
    <t>01.01.08|Cemento Campeon HS 50KG|qq|materiales</t>
  </si>
  <si>
    <t>01.01.08|Clavos galvanizados 2''|Kg.|materiales</t>
  </si>
  <si>
    <t>01.01.08|Clavos galvanizados 2 1/2''|Kg.|materiales</t>
  </si>
  <si>
    <t>01.01.08|Cuartón 6 x 4 de eucalipto|Uni.|materiales</t>
  </si>
  <si>
    <t>01.01.08|Pingos de 2.5 mts|Uni.|materiales</t>
  </si>
  <si>
    <t>01.01.08|Pingos de 3 mts.|Uni.|materiales</t>
  </si>
  <si>
    <t>01.01.08|Tela Arpillera Verde 1.90m (Tela Arpillera Verde 1.90m (Rollo 100m))|rollo|materiales</t>
  </si>
  <si>
    <t>01.01.08|Tela Verde UV 2.00 mts. (Tela Verde UV 2.00 mts)|mts.|materiales</t>
  </si>
  <si>
    <t>01.01.08|Tela Zaran Verde 2.10m (Tela Zaran Verde 2.10m (Rollo 100m))|ml|materiales</t>
  </si>
  <si>
    <t>01.01.08|Tiras de 3x3|Uni.|materiales</t>
  </si>
  <si>
    <t>01.01.08|M. Cerramiento provisional de zaram y pingos|ml|mano_obra</t>
  </si>
  <si>
    <t>01.01.09|M. Desmontaje de guachimanía de obra, baños, vestidores de obra y otros provisionales|Glb|mano_obra</t>
  </si>
  <si>
    <t>02.01.01|M. Excavación mecánica en banco para conformación de plataforma|m3|equipo</t>
  </si>
  <si>
    <t>02.01.02|M. Transporte desalojo de material a botadero|m3|equipo</t>
  </si>
  <si>
    <t>02.01.03|M. Relleno compactado|m3|mano_obra</t>
  </si>
  <si>
    <t>02.01.04|M. Desbroce de Capa Vegetal|m2|equipo</t>
  </si>
  <si>
    <t>02.01.05|M. Rasanteo Y Conformación Manual De Plataformas|m2|mano_obra</t>
  </si>
  <si>
    <t>02.01.05|Alquiler de Maquinaria (retroex (Alquiler de Maquinaria (retroexcavadora))|Hr,|equipo</t>
  </si>
  <si>
    <t>02.01.06|M. Transporte de material para relleno|m3|equipo</t>
  </si>
  <si>
    <t>02.01.07|M. Pruebas de compactación en plataformas|Glb|equipo</t>
  </si>
  <si>
    <t>02.02.01|M. Excavaciones Y Relleno Compactado Para Instalaciones Hidrosanitarias|ml|mano_obra</t>
  </si>
  <si>
    <t>02.02.02|M. Excavaciones Y Relleno Compactado Para Instalaciones Eléctricas|ml|mano_obra</t>
  </si>
  <si>
    <t>02.02.04|M. Excavaciones Para Plintos Y Cimientos ( Maquina Y Perfilado Manual)|m3|mano_obra</t>
  </si>
  <si>
    <t>02.02.04|Alquiler de Maquinaria (retroex (Alquiler de Maquinaria (retroexcavadora))|Hr.|equipo</t>
  </si>
  <si>
    <t>02.02.05|Gasolina Extra|gal|materiales</t>
  </si>
  <si>
    <t>02.02.05|M. Relleno Compactado Con Material Local (Plintos Y Cimientos)|m3|mano_obra</t>
  </si>
  <si>
    <t>02.02.05|Alquiler compactador sapo|día|equipo</t>
  </si>
  <si>
    <t>02.02.06|Clavos galvanizados 2 1/2"|Kg.|materiales</t>
  </si>
  <si>
    <t>02.02.06|Clavos galvanizados 2"|Kg.|materiales</t>
  </si>
  <si>
    <t>02.02.06|Plastico Negro 1.5 mts (Plastico Negro 1.5 mts (1.98mts x kg) (50.50 kilos))|rollo|materiales</t>
  </si>
  <si>
    <t>02.02.06|M. Perfilado de taludes Muros|m2|mano_obra</t>
  </si>
  <si>
    <t>02.02.06|Alquiler de Maquinaria (retroex (Alquiler de Maquinaria (retroexcavadora))|Hr.|equipo</t>
  </si>
  <si>
    <t>03.01.01|Disco de corte metal 9"|Uni.|materiales</t>
  </si>
  <si>
    <t>03.01.01|Malla Armex Elect.6mmx15x15R188 (Malla Armex Elect.6mmx15x15 R188)|Uni.|materiales</t>
  </si>
  <si>
    <t>03.01.01|Tiza Industrial|Uni.|materiales</t>
  </si>
  <si>
    <t>03.01.01|M. Malla De Refuerzo 6*15|m2|mano_obra</t>
  </si>
  <si>
    <t>03.01.01|Transporte de Montacargas|Uni.|equipo</t>
  </si>
  <si>
    <t>03.01.02|Varilla Hierro D=08mmx12m|Uni.|materiales</t>
  </si>
  <si>
    <t>03.01.02|M. Hierro 8 Mm X 12 M|Kg.|mano_obra</t>
  </si>
  <si>
    <t>03.01.03|Alambre recocido N18 (20kg) (Alambre recocido N18 (20kg))|Rr20Kg|materiales</t>
  </si>
  <si>
    <t>03.01.03|Disco de corte metal 9"|Uni.|materiales</t>
  </si>
  <si>
    <t>03.01.03|Sierra Sanflex Hoja|Uni.|materiales</t>
  </si>
  <si>
    <t>03.01.03|Tiza Industrial|Uni.|materiales</t>
  </si>
  <si>
    <t>03.01.03|Varilla Hierro D=10mmx12m|Uni.|materiales</t>
  </si>
  <si>
    <t>03.01.03|M. Hierro 10 Mm X 12 M|Kg.|mano_obra</t>
  </si>
  <si>
    <t>03.01.03|Alquiler Andamio|Uni.|equipo</t>
  </si>
  <si>
    <t>03.01.03|Alquiler de Tablones|Uni.|equipo</t>
  </si>
  <si>
    <t>03.01.04|Alambre recocido N18 (20kg) (Alambre recocido N18 (20kg))|Rr20Kg|materiales</t>
  </si>
  <si>
    <t>03.01.04|Disco de corte metal 9"|Uni.|materiales</t>
  </si>
  <si>
    <t>03.01.04|Sierra Sanflex Hoja|Uni.|materiales</t>
  </si>
  <si>
    <t>03.01.04|Tiza Industrial|Uni.|materiales</t>
  </si>
  <si>
    <t>03.01.04|Varilla Hierro D=12mmx12m|Uni.|materiales</t>
  </si>
  <si>
    <t>03.01.04|M. Hierro 12 Mm X 12 M|Kg.|mano_obra</t>
  </si>
  <si>
    <t>03.01.04|Alquiler Andamio|Uni.|equipo</t>
  </si>
  <si>
    <t>03.01.04|Alquiler de Tablones|Uni.|equipo</t>
  </si>
  <si>
    <t>03.01.05|Alambre recocido N18 (20kg) (Alambre recocido N18 (20kg))|Rr20Kg|materiales</t>
  </si>
  <si>
    <t>03.01.05|Disco de corte metal 9"|Uni.|materiales</t>
  </si>
  <si>
    <t>03.01.05|Sierra Sanflex Hoja|Uni.|materiales</t>
  </si>
  <si>
    <t>03.01.05|Tiza Industrial|Uni.|materiales</t>
  </si>
  <si>
    <t>03.01.05|Varilla Hierro D=14mmx12m (Varilla Hierro D=12mmx12m)|Uni.|materiales</t>
  </si>
  <si>
    <t>03.01.05|M. Hierro 14 Mm X 12 M|Kg.|mano_obra</t>
  </si>
  <si>
    <t>03.01.06|Alambre galvanizado Nº 14|R-Alambre|materiales</t>
  </si>
  <si>
    <t>03.01.06|Alambre recocido N18 (20kg) (Alambre recocido N18 (20kg))|Rr20Kg|materiales</t>
  </si>
  <si>
    <t>03.01.06|Disco de corte metal 9"|Uni.|materiales</t>
  </si>
  <si>
    <t>03.01.06|Sierra Sanflex Hoja|Uni.|materiales</t>
  </si>
  <si>
    <t>03.01.06|Tiza Industrial|Uni.|materiales</t>
  </si>
  <si>
    <t>03.01.06|Varilla Hierro D=16mmx12m (Varilla Hierro D=12mmx12m)|Uni.|materiales</t>
  </si>
  <si>
    <t>03.01.06|M. Hierro 16 Mm X 12 M|Kg.|mano_obra</t>
  </si>
  <si>
    <t>03.01.07|Varilla Hierro D=18mmx12m|Uni.|materiales</t>
  </si>
  <si>
    <t>03.01.07|M. Hierro 18 Mm X 12 M|Kg.|mano_obra</t>
  </si>
  <si>
    <t>03.02.01|Clavos galvanizados 2 1/2"|Kg.|materiales</t>
  </si>
  <si>
    <t>03.02.01|Clavos galvanizados 2"|Kg.|materiales</t>
  </si>
  <si>
    <t>03.02.01|Clavos galvanizados 3"|Kg.|materiales</t>
  </si>
  <si>
    <t>03.02.01|Plastico Negro 1.5 mts (Plastico Negro 1.5 mts (2.20 mts x kg) (45 kilos))|rollo|materiales</t>
  </si>
  <si>
    <t>03.02.01|Plástico Negro 2 mts (Plástico Negro 2 mts (1.70 mts x kg) (50.50 kilos))|rollo|materiales</t>
  </si>
  <si>
    <t>03.02.01|M. Plástico Polietileno 2 Capas|m2|mano_obra</t>
  </si>
  <si>
    <t>03.02.02|Cemento Campeón|qq|materiales</t>
  </si>
  <si>
    <t>03.02.02|Clavos de acero 2.1/2” (Clavos de acero 2.1/2” (1 kilo))|Kg.|materiales</t>
  </si>
  <si>
    <t>03.02.02|Clavos galvanizados 2''|Kg.|materiales</t>
  </si>
  <si>
    <t>03.02.02|Clavos galvanizados 2 1/2''|Kg.|materiales</t>
  </si>
  <si>
    <t>03.02.02|Cuartón 6 x 4 de eucalipto|Uni.|materiales</t>
  </si>
  <si>
    <t>03.02.02|Disco Corte Madera 7|Uni.|materiales</t>
  </si>
  <si>
    <t>03.02.02|Gasolina - Extra|gal|materiales</t>
  </si>
  <si>
    <t>03.02.02|Hormigón Premez. fc= 210 kg S/B (Hormigón Premezclado fc= 210 kg/cm2)|m3|materiales</t>
  </si>
  <si>
    <t>03.02.02|Lastre|m3|materiales</t>
  </si>
  <si>
    <t>03.02.02|Pingos de 2.5 mts|Uni.|materiales</t>
  </si>
  <si>
    <t>03.02.02|Pingos de 3 mts.|Uni.|materiales</t>
  </si>
  <si>
    <t>03.02.02|Polvo Azul|m3|materiales</t>
  </si>
  <si>
    <t>03.02.02|Riel de eucalipto|Uni.|materiales</t>
  </si>
  <si>
    <t>03.02.02|Ripio|m3|materiales</t>
  </si>
  <si>
    <t>03.02.02|Sikadur 32 Primer (2.5kl) (Sikadur 32 Primer (2.5kl))|Uni.|materiales</t>
  </si>
  <si>
    <t>03.02.02|Tablas de Monte|Uni.|materiales</t>
  </si>
  <si>
    <t>03.02.02|M. Contrapiso De Hormigón Planta Baja F'c=210 Kg/Cm²|m2|mano_obra</t>
  </si>
  <si>
    <t>03.02.02|Alquiler compactador sapo|Uni.|equipo</t>
  </si>
  <si>
    <t>03.02.02|Alquiler Rodillo|Dia|equipo</t>
  </si>
  <si>
    <t>03.02.02|Alquiler Rotomartillo|Uni.|equipo</t>
  </si>
  <si>
    <t>03.02.02|Alquiler vibrador|Uni.|equipo</t>
  </si>
  <si>
    <t>03.02.02|Bomba Estacionaria|m3|equipo</t>
  </si>
  <si>
    <t>03.02.02|Horas Maquinas Mini Cargadora|Hr.|equipo</t>
  </si>
  <si>
    <t>03.02.02|Horas Maquinas Retroexcavadora|Hr.|equipo</t>
  </si>
  <si>
    <t>03.02.03|Plancha espumaflex 5cm|Uni.|materiales</t>
  </si>
  <si>
    <t>03.02.03|M. Juntas de dilatación en contrapiso|m|mano_obra</t>
  </si>
  <si>
    <t>03.03.01|Cemento Campeón|saco|materiales</t>
  </si>
  <si>
    <t>03.03.01|Polvo Azul|m3|materiales</t>
  </si>
  <si>
    <t>03.03.01|Ripio|m3|materiales</t>
  </si>
  <si>
    <t>03.03.01|M. Hormigón En Replantillo F'c=180kg/Cm²|m3|mano_obra</t>
  </si>
  <si>
    <t>03.03.02|Hormigón Premez. fc= 210 kg S/B (Hormigón Premezclado fc= 210 kg/cm2)|m3|materiales</t>
  </si>
  <si>
    <t>03.03.02|M. Hormigón En Plintos F'c=210kg/Cm²|m3|mano_obra</t>
  </si>
  <si>
    <t>03.03.02|Alquiler vibrador|Uni.|equipo</t>
  </si>
  <si>
    <t>03.03.02|Bomba Estacionaria|m3|equipo</t>
  </si>
  <si>
    <t>03.03.03|Cemento Campeon HS 50KG|qq|materiales</t>
  </si>
  <si>
    <t>03.03.03|Hormigón Premez. fc= 210 kg S/B (Hormigón Premezclado fc= 210 kg/cm2)|m3|materiales</t>
  </si>
  <si>
    <t>03.03.03|Polvo Azul|m3|materiales</t>
  </si>
  <si>
    <t>03.03.03|M. Hormigón En Cadenas F'c=210kg/Cm²|m3|mano_obra</t>
  </si>
  <si>
    <t>03.03.03|Bomba Estacionaria|m3|equipo</t>
  </si>
  <si>
    <t>03.03.04|Broca Concreto 1/2" 12mm|Uni.|materiales</t>
  </si>
  <si>
    <t>03.03.04|Cemento Campeón|qq|materiales</t>
  </si>
  <si>
    <t>03.03.04|Disco diamante segmentado 9"|Uni.|materiales</t>
  </si>
  <si>
    <t>03.03.04|Hormigón Premez. fc= 210 kg S/B (Hormigón Premezclado fc= 210 kg/cm2)|m3|materiales</t>
  </si>
  <si>
    <t>03.03.04|Polvo Azul|m3|materiales</t>
  </si>
  <si>
    <t>03.03.04|Recargo Mínimo Concreto|m3|materiales</t>
  </si>
  <si>
    <t>03.03.04|M. Hormigón En Muros F'c=210kg/Cm²|m3|mano_obra</t>
  </si>
  <si>
    <t>03.03.04|Alquiler vibrador|Uni.|equipo</t>
  </si>
  <si>
    <t>03.03.04|Bomba Estacionaria|m3|equipo</t>
  </si>
  <si>
    <t>03.03.04|Servicio mínimo de Bombeo|m3|equipo</t>
  </si>
  <si>
    <t>03.03.05|Cemento Campeon HS 50KG|qq|materiales</t>
  </si>
  <si>
    <t>03.03.05|Hormigón Premez. fc= 210 kg S/B (Hormigón Premezclado fc= 210 kg/cm2)|m3|materiales</t>
  </si>
  <si>
    <t>03.03.05|Polvo Azul|m3|materiales</t>
  </si>
  <si>
    <t>03.03.05|Recargo Mínimo Concreto|m3|materiales</t>
  </si>
  <si>
    <t>03.03.05|Ripio|m3|materiales</t>
  </si>
  <si>
    <t>03.03.05|M. Hormigón Premezclado En Columnas F'c=210kg/Cm² CABEZALES|m3|mano_obra</t>
  </si>
  <si>
    <t>03.03.05|Alquiler vibrador|Uni.|equipo</t>
  </si>
  <si>
    <t>03.03.05|Bomba Estacionaria|m3|equipo</t>
  </si>
  <si>
    <t>03.03.05|Servicio mínimo de Bombeo|m3|equipo</t>
  </si>
  <si>
    <t>03.03.06|Broca Concreto 1/2" 13mm|Uni.|materiales</t>
  </si>
  <si>
    <t>03.03.06|Cemento Campeón|qq|materiales</t>
  </si>
  <si>
    <t>03.03.06|Hormigón Premez. fc= 210 kg S/B (Hormigón Premezclado fc= 210 kg/cm2)|m3|materiales</t>
  </si>
  <si>
    <t>03.03.06|Polvo Azul|m3|materiales</t>
  </si>
  <si>
    <t>03.03.06|Recargo Mínimo Concreto|m3|materiales</t>
  </si>
  <si>
    <t>03.03.06|Ripio|m3|materiales</t>
  </si>
  <si>
    <t>03.03.06|M. Hormigón Premezclado En Columnas F'c=210kg/Cm² COLUMNAS|m3|mano_obra</t>
  </si>
  <si>
    <t>03.03.06|Alquiler Andamio|Uni.|equipo</t>
  </si>
  <si>
    <t>03.03.06|Alquiler de Tablones|Uni.|equipo</t>
  </si>
  <si>
    <t>03.03.06|Alquiler vibrador|Uni.|equipo</t>
  </si>
  <si>
    <t>03.03.06|Bomba Estacionaria|m3|equipo</t>
  </si>
  <si>
    <t>03.03.07|Broca Concreto 1/2X30cm|Uni.|materiales</t>
  </si>
  <si>
    <t>03.03.07|Broca Concreto 5/8X12cm|Uni.|materiales</t>
  </si>
  <si>
    <t>03.03.07|Cemento Campeón|qq|materiales</t>
  </si>
  <si>
    <t>03.03.07|Disco diamante segmentado 9"|Uni.|materiales</t>
  </si>
  <si>
    <t>03.03.07|Hormigón Premez. fc= 210 kg S/B (Hormigón Premezclado fc= 210 kg/cm2)|m3|materiales</t>
  </si>
  <si>
    <t>03.03.07|Maxicril|Uni.|materiales</t>
  </si>
  <si>
    <t>03.03.07|Plancha espumaflex 5cm|Uni.|materiales</t>
  </si>
  <si>
    <t>03.03.07|Polvo Azul|m3|materiales</t>
  </si>
  <si>
    <t>03.03.07|Ripio|m3|materiales</t>
  </si>
  <si>
    <t>03.03.07|Sika Anchofix2 300ml|Uni.|materiales</t>
  </si>
  <si>
    <t>03.03.07|Sika Premium 32|Uni.|materiales</t>
  </si>
  <si>
    <t>03.03.07|M. Hormigón Premezclado En Vigas F'c=210kg/Cm²|m3|mano_obra</t>
  </si>
  <si>
    <t>03.03.07|Alquiler Andamio|Uni.|equipo</t>
  </si>
  <si>
    <t>03.03.07|Alquiler de Tableros de madera|Uni.|equipo</t>
  </si>
  <si>
    <t>03.03.07|Bomba Estacionaria|m3|equipo</t>
  </si>
  <si>
    <t>03.03.07|Servicio mínimo de Bombeo|m3|equipo</t>
  </si>
  <si>
    <t>03.03.08|Broca Concreto 1/2X12cm|Uni.|materiales</t>
  </si>
  <si>
    <t>03.03.08|Cemento Campeón|qq|materiales</t>
  </si>
  <si>
    <t>03.03.08|Disco de corte metal 9"|Uni.|materiales</t>
  </si>
  <si>
    <t>03.03.08|Hormigón Premez. fc= 210 kg S/B (Hormigón Premezclado fc= 210 kg/cm2)|m3|materiales</t>
  </si>
  <si>
    <t>03.03.08|Tiza Industrial|Uni.|materiales</t>
  </si>
  <si>
    <t>03.03.08|Polvo Azul|m3|materiales</t>
  </si>
  <si>
    <t>03.03.08|Ripio|m3|materiales</t>
  </si>
  <si>
    <t>03.03.08|M. Hormigón En Losa De Entrepiso F'c=210kg/Cm²|m3|mano_obra</t>
  </si>
  <si>
    <t>03.03.08|Alquiler Rotomartillo|Uni.|equipo</t>
  </si>
  <si>
    <t>03.03.08|Alquiler vibrador|Uni.|equipo</t>
  </si>
  <si>
    <t>03.03.08|Bomba Estacionaria|m3|equipo</t>
  </si>
  <si>
    <t>03.03.09|Cemento Campeón|qq|materiales</t>
  </si>
  <si>
    <t>03.03.09|Chapisco 25 kg|Uni.|materiales</t>
  </si>
  <si>
    <t>03.03.09|Clavos de acero 1” (1/2 kilo) (Clavos de acero 1” (1/2 kilo))|Kg.|materiales</t>
  </si>
  <si>
    <t>03.03.09|Hormigón Premez. fc= 210 kg S/B (Hormigón Premezclado fc= 210 kg/cm2)|m3|materiales</t>
  </si>
  <si>
    <t>03.03.09|Malla para tumbado (rollo) (Malla para tumbado (rollo))|rollo|materiales</t>
  </si>
  <si>
    <t>03.03.09|Maxicril Caneca|Uni.|materiales</t>
  </si>
  <si>
    <t>03.03.09|Maxicril Galon|Uni.|materiales</t>
  </si>
  <si>
    <t>03.03.09|Plastico Negro 1.5 mts (Plastico Negro 1.5 mts (2.20 mts x kg) (45 kilos))|rollo|materiales</t>
  </si>
  <si>
    <t>03.03.09|Polvo Azul|m3|materiales</t>
  </si>
  <si>
    <t>03.03.09|M. Hormigón En Cubierta Plana F'c=210kg/Cm²|m3|mano_obra</t>
  </si>
  <si>
    <t>03.03.09|Alquiler Rotomartillo|Uni.|equipo</t>
  </si>
  <si>
    <t>03.03.09|Alquiler vibrador|Uni.|equipo</t>
  </si>
  <si>
    <t>03.03.09|Bomba Estacionaria|m3|equipo</t>
  </si>
  <si>
    <t>03.03.11|Broca Concreto 1/2X30cm|Uni.|materiales</t>
  </si>
  <si>
    <t>03.03.11|Cemento Campeón|qq|materiales</t>
  </si>
  <si>
    <t>03.03.11|Polvo Rosado|m3|materiales</t>
  </si>
  <si>
    <t>03.03.11|Ripio|m3|materiales</t>
  </si>
  <si>
    <t>03.03.11|Sika Anchofix-2 300ml|Uni.|materiales</t>
  </si>
  <si>
    <t>03.03.11|M. Hormigón en dintel descolgado perimetral|ml|mano_obra</t>
  </si>
  <si>
    <t>03.03.11|Alquiler Andamio|Uni.|equipo</t>
  </si>
  <si>
    <t>03.03.11|Alquiler de Tablones|Uni.|equipo</t>
  </si>
  <si>
    <t>03.03.15|M. Pruebas De Laboratorio|Glb|equipo</t>
  </si>
  <si>
    <t>03.03.21|Cemento Campeón|qq|materiales</t>
  </si>
  <si>
    <t>03.03.21|Polvo Azul|m3|materiales</t>
  </si>
  <si>
    <t>03.03.21|Ripio|m3|materiales</t>
  </si>
  <si>
    <t>03.03.21|M. Hormigón en detalle tipo Vigueta|m3|mano_obra</t>
  </si>
  <si>
    <t>03.03.22|M. Hormigón de nivelación de placas metálicas|m3|mano_obra</t>
  </si>
  <si>
    <t>04.01.01|M. Encofrado y Desencofrado Columnas Rectangulares|m2|mano_obra</t>
  </si>
  <si>
    <t>04.01.01.01|M. Encofrado y Desencofrado Columnas Circulares|m2|mano_obra</t>
  </si>
  <si>
    <t>04.01.02|M. Encofrado y Desencofrado de Vigas|m2|mano_obra</t>
  </si>
  <si>
    <t>04.01.02|Alquiler andamio|Uni.|equipo</t>
  </si>
  <si>
    <t>04.01.02|Alquiler de Tablones|Uni.|equipo</t>
  </si>
  <si>
    <t>04.01.03|M. Encofrado y Desencofrado de Losa|m2|mano_obra</t>
  </si>
  <si>
    <t>04.01.05|M. Encofrado y Desencofrado Losa Perimetral|ml|mano_obra</t>
  </si>
  <si>
    <t>04.01.06|M. Encofrado y Desencofrado Muros|m2|mano_obra</t>
  </si>
  <si>
    <t>04.01.07|M. Apuntalamiento de losa deck metálico|m2|mano_obra</t>
  </si>
  <si>
    <t>04.01.08|Alambre galvanizado Nº 14|rollo|materiales</t>
  </si>
  <si>
    <t>04.01.08|Clavos de acero 2''|Kg.|materiales</t>
  </si>
  <si>
    <t>04.01.08|Clavos de acero 21/2''|Kg.|materiales</t>
  </si>
  <si>
    <t>04.01.08|Clavos galvanizados 2''|Kg.|materiales</t>
  </si>
  <si>
    <t>04.01.08|Clavos galvanizados 2 1/2''|Kg.|materiales</t>
  </si>
  <si>
    <t>04.01.08|Tablas de Monte|Uni.|materiales</t>
  </si>
  <si>
    <t>04.01.08|M. Encofrado y Desencofrado Dintel Descolgado Perimetral|ml|mano_obra</t>
  </si>
  <si>
    <t>04.01.08|Alquiler andamio|Uni.|equipo</t>
  </si>
  <si>
    <t>04.01.08|Alquiler de Tablones|Uni.|equipo</t>
  </si>
  <si>
    <t>05.01.01|Arena Rosada|m3|materiales</t>
  </si>
  <si>
    <t>05.01.01|Bloque alivianado 20x40x20|Uni.|materiales</t>
  </si>
  <si>
    <t>05.01.01|Caoba Roja|lb|materiales</t>
  </si>
  <si>
    <t>05.01.01|Cemento Campeon|saco|materiales</t>
  </si>
  <si>
    <t>05.01.01|Disco diamante segmentado 9"|Uni.|materiales</t>
  </si>
  <si>
    <t>05.01.01|Plancha espumaflex 2cm|Uni.|materiales</t>
  </si>
  <si>
    <t>05.01.01|Sika Anchofix-2 300ml|Uni.|materiales</t>
  </si>
  <si>
    <t>05.01.01|Varilla Hierro D=12mmx12m|Uni.|materiales</t>
  </si>
  <si>
    <t>05.01.01|M. Mampostería De Bloque E=20cm|m2|mano_obra</t>
  </si>
  <si>
    <t>05.01.01|Alquiler Andamio|Uni.|equipo</t>
  </si>
  <si>
    <t>05.01.01|Alquiler de Tablones|Uni.|equipo</t>
  </si>
  <si>
    <t>05.01.02|Arena Rosada|m3|materiales</t>
  </si>
  <si>
    <t>05.01.02|Bloque alivianado 15x20x40|Uni.|materiales</t>
  </si>
  <si>
    <t>05.01.02|Broca Concreto 1/2X30cm|Uni.|materiales</t>
  </si>
  <si>
    <t>05.01.02|Caoba Roja|lb|materiales</t>
  </si>
  <si>
    <t>05.01.02|Cemento Campeon|saco|materiales</t>
  </si>
  <si>
    <t>05.01.02|Disco diamante segmentado 9"|Uni.|materiales</t>
  </si>
  <si>
    <t>05.01.02|Plancha espumaflex 2cm|Uni.|materiales</t>
  </si>
  <si>
    <t>05.01.02|Sika Anchofix-2 300ml|Uni.|materiales</t>
  </si>
  <si>
    <t>05.01.02|Varilla Hierro D=10mmx12m|Uni.|materiales</t>
  </si>
  <si>
    <t>05.01.02|M. Mampostería De Bloque E=15 Cm|m2|mano_obra</t>
  </si>
  <si>
    <t>05.01.02|Alquiler Andamio|Uni.|equipo</t>
  </si>
  <si>
    <t>05.01.02|Alquiler de Tablones|Uni.|equipo</t>
  </si>
  <si>
    <t>05.01.03|Arena Rosada|m3|materiales</t>
  </si>
  <si>
    <t>05.01.03|Bloque alivianado 10x20x40|Uni.|materiales</t>
  </si>
  <si>
    <t>05.01.03|Caoba Roja|lb|materiales</t>
  </si>
  <si>
    <t>05.01.03|Cemento Campeon|qq|materiales</t>
  </si>
  <si>
    <t>05.01.03|Disco diamante segmentado 9"|Uni.|materiales</t>
  </si>
  <si>
    <t>05.01.03|Plancha espumaflex 2cm|Uni.|materiales</t>
  </si>
  <si>
    <t>05.01.03|Sika Anchofix-2 300ml|Uni.|materiales</t>
  </si>
  <si>
    <t>05.01.03|M. Mampostería De Bloque E=10 Cm|m2|mano_obra</t>
  </si>
  <si>
    <t>05.01.03|Alquiler Andamio|Uni.|equipo</t>
  </si>
  <si>
    <t>05.01.03|Alquiler de Tablones|Uni.|equipo</t>
  </si>
  <si>
    <t>05.01.05|Alambre galvanizado N 14|rollo|materiales</t>
  </si>
  <si>
    <t>05.01.05|Alambre recocido N.18 (20kg) (Alambre recocido N.18 (20kg))|rollo|materiales</t>
  </si>
  <si>
    <t>05.01.05|Arena Rosada|m3|materiales</t>
  </si>
  <si>
    <t>05.01.05|Broca Concreto 1/2X30cm|Uni.|materiales</t>
  </si>
  <si>
    <t>05.01.05|Broca Madera Titanio3/8"|Uni.|materiales</t>
  </si>
  <si>
    <t>05.01.05|Cemento Campeon|saco|materiales</t>
  </si>
  <si>
    <t>05.01.05|Clavo de acero blanco chino 1|Kg.|materiales</t>
  </si>
  <si>
    <t>05.01.05|Clavos de acero 2''|Kg.|materiales</t>
  </si>
  <si>
    <t>05.01.05|Clavos de acero 21/2''|Kg.|materiales</t>
  </si>
  <si>
    <t>05.01.05|Clavos galvanizados 2''|Kg.|materiales</t>
  </si>
  <si>
    <t>05.01.05|Clavos galvanizados 2 1/2''|Kg.|materiales</t>
  </si>
  <si>
    <t>05.01.05|Disco Corte Madera 7|Uni.|materiales</t>
  </si>
  <si>
    <t>05.01.05|Disco de corte metal 9"|Uni.|materiales</t>
  </si>
  <si>
    <t>05.01.05|Disco diamante segmentado 9"|Uni.|materiales</t>
  </si>
  <si>
    <t>05.01.05|Malla Armex Elect.6mmx15x15R188 (Malla Armex Elect.6mmx15x15 R188)|Uni.|materiales</t>
  </si>
  <si>
    <t>05.01.05|Malla para tumbado (rollo) (Malla para tumbado (rollo))|rollo|materiales</t>
  </si>
  <si>
    <t>05.01.05|Polvo Azul|m3|materiales</t>
  </si>
  <si>
    <t>05.01.05|Ripio|m3|materiales</t>
  </si>
  <si>
    <t>05.01.05|Sierra Sanflex Hoja|Uni.|materiales</t>
  </si>
  <si>
    <t>05.01.05|Sika Anchofix-2 300ml|Uni.|materiales</t>
  </si>
  <si>
    <t>05.01.05|Sikadur Primer 32|Uni.|materiales</t>
  </si>
  <si>
    <t>05.01.05|Tablas de Monte|Uni.|materiales</t>
  </si>
  <si>
    <t>05.01.05|Tiza Industrial|Uni.|materiales</t>
  </si>
  <si>
    <t>05.01.05|Varilla Hierro D=8mmx12m|V8|materiales</t>
  </si>
  <si>
    <t>05.01.05|Varilla Hierro D=10mmx12m|V10|materiales</t>
  </si>
  <si>
    <t>05.01.05|Viga Columna V1 (7.0 mm .10x10) (Viga Columna V1 (7.0 mm .10x10))|Uni.|materiales</t>
  </si>
  <si>
    <t>05.01.05|M. Dinteles De Hormigón F'c = 180 Kg/Cm2|m|mano_obra</t>
  </si>
  <si>
    <t>05.01.05|Alquiler Andamio|Uni.|equipo</t>
  </si>
  <si>
    <t>05.01.05|Alquiler de Tablones|Uni.|equipo</t>
  </si>
  <si>
    <t>05.01.05|Alquiler Puntales|Uni.|equipo</t>
  </si>
  <si>
    <t>05.01.06|Alambre galvanizado N 14|rollo|materiales</t>
  </si>
  <si>
    <t>05.01.06|Bondex Plus 25kg|Uni.|materiales</t>
  </si>
  <si>
    <t>05.01.06|Broca Concreto 1/2" 13mm|Uni.|materiales</t>
  </si>
  <si>
    <t>05.01.06|Cemento Campeon|qq|materiales</t>
  </si>
  <si>
    <t>05.01.06|Cepillo de acero 5f cromado|Uni.|materiales</t>
  </si>
  <si>
    <t>05.01.06|Chapisco 25 kg|Uni.|materiales</t>
  </si>
  <si>
    <t>05.01.06|Clavo de acero blanco chino 1|Kg.|materiales</t>
  </si>
  <si>
    <t>05.01.06|Clavos de acero 2''|Kg.|materiales</t>
  </si>
  <si>
    <t>05.01.06|Clavos galvanizados 2''|Kg.|materiales</t>
  </si>
  <si>
    <t>05.01.06|Clavos galvanizados 2 1/2''|Kg.|materiales</t>
  </si>
  <si>
    <t>05.01.06|Cuarton 6 x 4 de eucalipto|Uni.|materiales</t>
  </si>
  <si>
    <t>05.01.06|Disco de corte de diamante 9"|Uni.|materiales</t>
  </si>
  <si>
    <t>05.01.06|Disco de corte metal 9"|Uni.|materiales</t>
  </si>
  <si>
    <t>05.01.06|Malla para tumbado (rollo) (Malla para tumbado (rollo))|Uni.|materiales</t>
  </si>
  <si>
    <t>05.01.06|Malla Tela fina x metros|mts.|materiales</t>
  </si>
  <si>
    <t>05.01.06|Maxilastic 3.8lt/4.33kg|Uni.|materiales</t>
  </si>
  <si>
    <t>05.01.06|Plancha espumaflex 2cm|Uni.|materiales</t>
  </si>
  <si>
    <t>05.01.06|Polvo Azul|m3|materiales</t>
  </si>
  <si>
    <t>05.01.06|Polvo Rosado|m3|materiales</t>
  </si>
  <si>
    <t>05.01.06|Ripio|m3|materiales</t>
  </si>
  <si>
    <t>05.01.06|Sierra Sanflex Hoja|Uni.|materiales</t>
  </si>
  <si>
    <t>05.01.06|Sika Anchofix-2 300ml|Uni.|materiales</t>
  </si>
  <si>
    <t>05.01.06|Sika Top 77 (4 kg) (Sika Top 77 (4 kg))|Uni.|materiales</t>
  </si>
  <si>
    <t>05.01.06|Tablas de Monte|Uni.|materiales</t>
  </si>
  <si>
    <t>05.01.06|Tiza Industrial|Uni.|materiales</t>
  </si>
  <si>
    <t>05.01.06|Varilla Hierro D=10mmx12m|V10|materiales</t>
  </si>
  <si>
    <t>05.01.06|Varilla Hierro D=12mmx12m|V12|materiales</t>
  </si>
  <si>
    <t>05.01.06|Viga Columna V1 (7.0 mm .10x10) (Viga Columna V1 (7.0 mm .10x10))|Uni.|materiales</t>
  </si>
  <si>
    <t>05.01.06|M. Arrostramiento Vertical de Mampostería|ml|mano_obra</t>
  </si>
  <si>
    <t>05.01.06|Alquiler Andamio|Uni.|equipo</t>
  </si>
  <si>
    <t>05.01.06|Alquiler de Tablones|Uni.|equipo</t>
  </si>
  <si>
    <t>05.01.07|Arena Rosada|m3|materiales</t>
  </si>
  <si>
    <t>05.01.07|Cemento Campeon|qq|materiales</t>
  </si>
  <si>
    <t>05.01.07|Clavo de acero blanco chino 1|Kg.|materiales</t>
  </si>
  <si>
    <t>05.01.07|Clavos de acero 21/2''|Kg.|materiales</t>
  </si>
  <si>
    <t>05.01.07|Clavos galvanizados 2''|Kg.|materiales</t>
  </si>
  <si>
    <t>05.01.07|Clavos galvanizados 2 1/2''|Kg.|materiales</t>
  </si>
  <si>
    <t>05.01.07|Disco Corte Madera 9" (Sierra) (Disco Corte Madera 9" (Sierra))|Uni.|materiales</t>
  </si>
  <si>
    <t>05.01.07|Disco diamante segmentado 9"|Uni.|materiales</t>
  </si>
  <si>
    <t>05.01.07|Maxikote Madera 4kg|Uni.|materiales</t>
  </si>
  <si>
    <t>05.01.07|Plastocrete dm 4kg Sika|Uni.|materiales</t>
  </si>
  <si>
    <t>05.01.07|Polvo Azul|m3|materiales</t>
  </si>
  <si>
    <t>05.01.07|Polvo Rosado|m3|materiales</t>
  </si>
  <si>
    <t>05.01.07|Sika 1 Imperm.10kg|Uni.|materiales</t>
  </si>
  <si>
    <t>05.01.07|Tablas de Monte|Uni.|materiales</t>
  </si>
  <si>
    <t>05.01.07|Triplex 18mm Lamina 1.22x2.44C|Uni.|materiales</t>
  </si>
  <si>
    <t>05.01.07|Tubo Conduit PVC 1/2" Plastidor (Tubo Conduit PVC 1/2" Plastido)|Uni.|materiales</t>
  </si>
  <si>
    <t>05.01.07|M. Alfeizar En Ventana|ml|mano_obra</t>
  </si>
  <si>
    <t>05.01.07|Alquiler Andamio|Uni.|equipo</t>
  </si>
  <si>
    <t>05.01.07|Alquiler de Tablones|Uni.|equipo</t>
  </si>
  <si>
    <t>05.01.08|M. Alfeizar En Antepecho|ml|mano_obra</t>
  </si>
  <si>
    <t>05.01.09|Arena Rosada|m3|materiales</t>
  </si>
  <si>
    <t>05.01.09|Cemento Campeon|saco|materiales</t>
  </si>
  <si>
    <t>05.01.09|Polvo Azul|m3|materiales</t>
  </si>
  <si>
    <t>05.01.09|Polvo Rosado|m3|materiales</t>
  </si>
  <si>
    <t>05.01.09|Ripio|m3|materiales</t>
  </si>
  <si>
    <t>05.01.09|Tablas de Monte|Uni.|materiales</t>
  </si>
  <si>
    <t>05.01.09|Varilla Hierro D=10mmx12m|Uni.|materiales</t>
  </si>
  <si>
    <t>05.01.09|M. Bordillo De Terrazas|ml|mano_obra</t>
  </si>
  <si>
    <t>05.01.10|Arena Fina||materiales</t>
  </si>
  <si>
    <t>05.01.10|Cemento Campeon|qq|materiales</t>
  </si>
  <si>
    <t>05.01.10|Clavos galvanizados 2"|Kg.|materiales</t>
  </si>
  <si>
    <t>05.01.10|Polvo Rosado|m3|materiales</t>
  </si>
  <si>
    <t>05.01.10|Ripio|m3|materiales</t>
  </si>
  <si>
    <t>05.01.10|Disco de corte de diamante 9"|Uni.|materiales</t>
  </si>
  <si>
    <t>05.01.10|M. Nicho Para Baños y lavavajillas|Und|mano_obra</t>
  </si>
  <si>
    <t>05.01.11|Arena Rosada|m3|materiales</t>
  </si>
  <si>
    <t>05.01.11|Cemento Campeon|saco|materiales</t>
  </si>
  <si>
    <t>05.01.11|M. Ducha Rehundida|m2|mano_obra</t>
  </si>
  <si>
    <t>05.01.12|Cemento Campeon|saco|materiales</t>
  </si>
  <si>
    <t>05.01.12|Polvo Azul|m3|materiales</t>
  </si>
  <si>
    <t>05.01.12|M. Volumen para medidores de ag (Volumen para medidores de agua y luz)|Uni.|mano_obra</t>
  </si>
  <si>
    <t>05.01.15|Brocha 3"|Uni.|materiales</t>
  </si>
  <si>
    <t>05.01.15|Chapisco 25 kg|Uni.|materiales</t>
  </si>
  <si>
    <t>05.01.15|Malla Armex Elect.6mmx15x15R188 (Malla Armex Elect.6mmx15x15 R188)|Uni.|materiales</t>
  </si>
  <si>
    <t>05.01.15|Malla para tumbado (rollo) (Malla para tumbado (rollo))|rollo|materiales</t>
  </si>
  <si>
    <t>05.01.15|Maxilastic 3.8lt/4.33kg|Uni.|materiales</t>
  </si>
  <si>
    <t>05.01.15|Plancha espumaflex 2cm|Uni.|materiales</t>
  </si>
  <si>
    <t>05.01.15|Rodillo de felpa|Uni.|materiales</t>
  </si>
  <si>
    <t>05.01.15|M. Forrado de columnas metálicas|m2|mano_obra</t>
  </si>
  <si>
    <t>06.01.01|M. Enlucido De Fachada|m2|mano_obra</t>
  </si>
  <si>
    <t>06.01.03|M. Enlucido De Fajas Exteriores|ml|mano_obra</t>
  </si>
  <si>
    <t>06.01.04|M. Enlucido De Filos Exteriores|m2|mano_obra</t>
  </si>
  <si>
    <t>06.01.05|M. Enlucido Vertical Interior|m2|mano_obra</t>
  </si>
  <si>
    <t>06.01.06|M. Enlucido De Fajas Interiores|ml|mano_obra</t>
  </si>
  <si>
    <t>06.01.07|M. Enlucido De Filos Interiores|ml|mano_obra</t>
  </si>
  <si>
    <t>06.01.08|Arena Fina|m3|materiales</t>
  </si>
  <si>
    <t>06.01.08|Arena Rosada|m3|materiales</t>
  </si>
  <si>
    <t>06.01.08|Carretilla Polvo Azul|Uni.|materiales</t>
  </si>
  <si>
    <t>06.01.08|Cemento Campeon|qq|materiales</t>
  </si>
  <si>
    <t>06.01.08|Chapisco 25 kg|Uni.|materiales</t>
  </si>
  <si>
    <t>06.01.08|Disco de corte de diamante 7"|Uni.|materiales</t>
  </si>
  <si>
    <t>06.01.08|Malla fina para cernir|ml|materiales</t>
  </si>
  <si>
    <t>06.01.08|Maxicril Caneca|Uni.|materiales</t>
  </si>
  <si>
    <t>06.01.08|Polvo Azul|m3|materiales</t>
  </si>
  <si>
    <t>06.01.08|M. Masillado De Piso A Máquina|m2|mano_obra</t>
  </si>
  <si>
    <t>06.01.08|Alquiler Rotomartillo|Uni.|equipo</t>
  </si>
  <si>
    <t>06.01.09|Arena Fina|m3|materiales</t>
  </si>
  <si>
    <t>06.01.09|Arena Rosada|m3|materiales</t>
  </si>
  <si>
    <t>06.01.09|Bondex Plus 25kg|Uni.|materiales</t>
  </si>
  <si>
    <t>06.01.09|Cemento Campeon|saco|materiales</t>
  </si>
  <si>
    <t>06.01.09|Clavo de acero blanco chino 1|Kg.|materiales</t>
  </si>
  <si>
    <t>06.01.09|Disco de corte de diamante 7"|Uni.|materiales</t>
  </si>
  <si>
    <t>06.01.09|Malla para tumbado (rollo) (Malla para tumbado (rollo))|Uni.|materiales</t>
  </si>
  <si>
    <t>06.01.09|Malla Tejida Zaranda mts|mts.|materiales</t>
  </si>
  <si>
    <t>06.01.09|Polvo Azul|m3|materiales</t>
  </si>
  <si>
    <t>06.01.09|Sika Anchofix-1 300ml|Uni.|materiales</t>
  </si>
  <si>
    <t>06.01.09|Sika Premium 32|Uni.|materiales</t>
  </si>
  <si>
    <t>06.01.09|Sikaflex 221 Cartucho 300ml|Uni.|materiales</t>
  </si>
  <si>
    <t>06.01.09|M. Picado Y Corchado|ml|mano_obra</t>
  </si>
  <si>
    <t>06.01.10|M. Goterones - Medias Cañas|ml|mano_obra</t>
  </si>
  <si>
    <t>06.01.13|M. Enlucido Exterior Terminado Hormigón Visto|m2|mano_obra</t>
  </si>
  <si>
    <t>06.01.15|M. Masillado De Piso A Máquina Con Endurecedor|m2|mano_obra</t>
  </si>
  <si>
    <t>07.01.05|Arena Rosada|m3|materiales</t>
  </si>
  <si>
    <t>07.01.05|Broca Metal Cobalto 5/32"|Uni.|materiales</t>
  </si>
  <si>
    <t>07.01.05|Cemento Campeon HS 50KG|qq|materiales</t>
  </si>
  <si>
    <t>07.01.05|Chapisco 25 kg|Uni.|materiales</t>
  </si>
  <si>
    <t>07.01.05|Clavos de acero 1” (1/2 kilo) (Clavos de acero 1” (1/2 kilo))|Kg.|materiales</t>
  </si>
  <si>
    <t>07.01.05|Gasolina - Extra||materiales</t>
  </si>
  <si>
    <t>07.01.05|Malla para tumbado (rollo) (Malla para tumbado (rollo))|rollo|materiales</t>
  </si>
  <si>
    <t>07.01.05|Maxicril Galon|Uni.|materiales</t>
  </si>
  <si>
    <t>07.01.05|Plastico Negro 1.5 mts (Plastico Negro 1.5 mts (2.20 mts x kg) (45 kilos))|rollo|materiales</t>
  </si>
  <si>
    <t>07.01.05|Polvo Azul|m3|materiales</t>
  </si>
  <si>
    <t>07.01.05|Rodillo de felpa 9"|Uni.|materiales</t>
  </si>
  <si>
    <t>07.01.05|Alquiler concretera|día|equipo</t>
  </si>
  <si>
    <t>07.01.05|Alquiler de Elevador a gasolina|día|equipo</t>
  </si>
  <si>
    <t>08.01.10|Cinta de Embalaje|Uni.|materiales</t>
  </si>
  <si>
    <t>08.01.10|Cinta Peligro 200MT (Cinta Peligro Amarillo 200MT)|Uni.|materiales</t>
  </si>
  <si>
    <t>08.01.10|Masking Abro 2x40|Uni.|materiales</t>
  </si>
  <si>
    <t>08.01.10|Plancha espumaflex 5cm|Uni.|materiales</t>
  </si>
  <si>
    <t>08.01.10|Plastico Enmascarar 220cmx25m|Uni.|materiales</t>
  </si>
  <si>
    <t>08.01.10|Plastico Negro 1.5 mts (Plastico Negro 1.5 mts (2.20 mts x kg) (45 kilos))|rollo|materiales</t>
  </si>
  <si>
    <t>08.01.10|Plastico Transparente (Plastico Transparente 1.5mts)|ml|materiales</t>
  </si>
  <si>
    <t>08.01.10|Tela Verde UV 2.00 mts. (Tela Verde UV 2.00 mts)|mts.|materiales</t>
  </si>
  <si>
    <t>08.01.10|M, Plástico Negro Para Protección De Terminados|m2|mano_obra</t>
  </si>
  <si>
    <t>13.01.02|Brocha 4"|Uni.|materiales</t>
  </si>
  <si>
    <t>13.01.02|Caneca 20 litros s/tapa|Uni.|materiales</t>
  </si>
  <si>
    <t>13.01.02|Cepillo de acero 5f cromado|Uni.|materiales</t>
  </si>
  <si>
    <t>13.01.02|Cinta de Embalaje|Uni.|materiales</t>
  </si>
  <si>
    <t>13.01.02|Cinta Masking|Uni.|materiales</t>
  </si>
  <si>
    <t>13.01.02|Cloro|gal|materiales</t>
  </si>
  <si>
    <t>13.01.02|Costales o saquillos|Uni.|materiales</t>
  </si>
  <si>
    <t>13.01.02|Desinfectante|gal|materiales</t>
  </si>
  <si>
    <t>13.01.02|Detergente|Kg.|materiales</t>
  </si>
  <si>
    <t>13.01.02|Escoba de coco|Uni.|materiales</t>
  </si>
  <si>
    <t>13.01.02|Escoba Negra Industrial Grande (Escoba Negra Industrial Grande 40cm)|Uni.|materiales</t>
  </si>
  <si>
    <t>13.01.02|Escobas Plastico Dura|Uni.|materiales</t>
  </si>
  <si>
    <t>13.01.02|Escobas Plastico Suave|Uni.|materiales</t>
  </si>
  <si>
    <t>13.01.02|Espatula stanley 3''|Uni.|materiales</t>
  </si>
  <si>
    <t>13.01.02|Franela|Uni.|materiales</t>
  </si>
  <si>
    <t>13.01.02|Fundas de Basura|Uni.|materiales</t>
  </si>
  <si>
    <t>13.01.02|Guaipe|m2|materiales</t>
  </si>
  <si>
    <t>13.01.02|Lavador 100|gal|materiales</t>
  </si>
  <si>
    <t>13.01.02|Lustre Nº 4|Uni.|materiales</t>
  </si>
  <si>
    <t>13.01.02|Pala Plastica (Pala Plastica de Basura)|Uni.|materiales</t>
  </si>
  <si>
    <t>13.01.02|Paño Multiusos|Uni.|materiales</t>
  </si>
  <si>
    <t>13.01.02|Thinner Laca|Uni.|materiales</t>
  </si>
  <si>
    <t>13.01.02|Trapeador|Uni.|materiales</t>
  </si>
  <si>
    <t>13.01.02|M. Limpieza Provisional (Durante la obra Material Y Personal)|Glb|mano_obra</t>
  </si>
  <si>
    <t>13.01.02|Alquiler de Maquinaria (retroex (Alquiler de Maquinaria (retroexcavadora))|Hr.|equipo</t>
  </si>
  <si>
    <t>13.01.02|Trans. Desalojo-Escombro Botade (Trans. Desalojo-Escombro Botadero fuera de obra)|viaje|equipo</t>
  </si>
  <si>
    <t>13.01.03|Costales o saquillos|Uni.|materiales</t>
  </si>
  <si>
    <t>13.01.03|Transporte Limpieza Y Desalojo De Escombros + tickets emgirs|Viaje|equipo</t>
  </si>
  <si>
    <t>13.01.03|Horas Maquinas Retroexcavadora|Hr.|equipo</t>
  </si>
  <si>
    <t>13.01.04|Alfombra atrapamugre|m2|materiales</t>
  </si>
  <si>
    <t>13.01.04|Brocha 3"|Uni.|materiales</t>
  </si>
  <si>
    <t>13.01.04|Guaipe|Uni.|materiales</t>
  </si>
  <si>
    <t>13.01.04|Trapeador|Uni.|materiales</t>
  </si>
  <si>
    <t>13.01.04|Alquiler Andamio|Uni.|equipo</t>
  </si>
  <si>
    <t>13.01.04|Alquiler de Tablones|Uni.|equipo</t>
  </si>
  <si>
    <t>13.01.05|Arnes de Seguridad + cuerda 3P. (Arnes de Seguridad + 3P Fijacion total)|Uni.|equipo</t>
  </si>
  <si>
    <t>13.01.05|Casco|Uni.|equipo</t>
  </si>
  <si>
    <t>13.01.05|Cinta amarilla Precaución 200MT|mts.|equipo</t>
  </si>
  <si>
    <t>13.01.05|Gafa Transparente Reforzada|Uni.|equipo</t>
  </si>
  <si>
    <t>13.01.05|Guantes de Caucho|pr|equipo</t>
  </si>
  <si>
    <t>13.01.05|Guante de Cuero Operador|Uni.|equipo</t>
  </si>
  <si>
    <t>13.01.05|Mascara Para Esmerilar Reforzad (ascara Para Esmerilar Reforzada)|Uni.|equipo</t>
  </si>
  <si>
    <t>13.01.09|Aceite Multiuso 3 en 1|Uni.|materiales</t>
  </si>
  <si>
    <t>13.01.09|Amoladora 9" DWE496-B3 Dewalt|Uni.|materiales</t>
  </si>
  <si>
    <t>13.01.09|Balde de construccion caucho|Uni.|materiales</t>
  </si>
  <si>
    <t>13.01.09|Barra agricola de 14 libras|Uni.|materiales</t>
  </si>
  <si>
    <t>13.01.09|Cable Gemelo Blanco 2X10|Rollo|materiales</t>
  </si>
  <si>
    <t>13.01.09|Cabo1/2 (Cabo 1/2)|mts.|materiales</t>
  </si>
  <si>
    <t>13.01.09|Cabo Madera Zapapico|Uni.|materiales</t>
  </si>
  <si>
    <t>13.01.09|Caneca 5GLN|Uni.|materiales</t>
  </si>
  <si>
    <t>13.01.09|Carretilla Truper 220kl tomate|Uni.|materiales</t>
  </si>
  <si>
    <t>13.01.09|Codal de Aluminio|Uni.|materiales</t>
  </si>
  <si>
    <t>13.01.09|Destornillador Estrella 1/4"x5"|Uni.|materiales</t>
  </si>
  <si>
    <t>13.01.09|Enchufe blindado 3 patas|Uni.|materiales</t>
  </si>
  <si>
    <t>13.01.09|Escalera Pie de Gallo|Uni.|materiales</t>
  </si>
  <si>
    <t>13.01.09|Machete|Uni.|materiales</t>
  </si>
  <si>
    <t>13.01.09|Manguera de Jardin con Acce (Manguera de Jardin con Accesorios)|ml|materiales</t>
  </si>
  <si>
    <t>13.01.09|Pala Cuadrada|Uni.|materiales</t>
  </si>
  <si>
    <t>13.01.09|Pistola Calefateo Truper Refz.|Uni.|materiales</t>
  </si>
  <si>
    <t>13.01.09|Rueda Neumatica p/carretilla c/ (Rueda Neumatica p/carretilla c/aro 16X4")|Uni.|materiales</t>
  </si>
  <si>
    <t>13.01.09|Sierra Circular Dewalt 71/4 180 (Sierra Circular Dewalt 71/4 1800W DWE575-B3)|Uni.|materiales</t>
  </si>
  <si>
    <t>13.01.09|Taipe 3m 3/4 x2 Negro|Uni.|materiales</t>
  </si>
  <si>
    <t>13.01.09|Taladro Dewalt 1/2" - 1100W DWD (Taladro Dewalt 1/2" - 1100W DWD520 DEWALT)|Uni.|materiales</t>
  </si>
  <si>
    <t>13.01.09|Tanque para combustible 20lts. (Tanque para combustible rojo 20lts.)|Uni.|materiales</t>
  </si>
  <si>
    <t>13.01.09|Tanque Tool Abierto 55 Gln. (Tanque Tool Abierto 55 Gln)|Uni.|materiales</t>
  </si>
  <si>
    <t>13.01.09|Toma sobreponer cooper 125v|Uni.|materiales</t>
  </si>
  <si>
    <t>13.01.09|Uniones de Manguera|Uni.|materiales</t>
  </si>
  <si>
    <t>13.01.09|Zapapico Herrago 5 lbs|Uni.|materiales</t>
  </si>
  <si>
    <t>13.01.09|Mantenimiento Herramientas|Glb|equipo</t>
  </si>
  <si>
    <t>13.01.12|Guachimanía de obra|mes|mano_obra</t>
  </si>
  <si>
    <t>13.01.14|M. Rejilla metálica de 2"|ml|mano_obra</t>
  </si>
  <si>
    <t>13.01.18|M. Rejilla con trampa para ducha|ml|mano_obra</t>
  </si>
  <si>
    <t>14.01.02|Aceite Havoline|Uni.|materiales</t>
  </si>
  <si>
    <t>14.01.02|Gasolina - Extra|gal|materiales</t>
  </si>
  <si>
    <t>14.01.02|Alquiler Generador|día|equipo</t>
  </si>
  <si>
    <t>14.01.03|M. Internet (Servicio de Internet)|mes|mano_obra</t>
  </si>
  <si>
    <t>15.01.01|M. Rasanteo y conformación de jardines|m2|mano_obra</t>
  </si>
  <si>
    <t>15.01.01|Horas Maquinas Retroexcavadora|Hr.|equipo</t>
  </si>
  <si>
    <t>15.01.04|Clavos galvanizados 2"|Kg.|materiales</t>
  </si>
  <si>
    <t>15.01.04|M. Replanteo Acceso Peatonal|m2|mano_obra</t>
  </si>
  <si>
    <t>15.01.05|Cemento Campeon HS 50KG|qq|materiales</t>
  </si>
  <si>
    <t>15.01.05|Costales o saquillos|Uni.|materiales</t>
  </si>
  <si>
    <t>15.01.05|Lastre|m3|materiales</t>
  </si>
  <si>
    <t>15.01.05|Polvo Azul|m3|materiales</t>
  </si>
  <si>
    <t>15.01.05|Varilla Hierro D=14mmx12m|v14|materiales</t>
  </si>
  <si>
    <t>15.01.05|M. Conformación plataforma - Acceso Peatonal|m2|mano_obra</t>
  </si>
  <si>
    <t>15.01.06|Carretilla Polvo Azul|Uni.|materiales</t>
  </si>
  <si>
    <t>15.01.06|Carretilla Ripio|Uni.|materiales</t>
  </si>
  <si>
    <t>15.01.06|Cemento Campeon HS 50KG|qq|materiales</t>
  </si>
  <si>
    <t>15.01.06|Cuartón 6 x 4 de eucalipto|Uni.|materiales</t>
  </si>
  <si>
    <t>15.01.06|Disco de corte de diamante 7"|Uni.|materiales</t>
  </si>
  <si>
    <t>15.01.06|Disco de corte de hierro 9" (Me (Disco de corte de hierro 9" (Metal))|Uni.|materiales</t>
  </si>
  <si>
    <t>15.01.06|Lastre|m3|materiales</t>
  </si>
  <si>
    <t>15.01.06|Plastocrete 161 HE 4KG|Uni.|materiales</t>
  </si>
  <si>
    <t>15.01.06|Polvo Azul|m3|materiales</t>
  </si>
  <si>
    <t>15.01.06|Ripio|m3|materiales</t>
  </si>
  <si>
    <t>15.01.06|Tablas de Monte|Uni.|materiales</t>
  </si>
  <si>
    <t>15.01.06|Tubo PVC desague 75mm x 3mts (Tubo PVC desague 75mm x 3mts Rival )|Uni.|materiales</t>
  </si>
  <si>
    <t>15.01.06|M. Acceso Peatonal (Obra Civil)|m2|mano_obra</t>
  </si>
  <si>
    <t>15.01.06|Alquiler compactador sapo|Uni.|equipo</t>
  </si>
  <si>
    <t>15.01.07|Cinta Masking|Uni.|materiales</t>
  </si>
  <si>
    <t>15.01.07|Masking Abro 2x40|Uni.|materiales</t>
  </si>
  <si>
    <t>15.01.07|Plancha espumaflex 5cm|Uni.|materiales</t>
  </si>
  <si>
    <t>15.01.07|Plastico Enmascarar 220cmx25m|Uni.|materiales</t>
  </si>
  <si>
    <t>15.01.07|Plastico Negro 1.5 mts (Plastico Negro 1.5 mts (1.98mts x kg) (50.50 kilos))|rollo|materiales</t>
  </si>
  <si>
    <t>15.01.07|M. Plástico Polietileno 2 Capas (Acceso peatonal)|m2|mano_obra</t>
  </si>
  <si>
    <t>15.01.08|Malla Armex Elect.5mmx10x10 R-1 (Malla Armex Elect.5mmx10x10 R-196)|Uni.|materiales</t>
  </si>
  <si>
    <t>15.01.08|Malla Armex Elect.6mmx15x15R188 (Malla Armex Elect.6mmx15x15 R188)|Uni.|materiales</t>
  </si>
  <si>
    <t>15.01.08|Varilla Hierro D=10mmx12m|V10|materiales</t>
  </si>
  <si>
    <t>15.01.08|M. Malla De Refuerzo 6*15 (Acceso Peatonal)|m2|mano_obra</t>
  </si>
  <si>
    <t>15.01.09|Clavos galvanizados 2''|Kg.|materiales</t>
  </si>
  <si>
    <t>15.01.09|Clavos galvanizados 2 1/2''|Kg.|materiales</t>
  </si>
  <si>
    <t>15.01.09|Cuarton 6 x 4 de eucalipto|Uni.|materiales</t>
  </si>
  <si>
    <t>15.01.09|Disco Corte Madera 7|Uni.|materiales</t>
  </si>
  <si>
    <t>15.01.09|Tablas de Monte|Uni.|materiales</t>
  </si>
  <si>
    <t>15.01.09|M. Encofrado de gradas exteriores (Detalle para luces acceso peatonal)|m2|mano_obra</t>
  </si>
  <si>
    <t>15.01.10|Cemento Campeon|saco|materiales</t>
  </si>
  <si>
    <t>15.01.10|Hormigón Premez. fc= 210 kg S/B (Hormigón Premezclado fc= 210 kg/cm2)|m3|materiales</t>
  </si>
  <si>
    <t>15.01.10|Plancha espumaflex 5cm|Uni.|materiales</t>
  </si>
  <si>
    <t>15.01.10|Polvo Rosado|m3|materiales</t>
  </si>
  <si>
    <t>15.01.10|Recargo Minimo Concreto|m3|materiales</t>
  </si>
  <si>
    <t>15.01.10|Sika Premium 32|Uni.|materiales</t>
  </si>
  <si>
    <t>15.01.10|M. Hormigón En Escaleras F'c=210kg/Cm² (Acceso Peatonal)|m3|mano_obra</t>
  </si>
  <si>
    <t>15.01.10|Alquiler vibrador|Uni.|equipo</t>
  </si>
  <si>
    <t>15.01.11|M. Suministro, tendido y compactación de subbase clase III e=20cm|m2|mano_obra</t>
  </si>
  <si>
    <t>15.01.12|Adoquin Toledo 6cm Color 16X16|ml|materiales</t>
  </si>
  <si>
    <t>15.01.12|Adoquin Toledo 6cm Color 16X24 (Adoquin Toledo 6cm Color 24X24)|ml|materiales</t>
  </si>
  <si>
    <t>15.01.12|Adoquin Toledo 6cm Color 24X24|ml|materiales</t>
  </si>
  <si>
    <t>15.01.12|Disco de corte de diamante 9"|Uni.|materiales</t>
  </si>
  <si>
    <t>15.01.12|Polvo Azul|m3|materiales</t>
  </si>
  <si>
    <t>15.01.12|M. Adoquín En Acceso Peatonal|m2|mano_obra</t>
  </si>
  <si>
    <t>15.01.12|Transporte Adoquin|Uni.|equipo</t>
  </si>
  <si>
    <t>15.01.13|Clavos galvanizados 2 1/2"|Kg.|materiales</t>
  </si>
  <si>
    <t>15.01.13|Clavos galvanizados 2"|Kg.|materiales</t>
  </si>
  <si>
    <t>15.01.13|M. Replanteo Plataforma Parqueadero|m2|mano_obra</t>
  </si>
  <si>
    <t>15.01.14|M. Replanteo Plataforma Parqueadero|m2|mano_obra</t>
  </si>
  <si>
    <t>15.01.20|Gasolina - Extra|gal|materiales</t>
  </si>
  <si>
    <t>15.01.20|Lastre|m3|materiales</t>
  </si>
  <si>
    <t>15.01.20|M. Suministro, tendido y compactación de subbase clase III e=20cm (Parqueadero)|m2|mano_obra</t>
  </si>
  <si>
    <t>15.01.20|Alquiler compactador sapo|Uni.|equipo</t>
  </si>
  <si>
    <t>15.01.21|Adoquin Toledo 6cm Color 16X16|ml|materiales</t>
  </si>
  <si>
    <t>15.01.21|Adoquin Toledo 6cm Color 16X24 (Adoquin Toledo 6cm Color 24X24)|ml|materiales</t>
  </si>
  <si>
    <t>15.01.21|Adoquin Toledo 6cm Color 24X24|ml|materiales</t>
  </si>
  <si>
    <t>15.01.21|Disco de corte de diamante 9"|Uni.|materiales</t>
  </si>
  <si>
    <t>15.01.21|Polvo Azul|m3|materiales</t>
  </si>
  <si>
    <t>15.01.21|M. Adoquín En Estacionamiento|m2|mano_obra</t>
  </si>
  <si>
    <t>15.01.21|Transporte Adoquin|Uni.|equipo</t>
  </si>
  <si>
    <t>15.01.22|Bordillo 100X25X8 Gris Natural|ml|materiales</t>
  </si>
  <si>
    <t>15.01.22|Cemento Campeon HS 50KG|qq|materiales</t>
  </si>
  <si>
    <t>15.01.22|Polvo Azul|m3|materiales</t>
  </si>
  <si>
    <t>15.01.22|M. Bordillo en estacionamiento (1,00x0,10x0,30m)|ml|mano_obra</t>
  </si>
  <si>
    <t>15.01.23|Cemento|qq|materiales</t>
  </si>
  <si>
    <t>15.01.23|Clavo Galvanizado 2 1/2"|kg|materiales</t>
  </si>
  <si>
    <t>15.01.23|Disco Corte Diamante 9"|u|materiales</t>
  </si>
  <si>
    <t>15.01.23|Malla Electrosoldada 6x15|u|materiales</t>
  </si>
  <si>
    <t>15.01.23|Maxicril|u|materiales</t>
  </si>
  <si>
    <t>15.01.23|Polvo Azul|m3|materiales</t>
  </si>
  <si>
    <t>15.01.23|Ripio|m3|materiales</t>
  </si>
  <si>
    <t>15.01.23|Tablas de Monte|u|materiales</t>
  </si>
  <si>
    <t>15.01.23|M. Canal recolector aguas lluvias|ml|mano_obra</t>
  </si>
  <si>
    <t>16.01.01|Arena Fina|m3|materiales</t>
  </si>
  <si>
    <t>16.01.01|Arena Rosada|m3|materiales</t>
  </si>
  <si>
    <t>16.01.01|Bondex Premium 25kg|Uni.|materiales</t>
  </si>
  <si>
    <t>16.01.01|Cemento Campeon HS 50KG|qq|materiales</t>
  </si>
  <si>
    <t>16.01.01|Ladrillo (Ladrillo Mambron)|Uni.|materiales</t>
  </si>
  <si>
    <t>16.01.01|Lustre Nº 8|Uni.|materiales</t>
  </si>
  <si>
    <t>16.01.01|Maxilane Caneca|Uni.|materiales</t>
  </si>
  <si>
    <t>16.01.01|M. Mamposteria de ladrillo visto una cara (Mamposteria de ladrillo visto)|m2|mano_obra</t>
  </si>
  <si>
    <t>16.01.01|Alquiler andamio|Uni.|equipo</t>
  </si>
  <si>
    <t>16.01.01|Alquiler de Tablones|Uni.|equipo</t>
  </si>
  <si>
    <t>16.01.03|Alambre recocido N.18 (20kg) (Alambre recocido N.18 (20kg))|R-Alambre|materiales</t>
  </si>
  <si>
    <t>16.01.03|Arena Rosada|m3|materiales</t>
  </si>
  <si>
    <t>16.01.03|Cemento Campeon HS 50KG|qq|materiales</t>
  </si>
  <si>
    <t>16.01.03|Hormigón Premez. fc= 210 kg S/B (Hormigón Premezclado fc= 210 kg/cm2)|m3|materiales</t>
  </si>
  <si>
    <t>16.01.03|Plastico Negro 1.5 mts (Plastico Negro 1.5 mts (1.98mts x kg) (50.50 kilos))|rollo|materiales</t>
  </si>
  <si>
    <t>16.01.03|Polvo Azul|m3|materiales</t>
  </si>
  <si>
    <t>16.01.03|Recargo Minimo Concreto|m3|materiales</t>
  </si>
  <si>
    <t>16.01.03|Ripio|m3|materiales</t>
  </si>
  <si>
    <t>16.01.03|Sika -1 Impermeabilizante 2kg|Uni.|materiales</t>
  </si>
  <si>
    <t>16.01.03|Tiza Industrial|Uni.|materiales</t>
  </si>
  <si>
    <t>16.01.03|Varilla Hierro D=12mmx12m|V12|materiales</t>
  </si>
  <si>
    <t>16.01.03|M.Cisterna (Incluye impermeabilización)|glb|mano_obra</t>
  </si>
  <si>
    <t>16.01.03|Alquiler de Maquinaria (retroex (Alquiler de Maquinaria (retroexcavadora))|Hr.|equipo</t>
  </si>
  <si>
    <t>16.01.03|Alquiler vibrador|Uni.|equipo</t>
  </si>
  <si>
    <t>16.01.03|Bomba Estacionaria|m3|equipo</t>
  </si>
  <si>
    <t>16.01.03|Trans. Desalojo-Escombro Botade (Trans. Desalojo-Escombro Botadero fuera de obra)|viaje|equipo</t>
  </si>
  <si>
    <t>16.01.03|Arena Fina|m3|materiales</t>
  </si>
  <si>
    <t>16.01.03|Bloque alivianado 20x40x20|Uni.|materiales</t>
  </si>
  <si>
    <t>16.01.03|Bondex Standar 25Kg|Uni.|materiales</t>
  </si>
  <si>
    <t>16.01.03|Chapisco 25 kg|Uni.|materiales</t>
  </si>
  <si>
    <t>16.01.03|Clavos de acero 2.1/2” Japones|Kg.|materiales</t>
  </si>
  <si>
    <t>16.01.03|Clavos galvanizados 2 1/2"|Kg.|materiales</t>
  </si>
  <si>
    <t>16.01.03|Clavos galvanizados 2"|Kg.|materiales</t>
  </si>
  <si>
    <t>16.01.03|Disco de corte de hierro 9" (Me (Disco de corte de hierro 9" (Metal))|Uni.|materiales</t>
  </si>
  <si>
    <t>16.01.03|Gasolina - Extra|gal|materiales</t>
  </si>
  <si>
    <t>16.01.03|Malla Armex Elect.5mmx10x10 R-1 (Malla Armex Elect.5mmx10x10 R-196)|Uni.|materiales</t>
  </si>
  <si>
    <t>16.01.03|Malla Armex Elect.6mmx15x15R188 (Malla Armex Elect.6mmx15x15 R188)|Uni.|materiales</t>
  </si>
  <si>
    <t>16.01.03|Maxicril - 70 gl|Uni.|materiales</t>
  </si>
  <si>
    <t>16.01.03|Maxicril Caneca|Uni.|materiales</t>
  </si>
  <si>
    <t>16.01.03|Piedra bola|m3|materiales</t>
  </si>
  <si>
    <t>16.01.03|Rejilla PVC Ventilacion 50MM|Uni.|materiales</t>
  </si>
  <si>
    <t>16.01.03|Rejilla PVC Ventilacion 75mm 3" (Rejilla Plastica PVC Ventilacion 75mm 3")|Uni.|materiales</t>
  </si>
  <si>
    <t>16.01.03|Sika -1 Impermeabilizante 4kg|Uni.|materiales</t>
  </si>
  <si>
    <t>16.01.03|Sikadur 32 Primer (2.5kl) (Sikadur 32 Primer (2.5kl))|Uni.|materiales</t>
  </si>
  <si>
    <t>16.01.03|Varilla Hierro D=10mmx12m|V10|materiales</t>
  </si>
  <si>
    <t>16.01.03|Varilla Hierro D=14mmx12m|v14|materiales</t>
  </si>
  <si>
    <t>16.01.03|M.Piscina (Obra Civil)|glb|mano_obra</t>
  </si>
  <si>
    <t xml:space="preserve"> | Rend: Rendimiento disperso</t>
  </si>
  <si>
    <t xml:space="preserve"> | Rend: cobertura única</t>
  </si>
  <si>
    <t>MO-0093</t>
  </si>
  <si>
    <t>M. Instalaciones eléctricas provisionales</t>
  </si>
  <si>
    <t>MO-0094</t>
  </si>
  <si>
    <t>M. Instalaciones hidrosanitarias provisionales</t>
  </si>
  <si>
    <t>MO-0095</t>
  </si>
  <si>
    <t>M. Cubierta de fibrocemento (Incluye capa super K)</t>
  </si>
  <si>
    <t>01.01.03|M. Instalaciones eléctricas provisionales|Glb|mano_obra</t>
  </si>
  <si>
    <t>01.01.04|M. Instalaciones hidrosanitarias provisionales|Glb|mano_obra</t>
  </si>
  <si>
    <t>07.01.05|M. Cubierta de fibrocemento (Incluye capa super K)|m2|mano_obra</t>
  </si>
  <si>
    <t>MO principal (reconstruida)</t>
  </si>
  <si>
    <t>⚠️ Sin datos en ninguna obra — requiere cotización</t>
  </si>
  <si>
    <t>#</t>
  </si>
  <si>
    <t>Actor / Fase</t>
  </si>
  <si>
    <t>Contenido</t>
  </si>
  <si>
    <t>👤 Usuario</t>
  </si>
  <si>
    <t>Analiza este archivo que es un análisis de precios unitarios.</t>
  </si>
  <si>
    <t>🤖 Claude — Análisis inicial</t>
  </si>
  <si>
    <t>Revisé la estructura del archivo "006. Cuadro Comparativo APUs":
• 2,263 filas · 17 encabezados de capítulo · 106 APUs
• 3 columnas de oferentes (BUENO FERRO, PABLO ESPINOSA, MUÑOZ FREILE) con Cantidad / P.Unitario / Total
• Cada APU desagregado en MATERIALES / MANO DE OBRA / EQUIPO + filas TOTAL y COSTO UNITARIO APU
Totales iniciales (USD):
  - PABLO ESPINOSA: $90,847 · 86 rubros cotizados
  - BUENO FERRO: $114,712 · 75 rubros
  - MUÑOZ FREILE: $176,923 · 70 rubros
Hallazgos:
  - Muchos #¡DIV/0! por rubros no cotizados
  - Diferencias grandes en cantidades del mismo rubro (ej. excavación 0/618/3,662 m³)
  - Valores atípicos en precios unitarios (ej. Cemento $1.94 vs $6.70)
  - Capítulo 07 Cubiertas y 16 Obras Especiales no cotizados por BUENO FERRO</t>
  </si>
  <si>
    <t>👤 Usuario — Aclaración clave</t>
  </si>
  <si>
    <t>"Estos son costos de obras, no son proveedores sino el nombre de las obras. El objeto de este análisis es para crear un estándar de precios unitarios."</t>
  </si>
  <si>
    <t>🤖 Claude — Cambio de enfoque</t>
  </si>
  <si>
    <t>Reinterpretación: los 3 "oferentes" son 3 obras ya ejecutadas (BUENO FERRO, PABLO ESPINOSA, MUÑOZ FREILE) y el objetivo es construir un estándar de precios unitarios.
Eso explica:
  - Las cantidades distintas (obras de distintos tamaños)
  - Los #¡DIV/0! (cada obra tuvo alcances diferentes)
  - La columna Q "Cantidad x Unidad" como consolidación
Propuse 3 métodos: promedio simple, promedio ponderado, o mediana. Y 3 niveles de detalle: CU total, desagregado por M/MO/E, o desagregado por insumo.</t>
  </si>
  <si>
    <t>👤 Usuario — Decisión de alcance</t>
  </si>
  <si>
    <t>"Quiero que analices cada uno y que me crees después de tu análisis una propuesta de APUs que sea bien pensada." Nivel: desagregado por Materiales / MO / Equipo.</t>
  </si>
  <si>
    <t>🤖 Claude — Plan de 4 fases</t>
  </si>
  <si>
    <t>Fase 1: Extraer estructura de los 106 APUs
Fase 2: Analizar rubro por rubro aplicando criterio
Fase 3: Construir hoja "APU Estándar" desagregada con colores (única / dispersión / válido)
Fase 4: Hoja resumen comparativa
Pregunté 2 decisiones previas:
  - Rubros con 1 sola obra: "Incluirlos usando el dato disponible pero resaltados con un color"
  - Valores dispares &gt;30%: "Señalarlos y pedir confirmación caso por caso"</t>
  </si>
  <si>
    <t>🤖 Claude — Fase 1 Extracción</t>
  </si>
  <si>
    <t>Extraje estructura completa en blob JSON:
  - 106 APUs con capítulo/subcapítulo/código/descripción/unidad
  - 689 líneas de insumos: 494 materiales + 96 mano de obra + 99 equipo
  - Totales y CU observados por obra</t>
  </si>
  <si>
    <t>🤖 Claude — Fase 2 Detección anomalías</t>
  </si>
  <si>
    <t>Clasifiqué todas las anomalías de precio:
  - Cat A (desv &gt; 500%, 5 casos): errores de unidad obvios — descarte automático del outlier
  - Cat B (100-500%, 17 casos): requieren criterio técnico
  - Cat C (&lt;100%, 33 casos): variación normal de mercado
28 rubros con cobertura única (1 sola obra los ejecutó).
364 insumos cotizados por 1 sola obra.</t>
  </si>
  <si>
    <t>👤 Usuario — Decisión operativa</t>
  </si>
  <si>
    <t>"Quisiera que estos casos los dejemos resaltados para realizar un análisis con mis ingenieros. Crea un reporte adicional en otra hoja para verlos."</t>
  </si>
  <si>
    <t>🤖 Claude — Reglas aplicadas</t>
  </si>
  <si>
    <t>Reglas automáticas:
  - 1 sola obra → uso ese valor, marco amarillo (cobertura única)
  - Desv &lt;30% → promedio simple
  - Desv 30-100% → promedio simple
  - Desv 100-500% → mediana + marco naranja + agrego al Reporte
  - Desv &gt;500% → asumo error de unidad, uso mayor o mediana + marca roja
Hojas creadas:
  - "Reporte Decisiones Pendientes" con 28 casos para ingenieros
  - "APU Estándar" (1,263 filas) con los 106 APUs desagregados
  - "Resumen CU" con CU por obra + CU Estándar propuesto</t>
  </si>
  <si>
    <t>👤 Usuario — Iteración importante</t>
  </si>
  <si>
    <t>"Creo que además deberías crear una hoja solo de materiales donde colocamos el precio detallado de estos y con eso tenemos la composición de los APUs atada a esa hoja, con el fin de que si cambio el precio de los materiales los APUs se calculan automáticamente."</t>
  </si>
  <si>
    <t>🤖 Claude — Rediseño a modelo dinámico</t>
  </si>
  <si>
    <t>Decisiones tomadas:
  - 3 hojas separadas: BD Materiales, BD Mano de Obra, BD Equipo
  - Insumos consolidados (1 sola fila por insumo único, 1 PU estándar)
  - Crear también BD Rendimientos editable
Arquitectura:
  BD Materiales ──┐
  BD Mano de Obra ─┼──► APU Estándar ──► Resumen CU
  BD Equipo ──────┤    (fórmulas VLOOKUP)
  BD Rendimientos ─┘
Reescribí todas las celdas de APU Estándar con fórmulas:
  - Cantidad/Rendimiento = INDEX+MATCH a BD Rendimientos (clave única APU+Insumo+Unidad+Sección)
  - P.Unit = INDEX+MATCH a BD correspondiente por nombre de insumo
  - Subtotal = D*E
  - CU APU = SUMA de subtotales
Consolidación:
  - 210 materiales únicos en BD Materiales
  - 95 ítems en BD Mano de Obra (92 + 3 reconstruidos)
  - 38 equipos en BD Equipo
  - 685 relaciones APU↔Insumo en BD Rendimientos</t>
  </si>
  <si>
    <t>🤖 Claude — Correcciones durante implementación</t>
  </si>
  <si>
    <t>Problemas detectados y resueltos:
  - Filas orphan (insumos con descripción vacía en template original) — eliminadas 8
  - SUM rotos tras eliminar filas — reconstruidos los 106 totales
  - 3 APUs con MO principal sin nombre en original — reconstruidos como "M. &lt;nombre del APU&gt;" (01.01.03, 01.01.04, 07.01.05)
  - 11 APUs en cero por rubros que ninguna obra ejecutó — marcados en rojo con nota "Sin datos en ninguna obra"
Verificación final:
  - 94 de 106 APUs calculan correctamente con fórmulas dinámicas
  - 0 errores #REF, #VALUE, #NAME
  - Prueba de propagación: cambio de Cemento Campeón $6.70→$99.99 en BD Materiales actualizó automáticamente el CU del APU 03.02.02 ($19.65→$20.78)</t>
  </si>
  <si>
    <t>👤 Usuario — Solicitud actual</t>
  </si>
  <si>
    <t>"Ok, crea una hoja y pon esta conversación ahí para que no se pierda."</t>
  </si>
  <si>
    <t>🤖 Claude — Esta hoja</t>
  </si>
  <si>
    <t>Creada la hoja "Historial Conversación" con este registro completo del proceso, decisiones tomadas y estado final del modelo.</t>
  </si>
  <si>
    <t>RESUMEN EJECUTIVO FINAL</t>
  </si>
  <si>
    <t>Hojas operativas del sistema:</t>
  </si>
  <si>
    <t>• BD Materiales</t>
  </si>
  <si>
    <t>210 materiales con PU estándar · Editar columna D</t>
  </si>
  <si>
    <t>• BD Mano de Obra</t>
  </si>
  <si>
    <t>95 ítems con PU estándar · Editar columna D</t>
  </si>
  <si>
    <t>• BD Equipo</t>
  </si>
  <si>
    <t>38 equipos con PU estándar · Editar columna D</t>
  </si>
  <si>
    <t>• BD Rendimientos</t>
  </si>
  <si>
    <t>685+ relaciones APU↔Insumo · Editar columna G</t>
  </si>
  <si>
    <t>• APU Estándar</t>
  </si>
  <si>
    <t>106 APUs desagregados con fórmulas dinámicas (solo lectura)</t>
  </si>
  <si>
    <t>• Resumen CU</t>
  </si>
  <si>
    <t>Comparativo CU por obra vs CU Estándar (solo lectura)</t>
  </si>
  <si>
    <t>• Reporte Decisiones Pendientes</t>
  </si>
  <si>
    <t>28 casos de dispersión para revisar con ingenieros</t>
  </si>
  <si>
    <t>• 006. Cuadro Comparativo APUs</t>
  </si>
  <si>
    <t>Fuente original (intacta)</t>
  </si>
  <si>
    <t>Código de colores aplicado:</t>
  </si>
  <si>
    <t>🟡 Amarillo claro</t>
  </si>
  <si>
    <t>Insumo/rubro cotizado por 1 sola obra (cobertura única)</t>
  </si>
  <si>
    <t>🟠 Naranja claro</t>
  </si>
  <si>
    <t>Insumo con dispersión &gt;30% entre obras (revisar)</t>
  </si>
  <si>
    <t>🔴 Rojo claro</t>
  </si>
  <si>
    <t>Rubro sin datos en ninguna obra — requiere cotización</t>
  </si>
  <si>
    <t>🟢 Verde claro</t>
  </si>
  <si>
    <t>Celda editable en las BDs (columna D en precios, G en rendimientos)</t>
  </si>
  <si>
    <t>Flujo recomendado de uso:</t>
  </si>
  <si>
    <t>Revisar Reporte Decisiones Pendientes con ingenieros y decidir valores para los 28 casos</t>
  </si>
  <si>
    <t>Ajustar PU en BD Materiales / BD Mano de Obra / BD Equipo según decisiones</t>
  </si>
  <si>
    <t>Afinar rendimientos en BD Rendimientos si hay dispersión</t>
  </si>
  <si>
    <t>Validar resultados en Resumen CU</t>
  </si>
  <si>
    <t>Usar CU Estándar como referencia para futuras licitaciones</t>
  </si>
  <si>
    <t>apu_codigo</t>
  </si>
  <si>
    <t>capitulo</t>
  </si>
  <si>
    <t>descripcion</t>
  </si>
  <si>
    <t>unidad</t>
  </si>
  <si>
    <t>cu_estandar</t>
  </si>
  <si>
    <t>cu_bf</t>
  </si>
  <si>
    <t>cu_pe</t>
  </si>
  <si>
    <t>cu_mf</t>
  </si>
  <si>
    <t>items_count</t>
  </si>
  <si>
    <t>has_materiales</t>
  </si>
  <si>
    <t>has_mano_obra</t>
  </si>
  <si>
    <t>has_equipo</t>
  </si>
  <si>
    <t>Replanteo Y Nivelación</t>
  </si>
  <si>
    <t>Desbroce de Capa Vegetal</t>
  </si>
  <si>
    <t>Contrapiso De Hormigón Planta Baja F'c=210 Kg/Cm²</t>
  </si>
  <si>
    <t>Hormigón En Muros F'c=210kg/Cm²</t>
  </si>
  <si>
    <t>Hormigón Premezclado En Vigas F'c=210kg/Cm²</t>
  </si>
  <si>
    <t>Encofrado dintel descolgado perimetral</t>
  </si>
  <si>
    <t>Mampostería De Bloque E=15 Cm</t>
  </si>
  <si>
    <t>Masillado De Piso A Máquina</t>
  </si>
  <si>
    <t>Picado Y Corchado</t>
  </si>
  <si>
    <t>seccion</t>
  </si>
  <si>
    <t>insumo</t>
  </si>
  <si>
    <t>cantidad_rendimiento</t>
  </si>
  <si>
    <t>pu</t>
  </si>
  <si>
    <t>subtotal</t>
  </si>
  <si>
    <t>README — ESTÁNDAR DE APUs PARA SISTEMA DE PRESUPUESTACIÓN</t>
  </si>
  <si>
    <t>Fuente:</t>
  </si>
  <si>
    <t>Análisis comparativo de 3 obras ejecutadas (BUENO FERRO · PABLO ESPINOSA · MUÑOZ FREILE)</t>
  </si>
  <si>
    <t>Estado:</t>
  </si>
  <si>
    <t>93 APUs limpios con CU &gt; 0 (excluidos 11 sin datos, 1 sin código válido)</t>
  </si>
  <si>
    <t>Moneda:</t>
  </si>
  <si>
    <t>USD</t>
  </si>
  <si>
    <t>═══ HOJAS PARA CONSUMIR DESDE CLAUDE CODE ═══</t>
  </si>
  <si>
    <t>📄 APUs_Maestro</t>
  </si>
  <si>
    <t>1 fila por APU. Tabla Excel: tbl_apus_maestro</t>
  </si>
  <si>
    <t>📄 APUs_Items</t>
  </si>
  <si>
    <t>1 fila por insumo. Tabla Excel: tbl_apus_items</t>
  </si>
  <si>
    <t>Relación:</t>
  </si>
  <si>
    <t>APUs_Maestro.apu_codigo 1:N APUs_Items.apu_codigo (FK)</t>
  </si>
  <si>
    <t>═══ ESQUEMA: APUs_Maestro ═══</t>
  </si>
  <si>
    <t>Columna</t>
  </si>
  <si>
    <t>Tipo / Descripción</t>
  </si>
  <si>
    <t>STRING · PK · formato 'NN.NN.NN' (ej: 03.02.02)</t>
  </si>
  <si>
    <t>STRING · primer segmento del código (01-17)</t>
  </si>
  <si>
    <t>STRING · descripción técnica del rubro</t>
  </si>
  <si>
    <t>STRING · unidad de medida (m2, m3, ml, Glb, kg, etc.)</t>
  </si>
  <si>
    <t>FLOAT · Costo Unitario estándar propuesto (USD)</t>
  </si>
  <si>
    <t>FLOAT · CU observado en obra BUENO FERRO (0 si no ejecutó)</t>
  </si>
  <si>
    <t>FLOAT · CU observado en obra PABLO ESPINOSA</t>
  </si>
  <si>
    <t>FLOAT · CU observado en obra MUÑOZ FREILE</t>
  </si>
  <si>
    <t>INT · número de insumos que componen el APU</t>
  </si>
  <si>
    <t>INT · 1 si tiene sección MATERIALES, 0 si no</t>
  </si>
  <si>
    <t>INT · 1 si tiene sección MANO DE OBRA, 0 si no</t>
  </si>
  <si>
    <t>INT · 1 si tiene sección EQUIPO, 0 si no</t>
  </si>
  <si>
    <t>═══ ESQUEMA: APUs_Items ═══</t>
  </si>
  <si>
    <t>STRING · FK → APUs_Maestro.apu_codigo</t>
  </si>
  <si>
    <t>ENUM · 'MATERIALES' | 'MANO DE OBRA' | 'EQUIPO'</t>
  </si>
  <si>
    <t>STRING · descripción del insumo (nombre natural, puede unirse con BD Materiales/MO/Equipo)</t>
  </si>
  <si>
    <t>STRING · unidad del insumo</t>
  </si>
  <si>
    <t>FLOAT · cantidad del insumo por unidad del APU (rendimiento)</t>
  </si>
  <si>
    <t>FLOAT · precio unitario del insumo (USD)</t>
  </si>
  <si>
    <t>FLOAT · cantidad_rendimiento × pu (USD)</t>
  </si>
  <si>
    <t>═══ INVARIANTES VERIFICADOS ═══</t>
  </si>
  <si>
    <t>• SUM(subtotal) por apu_codigo ≈ cu_estandar</t>
  </si>
  <si>
    <t>• Todo apu_codigo en APUs_Items existe en APUs_Maestro</t>
  </si>
  <si>
    <t>• cu_estandar &gt; 0 para todos los 93 registros</t>
  </si>
  <si>
    <t>• No hay valores nulos en columnas clave (apu_codigo, descripcion, unidad, cu_estandar)</t>
  </si>
  <si>
    <t>═══ EJEMPLO DE LECTURA EN PYTHON ═══</t>
  </si>
  <si>
    <t>import pandas as pd</t>
  </si>
  <si>
    <t>apus  = pd.read_excel('archivo.xlsb', sheet_name='APUs_Maestro')</t>
  </si>
  <si>
    <t>items = pd.read_excel('archivo.xlsb', sheet_name='APUs_Items')</t>
  </si>
  <si>
    <t># Reconstruir APU completo:</t>
  </si>
  <si>
    <t>detalle = items[items.apu_codigo == '03.02.02']</t>
  </si>
  <si>
    <t>cu = detalle.subtotal.sum()  # ≈ apus[apus.apu_codigo=='03.02.02'].cu_estandar</t>
  </si>
  <si>
    <t>═══ NOTAS PARA EL SISTEMA DE PRESUPUESTACIÓN ═══</t>
  </si>
  <si>
    <t>• Para un presupuesto: usuario elige apu_codigo + ingresa 'cantidad'</t>
  </si>
  <si>
    <t>• Costo del rubro = cantidad × cu_estandar</t>
  </si>
  <si>
    <t>• Total presupuesto = SUM(costo_rubro)</t>
  </si>
  <si>
    <t>• Si quieres escalar precios, aplicar factor sobre 'pu' en APUs_Items y recalcular cu_estandar</t>
  </si>
  <si>
    <t>• Los insumos en APUs_Items se pueden unir por nombre con las hojas BD Materiales / BD Mano de Obra / BD Equipo del libro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</si>
</sst>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-* #,##0.00\ _€_-;\-* #,##0.00\ _€_-;_-* &quot;-&quot;??\ _€_-;_-@_-"/>
    <numFmt numFmtId="167" formatCode="_(&quot;$&quot;\ * #,##0.00_);_(&quot;$&quot;\ * \(#,##0.00\);_(&quot;$&quot;\ * &quot;-&quot;??_);_(@_)"/>
    <numFmt numFmtId="168" formatCode="_ * #,##0.0000_ ;_ * \-#,##0.0000_ ;_ * &quot;-&quot;??_ ;_ @_ "/>
    <numFmt numFmtId="169" formatCode="0.00000"/>
    <numFmt numFmtId="170" formatCode="0.0000"/>
    <numFmt numFmtId="171" formatCode="&quot;$&quot;#,##0.00"/>
    <numFmt numFmtId="173" formatCode="&quot;$&quot;#,##0.0000"/>
    <numFmt numFmtId="174" formatCode="#,##0.000000"/>
    <numFmt numFmtId="175" formatCode="#,##0.000000;\-#,##0.000000;&quot;&quot;"/>
    <numFmt numFmtId="176" formatCode="&quot;$&quot;#,##0.0000;\-&quot;$&quot;#,##0.0000;&quot;&quot;"/>
    <numFmt numFmtId="177" formatCode="&quot;$&quot;#,##0.00;\-&quot;$&quot;#,##0.00;&quot;&quot;"/>
    <numFmt numFmtId="178" formatCode="0.00000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b/>
      <sz val="13"/>
      <color theme="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vertAlign val="superscript"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b/>
      <sz val="18"/>
      <name val="Calibri"/>
      <family val="2"/>
    </font>
    <font>
      <b/>
      <vertAlign val="superscript"/>
      <sz val="12"/>
      <name val="Arial"/>
      <family val="2"/>
    </font>
    <font>
      <b/>
      <sz val="16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</font>
    <font>
      <b/>
      <sz val="1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2"/>
      <color rgb="FF385723"/>
      <name val="Calibri"/>
      <family val="2"/>
      <scheme val="minor"/>
    </font>
    <font>
      <sz val="11"/>
      <color theme="1"/>
      <name val="Consolas"/>
      <family val="3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0" fillId="2" borderId="0" xfId="0" applyFill="1"/>
    <xf numFmtId="0" fontId="3" fillId="3" borderId="1" xfId="1" applyNumberFormat="1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vertical="center"/>
    </xf>
    <xf numFmtId="43" fontId="4" fillId="4" borderId="3" xfId="1" applyFont="1" applyFill="1" applyBorder="1" applyAlignment="1">
      <alignment vertical="center"/>
    </xf>
    <xf numFmtId="43" fontId="5" fillId="5" borderId="4" xfId="1" applyFont="1" applyFill="1" applyBorder="1" applyAlignment="1">
      <alignment horizontal="right" vertical="center" wrapText="1"/>
    </xf>
    <xf numFmtId="43" fontId="3" fillId="3" borderId="1" xfId="1" applyFont="1" applyFill="1" applyBorder="1" applyAlignment="1">
      <alignment horizontal="center" vertical="center"/>
    </xf>
    <xf numFmtId="43" fontId="6" fillId="6" borderId="5" xfId="1" applyFont="1" applyFill="1" applyBorder="1" applyAlignment="1">
      <alignment horizontal="right" vertical="center"/>
    </xf>
    <xf numFmtId="166" fontId="7" fillId="6" borderId="6" xfId="4" applyFont="1" applyFill="1" applyBorder="1" applyAlignment="1">
      <alignment vertical="center"/>
    </xf>
    <xf numFmtId="166" fontId="7" fillId="6" borderId="3" xfId="4" applyFont="1" applyFill="1" applyBorder="1" applyAlignment="1">
      <alignment vertical="center"/>
    </xf>
    <xf numFmtId="167" fontId="8" fillId="0" borderId="7" xfId="2" applyFont="1" applyFill="1" applyBorder="1" applyAlignment="1">
      <alignment vertical="center" wrapText="1"/>
    </xf>
    <xf numFmtId="166" fontId="9" fillId="7" borderId="7" xfId="4" applyFont="1" applyFill="1" applyBorder="1" applyAlignment="1">
      <alignment horizontal="right" vertical="center" wrapText="1"/>
    </xf>
    <xf numFmtId="43" fontId="5" fillId="5" borderId="7" xfId="1" applyFont="1" applyFill="1" applyBorder="1" applyAlignment="1">
      <alignment horizontal="right" vertical="center" wrapText="1"/>
    </xf>
    <xf numFmtId="49" fontId="8" fillId="8" borderId="7" xfId="4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49" fontId="10" fillId="6" borderId="6" xfId="0" applyNumberFormat="1" applyFont="1" applyFill="1" applyBorder="1" applyAlignment="1">
      <alignment vertical="center" wrapText="1"/>
    </xf>
    <xf numFmtId="49" fontId="10" fillId="6" borderId="2" xfId="0" applyNumberFormat="1" applyFont="1" applyFill="1" applyBorder="1" applyAlignment="1">
      <alignment vertical="center" wrapText="1"/>
    </xf>
    <xf numFmtId="49" fontId="11" fillId="8" borderId="9" xfId="4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6" fontId="15" fillId="8" borderId="2" xfId="4" applyFont="1" applyFill="1" applyBorder="1" applyAlignment="1">
      <alignment horizontal="centerContinuous" vertical="center"/>
    </xf>
    <xf numFmtId="166" fontId="15" fillId="8" borderId="6" xfId="4" applyFont="1" applyFill="1" applyBorder="1" applyAlignment="1">
      <alignment horizontal="centerContinuous" vertical="center"/>
    </xf>
    <xf numFmtId="0" fontId="0" fillId="9" borderId="0" xfId="0" applyFill="1"/>
    <xf numFmtId="49" fontId="8" fillId="8" borderId="9" xfId="4" applyNumberFormat="1" applyFont="1" applyFill="1" applyBorder="1" applyAlignment="1">
      <alignment horizontal="center" vertical="center" wrapText="1"/>
    </xf>
    <xf numFmtId="43" fontId="0" fillId="0" borderId="0" xfId="1" applyFont="1"/>
    <xf numFmtId="166" fontId="9" fillId="0" borderId="7" xfId="4" applyFont="1" applyFill="1" applyBorder="1" applyAlignment="1">
      <alignment horizontal="right" vertical="center" wrapText="1"/>
    </xf>
    <xf numFmtId="9" fontId="0" fillId="0" borderId="0" xfId="3" applyFont="1" applyAlignment="1">
      <alignment horizontal="center" vertical="center"/>
    </xf>
    <xf numFmtId="166" fontId="15" fillId="8" borderId="3" xfId="4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43" fontId="11" fillId="10" borderId="10" xfId="1" applyFont="1" applyFill="1" applyBorder="1" applyAlignment="1">
      <alignment horizontal="center" vertical="center" wrapText="1"/>
    </xf>
    <xf numFmtId="43" fontId="4" fillId="10" borderId="10" xfId="1" applyFont="1" applyFill="1" applyBorder="1" applyAlignment="1">
      <alignment horizontal="center" vertical="center" wrapText="1"/>
    </xf>
    <xf numFmtId="43" fontId="5" fillId="5" borderId="12" xfId="1" applyFont="1" applyFill="1" applyBorder="1" applyAlignment="1">
      <alignment horizontal="right" vertical="center" wrapText="1"/>
    </xf>
    <xf numFmtId="166" fontId="11" fillId="10" borderId="10" xfId="4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43" fontId="5" fillId="5" borderId="9" xfId="1" applyFont="1" applyFill="1" applyBorder="1" applyAlignment="1">
      <alignment horizontal="right" vertical="center" wrapText="1"/>
    </xf>
    <xf numFmtId="43" fontId="0" fillId="0" borderId="0" xfId="0" applyNumberFormat="1"/>
    <xf numFmtId="2" fontId="3" fillId="3" borderId="1" xfId="1" applyNumberFormat="1" applyFont="1" applyFill="1" applyBorder="1" applyAlignment="1">
      <alignment horizontal="center" vertical="center"/>
    </xf>
    <xf numFmtId="166" fontId="9" fillId="2" borderId="7" xfId="4" applyFont="1" applyFill="1" applyBorder="1" applyAlignment="1">
      <alignment horizontal="right" vertical="center" wrapText="1"/>
    </xf>
    <xf numFmtId="0" fontId="5" fillId="0" borderId="7" xfId="0" applyFont="1" applyBorder="1" applyAlignment="1">
      <alignment vertical="center"/>
    </xf>
    <xf numFmtId="167" fontId="8" fillId="12" borderId="7" xfId="2" applyFont="1" applyFill="1" applyBorder="1" applyAlignment="1">
      <alignment vertical="center" wrapText="1"/>
    </xf>
    <xf numFmtId="0" fontId="22" fillId="13" borderId="13" xfId="0" applyFont="1" applyFill="1" applyBorder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12" borderId="0" xfId="0" applyNumberFormat="1" applyFill="1" applyAlignment="1">
      <alignment horizontal="center"/>
    </xf>
    <xf numFmtId="164" fontId="0" fillId="0" borderId="0" xfId="0" applyNumberFormat="1"/>
    <xf numFmtId="169" fontId="0" fillId="12" borderId="0" xfId="0" applyNumberForma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12" borderId="0" xfId="0" applyNumberFormat="1" applyFill="1" applyAlignment="1">
      <alignment horizontal="center" vertical="center"/>
    </xf>
    <xf numFmtId="168" fontId="0" fillId="12" borderId="0" xfId="0" applyNumberFormat="1" applyFill="1" applyAlignment="1">
      <alignment vertical="center"/>
    </xf>
    <xf numFmtId="168" fontId="0" fillId="12" borderId="0" xfId="0" applyNumberFormat="1" applyFill="1"/>
    <xf numFmtId="170" fontId="0" fillId="0" borderId="0" xfId="0" applyNumberFormat="1" applyAlignment="1">
      <alignment horizontal="center"/>
    </xf>
    <xf numFmtId="170" fontId="0" fillId="12" borderId="0" xfId="0" applyNumberFormat="1" applyFill="1" applyAlignment="1">
      <alignment horizontal="center"/>
    </xf>
    <xf numFmtId="170" fontId="0" fillId="1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70" fontId="0" fillId="0" borderId="0" xfId="0" applyNumberFormat="1"/>
    <xf numFmtId="169" fontId="0" fillId="0" borderId="0" xfId="0" applyNumberFormat="1" applyAlignment="1">
      <alignment horizontal="center" vertical="center"/>
    </xf>
    <xf numFmtId="43" fontId="4" fillId="4" borderId="3" xfId="1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left" vertical="center" wrapText="1"/>
    </xf>
    <xf numFmtId="49" fontId="10" fillId="6" borderId="2" xfId="0" applyNumberFormat="1" applyFont="1" applyFill="1" applyBorder="1" applyAlignment="1">
      <alignment horizontal="left" vertical="center" wrapText="1"/>
    </xf>
    <xf numFmtId="166" fontId="7" fillId="6" borderId="3" xfId="4" applyFont="1" applyFill="1" applyBorder="1" applyAlignment="1">
      <alignment horizontal="center" vertical="center"/>
    </xf>
    <xf numFmtId="166" fontId="7" fillId="6" borderId="2" xfId="4" applyFont="1" applyFill="1" applyBorder="1" applyAlignment="1">
      <alignment horizontal="center" vertical="center"/>
    </xf>
    <xf numFmtId="166" fontId="7" fillId="6" borderId="6" xfId="4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6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7" fillId="11" borderId="6" xfId="0" applyFont="1" applyFill="1" applyBorder="1" applyAlignment="1">
      <alignment horizontal="center"/>
    </xf>
    <xf numFmtId="9" fontId="0" fillId="0" borderId="0" xfId="0" applyNumberFormat="1"/>
    <xf numFmtId="0" fontId="0" fillId="0" borderId="0" xfId="0"/>
    <xf numFmtId="0" fontId="23" fillId="14" borderId="0" xfId="0" applyFont="1" applyFill="1" applyAlignment="1">
      <alignment horizontal="center"/>
    </xf>
    <xf numFmtId="0" fontId="24" fillId="0" borderId="0" xfId="0" applyFont="1"/>
    <xf numFmtId="0" fontId="2" fillId="16" borderId="14" xfId="0" applyFont="1" applyFill="1" applyBorder="1"/>
    <xf numFmtId="171" fontId="2" fillId="16" borderId="14" xfId="0" applyNumberFormat="1" applyFont="1" applyFill="1" applyBorder="1"/>
    <xf numFmtId="0" fontId="0" fillId="17" borderId="14" xfId="0" applyFill="1" applyBorder="1"/>
    <xf numFmtId="171" fontId="0" fillId="17" borderId="14" xfId="0" applyNumberFormat="1" applyFill="1" applyBorder="1"/>
    <xf numFmtId="9" fontId="0" fillId="17" borderId="14" xfId="0" applyNumberFormat="1" applyFill="1" applyBorder="1"/>
    <xf numFmtId="0" fontId="0" fillId="18" borderId="14" xfId="0" applyFill="1" applyBorder="1"/>
    <xf numFmtId="171" fontId="0" fillId="18" borderId="14" xfId="0" applyNumberFormat="1" applyFill="1" applyBorder="1"/>
    <xf numFmtId="9" fontId="0" fillId="18" borderId="14" xfId="0" applyNumberFormat="1" applyFill="1" applyBorder="1"/>
    <xf numFmtId="0" fontId="0" fillId="19" borderId="14" xfId="0" applyFill="1" applyBorder="1"/>
    <xf numFmtId="171" fontId="0" fillId="19" borderId="14" xfId="0" applyNumberFormat="1" applyFill="1" applyBorder="1"/>
    <xf numFmtId="9" fontId="0" fillId="19" borderId="14" xfId="0" applyNumberFormat="1" applyFill="1" applyBorder="1"/>
    <xf numFmtId="0" fontId="2" fillId="15" borderId="14" xfId="0" applyFont="1" applyFill="1" applyBorder="1"/>
    <xf numFmtId="0" fontId="25" fillId="14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20" borderId="0" xfId="0" applyFont="1" applyFill="1"/>
    <xf numFmtId="0" fontId="29" fillId="21" borderId="0" xfId="0" applyFont="1" applyFill="1"/>
    <xf numFmtId="0" fontId="2" fillId="22" borderId="15" xfId="0" applyFont="1" applyFill="1" applyBorder="1"/>
    <xf numFmtId="0" fontId="2" fillId="23" borderId="15" xfId="0" applyFont="1" applyFill="1" applyBorder="1"/>
    <xf numFmtId="0" fontId="28" fillId="15" borderId="0" xfId="0" applyFont="1" applyFill="1"/>
    <xf numFmtId="0" fontId="2" fillId="24" borderId="16" xfId="0" applyFont="1" applyFill="1" applyBorder="1"/>
    <xf numFmtId="0" fontId="0" fillId="23" borderId="0" xfId="0" applyFill="1"/>
    <xf numFmtId="0" fontId="0" fillId="16" borderId="0" xfId="0" applyFill="1"/>
    <xf numFmtId="173" fontId="27" fillId="20" borderId="0" xfId="0" applyNumberFormat="1" applyFont="1" applyFill="1"/>
    <xf numFmtId="173" fontId="2" fillId="22" borderId="15" xfId="0" applyNumberFormat="1" applyFont="1" applyFill="1" applyBorder="1"/>
    <xf numFmtId="173" fontId="28" fillId="15" borderId="0" xfId="0" applyNumberFormat="1" applyFont="1" applyFill="1"/>
    <xf numFmtId="173" fontId="0" fillId="0" borderId="0" xfId="0" applyNumberFormat="1"/>
    <xf numFmtId="173" fontId="2" fillId="24" borderId="16" xfId="0" applyNumberFormat="1" applyFont="1" applyFill="1" applyBorder="1"/>
    <xf numFmtId="173" fontId="0" fillId="23" borderId="0" xfId="0" applyNumberFormat="1" applyFill="1"/>
    <xf numFmtId="173" fontId="0" fillId="16" borderId="0" xfId="0" applyNumberFormat="1" applyFill="1"/>
    <xf numFmtId="173" fontId="2" fillId="23" borderId="15" xfId="0" applyNumberFormat="1" applyFont="1" applyFill="1" applyBorder="1"/>
    <xf numFmtId="173" fontId="29" fillId="21" borderId="0" xfId="0" applyNumberFormat="1" applyFont="1" applyFill="1"/>
    <xf numFmtId="171" fontId="0" fillId="0" borderId="0" xfId="0" applyNumberFormat="1"/>
    <xf numFmtId="171" fontId="0" fillId="23" borderId="0" xfId="0" applyNumberFormat="1" applyFill="1"/>
    <xf numFmtId="171" fontId="0" fillId="16" borderId="0" xfId="0" applyNumberFormat="1" applyFill="1"/>
    <xf numFmtId="4" fontId="27" fillId="20" borderId="0" xfId="0" applyNumberFormat="1" applyFont="1" applyFill="1"/>
    <xf numFmtId="4" fontId="2" fillId="22" borderId="15" xfId="0" applyNumberFormat="1" applyFont="1" applyFill="1" applyBorder="1"/>
    <xf numFmtId="4" fontId="28" fillId="15" borderId="0" xfId="0" applyNumberFormat="1" applyFont="1" applyFill="1"/>
    <xf numFmtId="4" fontId="0" fillId="0" borderId="0" xfId="0" applyNumberFormat="1"/>
    <xf numFmtId="4" fontId="2" fillId="24" borderId="16" xfId="0" applyNumberFormat="1" applyFont="1" applyFill="1" applyBorder="1"/>
    <xf numFmtId="4" fontId="0" fillId="23" borderId="0" xfId="0" applyNumberFormat="1" applyFill="1"/>
    <xf numFmtId="4" fontId="0" fillId="16" borderId="0" xfId="0" applyNumberFormat="1" applyFill="1"/>
    <xf numFmtId="4" fontId="2" fillId="23" borderId="15" xfId="0" applyNumberFormat="1" applyFont="1" applyFill="1" applyBorder="1"/>
    <xf numFmtId="4" fontId="29" fillId="21" borderId="0" xfId="0" applyNumberFormat="1" applyFont="1" applyFill="1"/>
    <xf numFmtId="16" fontId="0" fillId="0" borderId="0" xfId="0" applyNumberFormat="1"/>
    <xf numFmtId="0" fontId="30" fillId="20" borderId="0" xfId="0" applyFont="1" applyFill="1"/>
    <xf numFmtId="0" fontId="30" fillId="21" borderId="0" xfId="0" applyFont="1" applyFill="1"/>
    <xf numFmtId="16" fontId="0" fillId="16" borderId="0" xfId="0" applyNumberFormat="1" applyFill="1"/>
    <xf numFmtId="9" fontId="0" fillId="16" borderId="0" xfId="0" applyNumberFormat="1" applyFill="1"/>
    <xf numFmtId="16" fontId="0" fillId="23" borderId="0" xfId="0" applyNumberFormat="1" applyFill="1"/>
    <xf numFmtId="171" fontId="30" fillId="21" borderId="0" xfId="0" applyNumberFormat="1" applyFont="1" applyFill="1"/>
    <xf numFmtId="0" fontId="30" fillId="20" borderId="17" xfId="0" applyFont="1" applyFill="1" applyBorder="1"/>
    <xf numFmtId="171" fontId="30" fillId="21" borderId="17" xfId="0" applyNumberFormat="1" applyFont="1" applyFill="1" applyBorder="1"/>
    <xf numFmtId="171" fontId="2" fillId="16" borderId="17" xfId="0" applyNumberFormat="1" applyFont="1" applyFill="1" applyBorder="1"/>
    <xf numFmtId="171" fontId="2" fillId="0" borderId="17" xfId="0" applyNumberFormat="1" applyFont="1" applyBorder="1"/>
    <xf numFmtId="171" fontId="2" fillId="23" borderId="17" xfId="0" applyNumberFormat="1" applyFont="1" applyFill="1" applyBorder="1"/>
    <xf numFmtId="0" fontId="24" fillId="23" borderId="0" xfId="0" applyFont="1" applyFill="1" applyAlignment="1">
      <alignment horizontal="center"/>
    </xf>
    <xf numFmtId="0" fontId="0" fillId="23" borderId="14" xfId="0" applyFill="1" applyBorder="1"/>
    <xf numFmtId="173" fontId="31" fillId="19" borderId="14" xfId="0" applyNumberFormat="1" applyFont="1" applyFill="1" applyBorder="1"/>
    <xf numFmtId="173" fontId="0" fillId="23" borderId="14" xfId="0" applyNumberFormat="1" applyFill="1" applyBorder="1"/>
    <xf numFmtId="0" fontId="0" fillId="0" borderId="14" xfId="0" applyBorder="1"/>
    <xf numFmtId="173" fontId="0" fillId="0" borderId="14" xfId="0" applyNumberFormat="1" applyBorder="1"/>
    <xf numFmtId="0" fontId="0" fillId="16" borderId="14" xfId="0" applyFill="1" applyBorder="1"/>
    <xf numFmtId="173" fontId="0" fillId="16" borderId="14" xfId="0" applyNumberFormat="1" applyFill="1" applyBorder="1"/>
    <xf numFmtId="0" fontId="30" fillId="20" borderId="14" xfId="0" applyFont="1" applyFill="1" applyBorder="1"/>
    <xf numFmtId="174" fontId="31" fillId="19" borderId="0" xfId="0" applyNumberFormat="1" applyFont="1" applyFill="1"/>
    <xf numFmtId="0" fontId="32" fillId="0" borderId="0" xfId="0" applyFont="1"/>
    <xf numFmtId="175" fontId="27" fillId="20" borderId="0" xfId="0" applyNumberFormat="1" applyFont="1" applyFill="1"/>
    <xf numFmtId="175" fontId="2" fillId="22" borderId="15" xfId="0" applyNumberFormat="1" applyFont="1" applyFill="1" applyBorder="1"/>
    <xf numFmtId="175" fontId="28" fillId="15" borderId="0" xfId="0" applyNumberFormat="1" applyFont="1" applyFill="1"/>
    <xf numFmtId="175" fontId="0" fillId="0" borderId="0" xfId="0" applyNumberFormat="1"/>
    <xf numFmtId="175" fontId="2" fillId="24" borderId="16" xfId="0" applyNumberFormat="1" applyFont="1" applyFill="1" applyBorder="1"/>
    <xf numFmtId="175" fontId="0" fillId="23" borderId="0" xfId="0" applyNumberFormat="1" applyFill="1"/>
    <xf numFmtId="175" fontId="0" fillId="16" borderId="0" xfId="0" applyNumberFormat="1" applyFill="1"/>
    <xf numFmtId="175" fontId="2" fillId="23" borderId="15" xfId="0" applyNumberFormat="1" applyFont="1" applyFill="1" applyBorder="1"/>
    <xf numFmtId="175" fontId="29" fillId="21" borderId="0" xfId="0" applyNumberFormat="1" applyFont="1" applyFill="1"/>
    <xf numFmtId="176" fontId="27" fillId="20" borderId="0" xfId="0" applyNumberFormat="1" applyFont="1" applyFill="1"/>
    <xf numFmtId="176" fontId="2" fillId="22" borderId="15" xfId="0" applyNumberFormat="1" applyFont="1" applyFill="1" applyBorder="1"/>
    <xf numFmtId="176" fontId="28" fillId="15" borderId="0" xfId="0" applyNumberFormat="1" applyFont="1" applyFill="1"/>
    <xf numFmtId="176" fontId="0" fillId="0" borderId="0" xfId="0" applyNumberFormat="1"/>
    <xf numFmtId="176" fontId="2" fillId="24" borderId="16" xfId="0" applyNumberFormat="1" applyFont="1" applyFill="1" applyBorder="1"/>
    <xf numFmtId="176" fontId="0" fillId="23" borderId="0" xfId="0" applyNumberFormat="1" applyFill="1"/>
    <xf numFmtId="176" fontId="0" fillId="16" borderId="0" xfId="0" applyNumberFormat="1" applyFill="1"/>
    <xf numFmtId="176" fontId="2" fillId="23" borderId="15" xfId="0" applyNumberFormat="1" applyFont="1" applyFill="1" applyBorder="1"/>
    <xf numFmtId="176" fontId="29" fillId="21" borderId="0" xfId="0" applyNumberFormat="1" applyFont="1" applyFill="1"/>
    <xf numFmtId="177" fontId="27" fillId="20" borderId="0" xfId="0" applyNumberFormat="1" applyFont="1" applyFill="1"/>
    <xf numFmtId="177" fontId="2" fillId="22" borderId="15" xfId="0" applyNumberFormat="1" applyFont="1" applyFill="1" applyBorder="1"/>
    <xf numFmtId="177" fontId="28" fillId="15" borderId="0" xfId="0" applyNumberFormat="1" applyFont="1" applyFill="1"/>
    <xf numFmtId="177" fontId="0" fillId="0" borderId="0" xfId="0" applyNumberFormat="1"/>
    <xf numFmtId="177" fontId="33" fillId="24" borderId="16" xfId="0" applyNumberFormat="1" applyFont="1" applyFill="1" applyBorder="1"/>
    <xf numFmtId="177" fontId="0" fillId="23" borderId="0" xfId="0" applyNumberFormat="1" applyFill="1"/>
    <xf numFmtId="177" fontId="0" fillId="16" borderId="0" xfId="0" applyNumberFormat="1" applyFill="1"/>
    <xf numFmtId="177" fontId="2" fillId="23" borderId="15" xfId="0" applyNumberFormat="1" applyFont="1" applyFill="1" applyBorder="1"/>
    <xf numFmtId="177" fontId="29" fillId="21" borderId="0" xfId="0" applyNumberFormat="1" applyFont="1" applyFill="1"/>
    <xf numFmtId="43" fontId="30" fillId="20" borderId="14" xfId="1" applyFont="1" applyFill="1" applyBorder="1"/>
    <xf numFmtId="43" fontId="31" fillId="19" borderId="14" xfId="1" applyFont="1" applyFill="1" applyBorder="1"/>
    <xf numFmtId="173" fontId="31" fillId="19" borderId="0" xfId="1" applyNumberFormat="1" applyFont="1" applyFill="1"/>
    <xf numFmtId="0" fontId="2" fillId="17" borderId="15" xfId="0" applyFont="1" applyFill="1" applyBorder="1"/>
    <xf numFmtId="175" fontId="2" fillId="17" borderId="15" xfId="0" applyNumberFormat="1" applyFont="1" applyFill="1" applyBorder="1"/>
    <xf numFmtId="176" fontId="2" fillId="17" borderId="15" xfId="0" applyNumberFormat="1" applyFont="1" applyFill="1" applyBorder="1"/>
    <xf numFmtId="177" fontId="2" fillId="17" borderId="15" xfId="0" applyNumberFormat="1" applyFont="1" applyFill="1" applyBorder="1"/>
    <xf numFmtId="4" fontId="2" fillId="17" borderId="15" xfId="0" applyNumberFormat="1" applyFont="1" applyFill="1" applyBorder="1"/>
    <xf numFmtId="173" fontId="2" fillId="17" borderId="15" xfId="0" applyNumberFormat="1" applyFont="1" applyFill="1" applyBorder="1"/>
    <xf numFmtId="0" fontId="2" fillId="17" borderId="16" xfId="0" applyFont="1" applyFill="1" applyBorder="1"/>
    <xf numFmtId="175" fontId="2" fillId="17" borderId="16" xfId="0" applyNumberFormat="1" applyFont="1" applyFill="1" applyBorder="1"/>
    <xf numFmtId="176" fontId="2" fillId="17" borderId="16" xfId="0" applyNumberFormat="1" applyFont="1" applyFill="1" applyBorder="1"/>
    <xf numFmtId="177" fontId="33" fillId="17" borderId="16" xfId="0" applyNumberFormat="1" applyFont="1" applyFill="1" applyBorder="1"/>
    <xf numFmtId="4" fontId="2" fillId="17" borderId="16" xfId="0" applyNumberFormat="1" applyFont="1" applyFill="1" applyBorder="1"/>
    <xf numFmtId="173" fontId="2" fillId="17" borderId="16" xfId="0" applyNumberFormat="1" applyFont="1" applyFill="1" applyBorder="1"/>
    <xf numFmtId="0" fontId="0" fillId="0" borderId="0" xfId="0" applyAlignment="1">
      <alignment vertical="top" wrapText="1"/>
    </xf>
    <xf numFmtId="0" fontId="25" fillId="1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4" fillId="15" borderId="0" xfId="0" applyFont="1" applyFill="1" applyAlignment="1">
      <alignment horizontal="center" vertical="top" wrapText="1"/>
    </xf>
    <xf numFmtId="0" fontId="2" fillId="23" borderId="14" xfId="0" applyFont="1" applyFill="1" applyBorder="1" applyAlignment="1">
      <alignment vertical="top" wrapText="1"/>
    </xf>
    <xf numFmtId="0" fontId="2" fillId="19" borderId="14" xfId="0" applyFont="1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30" fillId="20" borderId="14" xfId="0" applyFont="1" applyFill="1" applyBorder="1" applyAlignment="1">
      <alignment vertical="top" wrapText="1"/>
    </xf>
    <xf numFmtId="0" fontId="23" fillId="20" borderId="14" xfId="0" applyFont="1" applyFill="1" applyBorder="1" applyAlignment="1">
      <alignment horizontal="center" vertical="top" wrapText="1"/>
    </xf>
    <xf numFmtId="0" fontId="0" fillId="23" borderId="14" xfId="0" applyFill="1" applyBorder="1" applyAlignment="1">
      <alignment vertical="top" wrapText="1"/>
    </xf>
    <xf numFmtId="0" fontId="0" fillId="19" borderId="14" xfId="0" applyFill="1" applyBorder="1" applyAlignment="1">
      <alignment vertical="top" wrapText="1"/>
    </xf>
    <xf numFmtId="178" fontId="0" fillId="0" borderId="0" xfId="0" applyNumberFormat="1"/>
    <xf numFmtId="0" fontId="23" fillId="14" borderId="0" xfId="0" applyFont="1" applyFill="1" applyAlignment="1">
      <alignment vertical="top" wrapText="1"/>
    </xf>
    <xf numFmtId="0" fontId="30" fillId="20" borderId="0" xfId="0" applyFont="1" applyFill="1" applyAlignment="1">
      <alignment vertical="top" wrapText="1"/>
    </xf>
    <xf numFmtId="0" fontId="2" fillId="15" borderId="0" xfId="0" applyFont="1" applyFill="1" applyAlignment="1">
      <alignment vertical="top" wrapText="1"/>
    </xf>
    <xf numFmtId="0" fontId="34" fillId="25" borderId="0" xfId="0" applyFont="1" applyFill="1" applyAlignment="1">
      <alignment vertical="top" wrapText="1"/>
    </xf>
  </cellXfs>
  <cellStyles count="5">
    <cellStyle name="Millares" xfId="1" builtinId="3"/>
    <cellStyle name="Millares 2" xfId="4" xr:uid="{1B746E2A-26A9-410F-91C3-58E2A7226460}"/>
    <cellStyle name="Moneda" xfId="2" builtinId="4"/>
    <cellStyle name="Normal" xfId="0" builtinId="0"/>
    <cellStyle name="Porcentaje" xfId="3" builtinId="5"/>
  </cellStyles>
  <dxfs count="1629">
    <dxf>
      <numFmt numFmtId="173" formatCode="&quot;$&quot;#,##0.0000"/>
    </dxf>
    <dxf>
      <numFmt numFmtId="173" formatCode="&quot;$&quot;#,##0.0000"/>
    </dxf>
    <dxf>
      <numFmt numFmtId="178" formatCode="0.00000000"/>
    </dxf>
    <dxf>
      <numFmt numFmtId="173" formatCode="&quot;$&quot;#,##0.0000"/>
    </dxf>
    <dxf>
      <numFmt numFmtId="173" formatCode="&quot;$&quot;#,##0.0000"/>
    </dxf>
    <dxf>
      <numFmt numFmtId="173" formatCode="&quot;$&quot;#,##0.0000"/>
    </dxf>
    <dxf>
      <numFmt numFmtId="173" formatCode="&quot;$&quot;#,##0.0000"/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FF00"/>
        </patternFill>
      </fill>
    </dxf>
    <dxf>
      <fill>
        <patternFill>
          <bgColor rgb="FFDCE6F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4266F-54C3-4FB7-B94C-B8F50345AD28}" name="tbl_apus_maestro" displayName="tbl_apus_maestro" ref="A1:L94" totalsRowShown="0">
  <autoFilter ref="A1:L94" xr:uid="{3364266F-54C3-4FB7-B94C-B8F50345AD28}"/>
  <tableColumns count="12">
    <tableColumn id="1" xr3:uid="{B283F85E-1C9C-47DA-AFAA-30F0FB860DE4}" name="apu_codigo"/>
    <tableColumn id="2" xr3:uid="{36065462-709F-4A35-9F09-076A7A3B0658}" name="capitulo"/>
    <tableColumn id="3" xr3:uid="{D973E073-8A9B-44BF-AE82-DB7E28FBCD4B}" name="descripcion"/>
    <tableColumn id="4" xr3:uid="{2DC2F524-F44D-4CD8-A683-69CE453E8515}" name="unidad"/>
    <tableColumn id="5" xr3:uid="{7C3ED51A-5343-4919-A20F-67F368A3AA99}" name="cu_estandar" dataDxfId="6"/>
    <tableColumn id="6" xr3:uid="{1A7123E1-AF58-4DBB-BCC7-652BDC08B8C9}" name="cu_bf" dataDxfId="5"/>
    <tableColumn id="7" xr3:uid="{381599A7-1F0B-4923-8BDC-2CACE140BBFA}" name="cu_pe" dataDxfId="4"/>
    <tableColumn id="8" xr3:uid="{25DE0A5A-3A99-4BAF-A170-ABB718BCBCFB}" name="cu_mf" dataDxfId="3"/>
    <tableColumn id="9" xr3:uid="{F6D933F1-C49C-45DF-AA6E-7ADF8668CD94}" name="items_count"/>
    <tableColumn id="10" xr3:uid="{9E1455D5-DAF0-4EFA-8F29-611E5CFF83D9}" name="has_materiales"/>
    <tableColumn id="11" xr3:uid="{3FAB1000-E924-4B6B-BFB6-B0DB5084952F}" name="has_mano_obra"/>
    <tableColumn id="12" xr3:uid="{9A3F483F-1FE3-496A-A119-8064BEDD469B}" name="has_equ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0D3527-B5B5-40A9-8CBF-2B5923702F69}" name="tbl_apus_items" displayName="tbl_apus_items" ref="A1:G605" totalsRowShown="0">
  <autoFilter ref="A1:G605" xr:uid="{160D3527-B5B5-40A9-8CBF-2B5923702F69}"/>
  <tableColumns count="7">
    <tableColumn id="1" xr3:uid="{5A57378E-4D83-4668-889F-B24ADD4A1861}" name="apu_codigo"/>
    <tableColumn id="2" xr3:uid="{C4A27511-C4B9-419A-A507-13B72A1B2E6F}" name="seccion"/>
    <tableColumn id="3" xr3:uid="{20925EDD-74BD-4E35-8516-0FD80659C4E9}" name="insumo"/>
    <tableColumn id="4" xr3:uid="{9BF5F43C-5F97-4F5A-8333-C7584F94D8A6}" name="unidad"/>
    <tableColumn id="5" xr3:uid="{C15C8F15-868A-4329-AECD-D18779D0CC6E}" name="cantidad_rendimiento" dataDxfId="2"/>
    <tableColumn id="6" xr3:uid="{8EA25B39-A253-4A01-98C8-A7089FB3CC7A}" name="pu" dataDxfId="1"/>
    <tableColumn id="7" xr3:uid="{B204EAC3-DE2B-434F-8853-224ED62F9113}" name="sub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7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21543-963E-4F7D-8920-716F4A0BB24A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a795b5aa-7799-475c-acc4-cbcd35ad8b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5627-D4F7-4CFA-8E42-B6CD0479D6A2}">
  <dimension ref="A1:T2263"/>
  <sheetViews>
    <sheetView topLeftCell="A442" zoomScale="80" zoomScaleNormal="80" workbookViewId="0">
      <selection activeCell="R12" sqref="R12"/>
    </sheetView>
  </sheetViews>
  <sheetFormatPr baseColWidth="10" defaultRowHeight="15" x14ac:dyDescent="0.25"/>
  <cols>
    <col min="1" max="1" width="11" customWidth="1"/>
    <col min="2" max="2" width="58.85546875" customWidth="1"/>
    <col min="3" max="3" width="11.42578125" bestFit="1" customWidth="1"/>
    <col min="4" max="4" width="0.85546875" customWidth="1"/>
    <col min="5" max="5" width="13.85546875" bestFit="1" customWidth="1"/>
    <col min="6" max="6" width="12.140625" customWidth="1"/>
    <col min="7" max="7" width="15.28515625" bestFit="1" customWidth="1"/>
    <col min="8" max="8" width="0.85546875" customWidth="1"/>
    <col min="9" max="9" width="13.85546875" bestFit="1" customWidth="1"/>
    <col min="10" max="10" width="14" customWidth="1"/>
    <col min="11" max="11" width="15.28515625" customWidth="1"/>
    <col min="12" max="12" width="0.85546875" customWidth="1"/>
    <col min="13" max="13" width="13.85546875" bestFit="1" customWidth="1"/>
    <col min="14" max="14" width="12" customWidth="1"/>
    <col min="15" max="15" width="17" bestFit="1" customWidth="1"/>
    <col min="16" max="16" width="0.85546875" customWidth="1"/>
    <col min="17" max="17" width="14.85546875" style="45" bestFit="1" customWidth="1"/>
  </cols>
  <sheetData>
    <row r="1" spans="1:17" ht="21" thickBot="1" x14ac:dyDescent="0.35">
      <c r="D1" s="37"/>
      <c r="E1" s="70" t="s">
        <v>505</v>
      </c>
      <c r="F1" s="71"/>
      <c r="G1" s="72"/>
      <c r="H1" s="33"/>
      <c r="I1" s="73" t="s">
        <v>504</v>
      </c>
      <c r="J1" s="74"/>
      <c r="K1" s="75"/>
      <c r="L1" s="33"/>
      <c r="M1" s="67" t="s">
        <v>503</v>
      </c>
      <c r="N1" s="68"/>
      <c r="O1" s="69"/>
      <c r="P1" s="33"/>
      <c r="Q1" s="43" t="s">
        <v>592</v>
      </c>
    </row>
    <row r="2" spans="1:17" ht="36" customHeight="1" thickBot="1" x14ac:dyDescent="0.3">
      <c r="A2" s="36" t="s">
        <v>502</v>
      </c>
      <c r="B2" s="35" t="s">
        <v>501</v>
      </c>
      <c r="C2" s="34" t="s">
        <v>500</v>
      </c>
      <c r="D2" s="33"/>
      <c r="E2" s="31" t="s">
        <v>499</v>
      </c>
      <c r="F2" s="32" t="s">
        <v>498</v>
      </c>
      <c r="G2" s="31" t="s">
        <v>497</v>
      </c>
      <c r="H2" s="33"/>
      <c r="I2" s="31" t="s">
        <v>499</v>
      </c>
      <c r="J2" s="32" t="s">
        <v>498</v>
      </c>
      <c r="K2" s="31" t="s">
        <v>497</v>
      </c>
      <c r="L2" s="33"/>
      <c r="M2" s="31" t="s">
        <v>499</v>
      </c>
      <c r="N2" s="32" t="s">
        <v>498</v>
      </c>
      <c r="O2" s="31" t="s">
        <v>497</v>
      </c>
      <c r="P2" s="33"/>
      <c r="Q2" s="31" t="s">
        <v>593</v>
      </c>
    </row>
    <row r="3" spans="1:17" ht="15.75" thickBot="1" x14ac:dyDescent="0.3"/>
    <row r="4" spans="1:17" ht="24" thickBot="1" x14ac:dyDescent="0.3">
      <c r="A4" s="29" t="s">
        <v>495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22"/>
    </row>
    <row r="5" spans="1:17" ht="15.75" thickBot="1" x14ac:dyDescent="0.3">
      <c r="N5" s="30" t="s">
        <v>496</v>
      </c>
    </row>
    <row r="6" spans="1:17" ht="32.25" thickBot="1" x14ac:dyDescent="0.3">
      <c r="A6" s="20" t="s">
        <v>494</v>
      </c>
      <c r="B6" s="19" t="s">
        <v>493</v>
      </c>
      <c r="C6" s="18" t="s">
        <v>88</v>
      </c>
      <c r="N6" s="28">
        <v>0</v>
      </c>
    </row>
    <row r="7" spans="1:17" ht="15.75" thickBot="1" x14ac:dyDescent="0.3"/>
    <row r="8" spans="1:17" ht="16.5" thickBot="1" x14ac:dyDescent="0.3">
      <c r="A8" s="62" t="s">
        <v>11</v>
      </c>
      <c r="B8" s="63"/>
      <c r="C8" s="63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17"/>
    </row>
    <row r="9" spans="1:17" x14ac:dyDescent="0.25">
      <c r="A9" s="15"/>
      <c r="B9" s="14"/>
      <c r="C9" s="13"/>
      <c r="D9" s="12"/>
      <c r="E9" s="11"/>
      <c r="F9" s="10"/>
      <c r="G9" s="10">
        <f>+E9*F9</f>
        <v>0</v>
      </c>
      <c r="H9" s="12"/>
      <c r="I9" s="11"/>
      <c r="J9" s="10"/>
      <c r="K9" s="10">
        <f>+I9*J9</f>
        <v>0</v>
      </c>
      <c r="L9" s="12"/>
      <c r="M9" s="11"/>
      <c r="N9" s="10"/>
      <c r="O9" s="10">
        <f>+M9*N9</f>
        <v>0</v>
      </c>
      <c r="P9" s="12"/>
    </row>
    <row r="10" spans="1:17" ht="15.75" thickBot="1" x14ac:dyDescent="0.3">
      <c r="A10" s="15"/>
      <c r="B10" s="14"/>
      <c r="C10" s="13"/>
      <c r="D10" s="12"/>
      <c r="E10" s="11"/>
      <c r="F10" s="10"/>
      <c r="G10" s="10">
        <f>+E10*F10</f>
        <v>0</v>
      </c>
      <c r="H10" s="12"/>
      <c r="I10" s="11"/>
      <c r="J10" s="10"/>
      <c r="K10" s="10">
        <f>+I10*J10</f>
        <v>0</v>
      </c>
      <c r="L10" s="12"/>
      <c r="M10" s="11"/>
      <c r="N10" s="10"/>
      <c r="O10" s="10">
        <f>+M10*N10</f>
        <v>0</v>
      </c>
      <c r="P10" s="12"/>
    </row>
    <row r="11" spans="1:17" ht="16.5" thickBot="1" x14ac:dyDescent="0.3">
      <c r="A11" s="62" t="s">
        <v>5</v>
      </c>
      <c r="B11" s="63"/>
      <c r="C11" s="6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17"/>
    </row>
    <row r="12" spans="1:17" ht="30" x14ac:dyDescent="0.25">
      <c r="A12" s="15"/>
      <c r="B12" s="14" t="s">
        <v>492</v>
      </c>
      <c r="C12" s="13" t="s">
        <v>88</v>
      </c>
      <c r="D12" s="12"/>
      <c r="E12" s="11">
        <v>1</v>
      </c>
      <c r="F12" s="42">
        <v>240</v>
      </c>
      <c r="G12" s="10">
        <f>+E12*F12</f>
        <v>240</v>
      </c>
      <c r="H12" s="12"/>
      <c r="I12" s="11">
        <v>1</v>
      </c>
      <c r="J12" s="10">
        <v>120</v>
      </c>
      <c r="K12" s="10">
        <f>+I12*J12</f>
        <v>120</v>
      </c>
      <c r="L12" s="12"/>
      <c r="M12" s="11">
        <v>1</v>
      </c>
      <c r="N12" s="10">
        <v>120</v>
      </c>
      <c r="O12" s="10">
        <f>+M12*N12</f>
        <v>120</v>
      </c>
      <c r="P12" s="12"/>
    </row>
    <row r="13" spans="1:17" ht="15.75" thickBot="1" x14ac:dyDescent="0.3">
      <c r="A13" s="15"/>
      <c r="B13" s="14"/>
      <c r="C13" s="13"/>
      <c r="D13" s="12"/>
      <c r="E13" s="11"/>
      <c r="F13" s="10"/>
      <c r="G13" s="10">
        <f>+E13*F13</f>
        <v>0</v>
      </c>
      <c r="H13" s="12"/>
      <c r="I13" s="11"/>
      <c r="J13" s="10"/>
      <c r="K13" s="10">
        <f>+I13*J13</f>
        <v>0</v>
      </c>
      <c r="L13" s="12"/>
      <c r="M13" s="11"/>
      <c r="N13" s="10"/>
      <c r="O13" s="10">
        <f>+M13*N13</f>
        <v>0</v>
      </c>
      <c r="P13" s="12"/>
    </row>
    <row r="14" spans="1:17" ht="16.5" thickBot="1" x14ac:dyDescent="0.3">
      <c r="A14" s="62" t="s">
        <v>2</v>
      </c>
      <c r="B14" s="63"/>
      <c r="C14" s="63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  <c r="P14" s="17"/>
    </row>
    <row r="15" spans="1:17" x14ac:dyDescent="0.25">
      <c r="A15" s="15"/>
      <c r="B15" s="14"/>
      <c r="C15" s="13"/>
      <c r="D15" s="12"/>
      <c r="E15" s="11">
        <f>+E43</f>
        <v>325.39</v>
      </c>
      <c r="F15" s="10"/>
      <c r="G15" s="10">
        <f>+E15*F15</f>
        <v>0</v>
      </c>
      <c r="H15" s="12"/>
      <c r="I15" s="11">
        <f>+I43</f>
        <v>249.11</v>
      </c>
      <c r="J15" s="10"/>
      <c r="K15" s="10">
        <f>+I15*J15</f>
        <v>0</v>
      </c>
      <c r="L15" s="12"/>
      <c r="M15" s="11">
        <f>+M43</f>
        <v>951.68</v>
      </c>
      <c r="N15" s="10"/>
      <c r="O15" s="10">
        <f>+M15*N15</f>
        <v>0</v>
      </c>
      <c r="P15" s="12"/>
    </row>
    <row r="16" spans="1:17" x14ac:dyDescent="0.25">
      <c r="A16" s="15"/>
      <c r="B16" s="14"/>
      <c r="C16" s="13"/>
      <c r="D16" s="12"/>
      <c r="E16" s="11"/>
      <c r="F16" s="10"/>
      <c r="G16" s="10">
        <f>+E16*F16</f>
        <v>0</v>
      </c>
      <c r="H16" s="12"/>
      <c r="I16" s="11"/>
      <c r="J16" s="10"/>
      <c r="K16" s="10">
        <f>+I16*J16</f>
        <v>0</v>
      </c>
      <c r="L16" s="12"/>
      <c r="M16" s="11"/>
      <c r="N16" s="10"/>
      <c r="O16" s="10">
        <f>+M16*N16</f>
        <v>0</v>
      </c>
      <c r="P16" s="12"/>
    </row>
    <row r="17" spans="1:19" ht="15.75" thickBot="1" x14ac:dyDescent="0.3"/>
    <row r="18" spans="1:19" ht="21" thickBot="1" x14ac:dyDescent="0.3">
      <c r="A18" s="64" t="s">
        <v>1</v>
      </c>
      <c r="B18" s="65"/>
      <c r="C18" s="66"/>
      <c r="D18" s="5"/>
      <c r="E18" s="9"/>
      <c r="F18" s="8"/>
      <c r="G18" s="7">
        <f>SUM(G8:G17)</f>
        <v>240</v>
      </c>
      <c r="H18" s="5"/>
      <c r="I18" s="9"/>
      <c r="J18" s="8"/>
      <c r="K18" s="7">
        <f>SUM(K6:K16)</f>
        <v>120</v>
      </c>
      <c r="L18" s="5"/>
      <c r="M18" s="9"/>
      <c r="N18" s="8"/>
      <c r="O18" s="7">
        <f>SUM(O6:O16)</f>
        <v>120</v>
      </c>
      <c r="P18" s="5"/>
    </row>
    <row r="19" spans="1:19" ht="21" thickBot="1" x14ac:dyDescent="0.3">
      <c r="A19" s="60" t="s">
        <v>0</v>
      </c>
      <c r="B19" s="61"/>
      <c r="C19" s="61"/>
      <c r="D19" s="5"/>
      <c r="E19" s="4"/>
      <c r="F19" s="3"/>
      <c r="G19" s="6">
        <f>+G18/E15</f>
        <v>0.73757644672546796</v>
      </c>
      <c r="H19" s="5"/>
      <c r="I19" s="4"/>
      <c r="J19" s="3"/>
      <c r="K19" s="6">
        <f>+K18/I15</f>
        <v>0.48171490506202075</v>
      </c>
      <c r="L19" s="5"/>
      <c r="M19" s="4"/>
      <c r="N19" s="3"/>
      <c r="O19" s="6">
        <f>+O18/M15</f>
        <v>0.12609280430396771</v>
      </c>
      <c r="P19" s="5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9" ht="15.75" thickBot="1" x14ac:dyDescent="0.3"/>
    <row r="23" spans="1:19" ht="19.5" thickBot="1" x14ac:dyDescent="0.3">
      <c r="A23" s="20" t="s">
        <v>491</v>
      </c>
      <c r="B23" s="19" t="s">
        <v>490</v>
      </c>
      <c r="C23" s="18" t="s">
        <v>366</v>
      </c>
    </row>
    <row r="24" spans="1:19" ht="15.75" thickBot="1" x14ac:dyDescent="0.3"/>
    <row r="25" spans="1:19" ht="16.5" thickBot="1" x14ac:dyDescent="0.3">
      <c r="A25" s="62" t="s">
        <v>11</v>
      </c>
      <c r="B25" s="63"/>
      <c r="C25" s="6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  <c r="P25" s="17"/>
      <c r="Q25" s="46"/>
    </row>
    <row r="26" spans="1:19" x14ac:dyDescent="0.25">
      <c r="A26" s="15"/>
      <c r="B26" s="14" t="s">
        <v>252</v>
      </c>
      <c r="C26" s="13" t="s">
        <v>144</v>
      </c>
      <c r="D26" s="12"/>
      <c r="E26" s="11">
        <v>1</v>
      </c>
      <c r="F26" s="10">
        <v>83.81</v>
      </c>
      <c r="G26" s="10">
        <f t="shared" ref="G26:G41" si="0">+E26*F26</f>
        <v>83.81</v>
      </c>
      <c r="H26" s="12"/>
      <c r="I26" s="11"/>
      <c r="J26" s="10"/>
      <c r="K26" s="10">
        <f t="shared" ref="K26:K41" si="1">+I26*J26</f>
        <v>0</v>
      </c>
      <c r="L26" s="12"/>
      <c r="M26" s="11"/>
      <c r="N26" s="10"/>
      <c r="O26" s="10">
        <f t="shared" ref="O26:O41" si="2">+M26*N26</f>
        <v>0</v>
      </c>
      <c r="P26" s="12"/>
      <c r="Q26" s="47">
        <f>+E26/$E$43</f>
        <v>3.0732351946894496E-3</v>
      </c>
    </row>
    <row r="27" spans="1:19" x14ac:dyDescent="0.25">
      <c r="A27" s="15"/>
      <c r="B27" s="14" t="s">
        <v>486</v>
      </c>
      <c r="C27" s="13" t="s">
        <v>15</v>
      </c>
      <c r="D27" s="12"/>
      <c r="E27" s="11"/>
      <c r="F27" s="10"/>
      <c r="G27" s="10">
        <f>+E27*F27</f>
        <v>0</v>
      </c>
      <c r="H27" s="12"/>
      <c r="I27" s="11"/>
      <c r="J27" s="10"/>
      <c r="K27" s="10">
        <f>+I27*J27</f>
        <v>0</v>
      </c>
      <c r="L27" s="12"/>
      <c r="M27" s="11">
        <v>1</v>
      </c>
      <c r="N27" s="10">
        <v>1.03</v>
      </c>
      <c r="O27" s="10">
        <f>+M27*N27</f>
        <v>1.03</v>
      </c>
      <c r="P27" s="12"/>
      <c r="Q27" s="47">
        <f>+M27/M43</f>
        <v>1.050773369199731E-3</v>
      </c>
    </row>
    <row r="28" spans="1:19" x14ac:dyDescent="0.25">
      <c r="A28" s="15"/>
      <c r="B28" s="14" t="s">
        <v>260</v>
      </c>
      <c r="C28" s="13" t="s">
        <v>222</v>
      </c>
      <c r="D28" s="12"/>
      <c r="E28" s="11">
        <v>19.5</v>
      </c>
      <c r="F28" s="10">
        <v>0.53200000000000003</v>
      </c>
      <c r="G28" s="10">
        <f t="shared" si="0"/>
        <v>10.374000000000001</v>
      </c>
      <c r="H28" s="12"/>
      <c r="I28" s="11">
        <v>4.42</v>
      </c>
      <c r="J28" s="10">
        <v>0.5</v>
      </c>
      <c r="K28" s="10">
        <f t="shared" si="1"/>
        <v>2.21</v>
      </c>
      <c r="L28" s="12"/>
      <c r="M28" s="11">
        <v>8.11</v>
      </c>
      <c r="N28" s="10">
        <v>0.54</v>
      </c>
      <c r="O28" s="10">
        <f t="shared" si="2"/>
        <v>4.3794000000000004</v>
      </c>
      <c r="P28" s="12"/>
      <c r="Q28" s="47">
        <f>+(E28+I28+M28)/($E$43+$I$43+$M$43)</f>
        <v>2.0987039536620847E-2</v>
      </c>
      <c r="R28" s="44"/>
      <c r="S28" s="44"/>
    </row>
    <row r="29" spans="1:19" x14ac:dyDescent="0.25">
      <c r="A29" s="15"/>
      <c r="B29" s="14" t="s">
        <v>489</v>
      </c>
      <c r="C29" s="13" t="s">
        <v>174</v>
      </c>
      <c r="D29" s="12"/>
      <c r="E29" s="11">
        <v>7</v>
      </c>
      <c r="F29" s="10">
        <v>1.488</v>
      </c>
      <c r="G29" s="10">
        <f t="shared" si="0"/>
        <v>10.416</v>
      </c>
      <c r="H29" s="12"/>
      <c r="I29" s="11">
        <v>9</v>
      </c>
      <c r="J29" s="10">
        <v>1.47</v>
      </c>
      <c r="K29" s="10">
        <f t="shared" si="1"/>
        <v>13.23</v>
      </c>
      <c r="L29" s="12"/>
      <c r="M29" s="11">
        <v>15</v>
      </c>
      <c r="N29" s="10">
        <v>1.95</v>
      </c>
      <c r="O29" s="10">
        <f t="shared" si="2"/>
        <v>29.25</v>
      </c>
      <c r="P29" s="12"/>
      <c r="Q29" s="47">
        <f>+(E29+I29+M29)/($E$43+$I$43+$M$43)</f>
        <v>2.031215190868705E-2</v>
      </c>
    </row>
    <row r="30" spans="1:19" x14ac:dyDescent="0.25">
      <c r="A30" s="15"/>
      <c r="B30" s="14" t="s">
        <v>250</v>
      </c>
      <c r="C30" s="13" t="s">
        <v>30</v>
      </c>
      <c r="D30" s="12"/>
      <c r="E30" s="11">
        <v>1.5</v>
      </c>
      <c r="F30" s="10">
        <v>3.41</v>
      </c>
      <c r="G30" s="10">
        <f t="shared" si="0"/>
        <v>5.1150000000000002</v>
      </c>
      <c r="H30" s="12"/>
      <c r="I30" s="11"/>
      <c r="J30" s="10"/>
      <c r="K30" s="10">
        <f t="shared" si="1"/>
        <v>0</v>
      </c>
      <c r="L30" s="12"/>
      <c r="M30" s="11"/>
      <c r="N30" s="10"/>
      <c r="O30" s="10">
        <f t="shared" si="2"/>
        <v>0</v>
      </c>
      <c r="P30" s="12"/>
      <c r="Q30" s="47">
        <f>+E30/E43</f>
        <v>4.6098527920341746E-3</v>
      </c>
    </row>
    <row r="31" spans="1:19" x14ac:dyDescent="0.25">
      <c r="A31" s="15"/>
      <c r="B31" s="14" t="s">
        <v>230</v>
      </c>
      <c r="C31" s="13" t="s">
        <v>30</v>
      </c>
      <c r="D31" s="12"/>
      <c r="E31" s="11">
        <v>2</v>
      </c>
      <c r="F31" s="10">
        <v>3.4169999999999998</v>
      </c>
      <c r="G31" s="10">
        <f t="shared" si="0"/>
        <v>6.8339999999999996</v>
      </c>
      <c r="H31" s="12"/>
      <c r="I31" s="11">
        <v>1</v>
      </c>
      <c r="J31" s="10">
        <v>3.94</v>
      </c>
      <c r="K31" s="10">
        <f t="shared" si="1"/>
        <v>3.94</v>
      </c>
      <c r="L31" s="12"/>
      <c r="M31" s="11">
        <v>0.5</v>
      </c>
      <c r="N31" s="10">
        <v>3.94</v>
      </c>
      <c r="O31" s="10">
        <f t="shared" si="2"/>
        <v>1.97</v>
      </c>
      <c r="P31" s="12"/>
      <c r="Q31" s="47">
        <f>+(E31+I31+M31)/($E$43+$I$43+$M$43)</f>
        <v>2.2933074735614414E-3</v>
      </c>
    </row>
    <row r="32" spans="1:19" x14ac:dyDescent="0.25">
      <c r="A32" s="15"/>
      <c r="B32" s="14" t="s">
        <v>57</v>
      </c>
      <c r="C32" s="13" t="s">
        <v>30</v>
      </c>
      <c r="D32" s="12"/>
      <c r="E32" s="11">
        <v>3.5</v>
      </c>
      <c r="F32" s="10">
        <v>1.49</v>
      </c>
      <c r="G32" s="10">
        <f t="shared" si="0"/>
        <v>5.2149999999999999</v>
      </c>
      <c r="H32" s="12"/>
      <c r="I32" s="11">
        <v>2</v>
      </c>
      <c r="J32" s="10">
        <v>2.08</v>
      </c>
      <c r="K32" s="10">
        <f t="shared" si="1"/>
        <v>4.16</v>
      </c>
      <c r="L32" s="12"/>
      <c r="M32" s="11"/>
      <c r="N32" s="10"/>
      <c r="O32" s="10">
        <f t="shared" si="2"/>
        <v>0</v>
      </c>
      <c r="P32" s="12"/>
      <c r="Q32" s="47">
        <f>+(E32+I32)/($E$43+$I$43)</f>
        <v>9.5735422106179285E-3</v>
      </c>
    </row>
    <row r="33" spans="1:17" x14ac:dyDescent="0.25">
      <c r="A33" s="15"/>
      <c r="B33" s="14" t="s">
        <v>56</v>
      </c>
      <c r="C33" s="13" t="s">
        <v>30</v>
      </c>
      <c r="D33" s="12"/>
      <c r="E33" s="11">
        <v>4</v>
      </c>
      <c r="F33" s="10">
        <v>1.4379999999999999</v>
      </c>
      <c r="G33" s="10">
        <f t="shared" si="0"/>
        <v>5.7519999999999998</v>
      </c>
      <c r="H33" s="12"/>
      <c r="I33" s="11"/>
      <c r="J33" s="10"/>
      <c r="K33" s="10">
        <f t="shared" si="1"/>
        <v>0</v>
      </c>
      <c r="L33" s="12"/>
      <c r="M33" s="11">
        <v>0.25</v>
      </c>
      <c r="N33" s="10">
        <v>2</v>
      </c>
      <c r="O33" s="10">
        <f t="shared" si="2"/>
        <v>0.5</v>
      </c>
      <c r="P33" s="12"/>
      <c r="Q33" s="47">
        <f>+E33/E43</f>
        <v>1.2292940778757798E-2</v>
      </c>
    </row>
    <row r="34" spans="1:17" x14ac:dyDescent="0.25">
      <c r="A34" s="15"/>
      <c r="B34" s="14" t="s">
        <v>371</v>
      </c>
      <c r="C34" s="13" t="s">
        <v>30</v>
      </c>
      <c r="D34" s="12"/>
      <c r="E34" s="11"/>
      <c r="F34" s="10"/>
      <c r="G34" s="10">
        <f>+E34*F34</f>
        <v>0</v>
      </c>
      <c r="H34" s="12"/>
      <c r="I34" s="11">
        <v>1</v>
      </c>
      <c r="J34" s="10">
        <v>2.41</v>
      </c>
      <c r="K34" s="10">
        <f>+I34*J34</f>
        <v>2.41</v>
      </c>
      <c r="L34" s="12"/>
      <c r="M34" s="11"/>
      <c r="N34" s="10"/>
      <c r="O34" s="10">
        <f>+M34*N34</f>
        <v>0</v>
      </c>
      <c r="P34" s="12"/>
      <c r="Q34" s="47">
        <f>+I34/I43</f>
        <v>4.0142908755168398E-3</v>
      </c>
    </row>
    <row r="35" spans="1:17" x14ac:dyDescent="0.25">
      <c r="A35" s="15"/>
      <c r="B35" s="14" t="s">
        <v>345</v>
      </c>
      <c r="C35" s="13" t="s">
        <v>15</v>
      </c>
      <c r="D35" s="12"/>
      <c r="E35" s="11"/>
      <c r="F35" s="10"/>
      <c r="G35" s="10">
        <f>+E35*F35</f>
        <v>0</v>
      </c>
      <c r="H35" s="12"/>
      <c r="I35" s="11"/>
      <c r="J35" s="10"/>
      <c r="K35" s="10">
        <f>+I35*J35</f>
        <v>0</v>
      </c>
      <c r="L35" s="12"/>
      <c r="M35" s="11">
        <v>13</v>
      </c>
      <c r="N35" s="10">
        <v>2.15</v>
      </c>
      <c r="O35" s="10">
        <f>+M35*N35</f>
        <v>27.95</v>
      </c>
      <c r="P35" s="12"/>
      <c r="Q35" s="47">
        <f>+M35/M43</f>
        <v>1.3660053799596504E-2</v>
      </c>
    </row>
    <row r="36" spans="1:17" x14ac:dyDescent="0.25">
      <c r="A36" s="15"/>
      <c r="B36" s="14" t="s">
        <v>97</v>
      </c>
      <c r="C36" s="13" t="s">
        <v>3</v>
      </c>
      <c r="D36" s="12"/>
      <c r="E36" s="11"/>
      <c r="F36" s="10"/>
      <c r="G36" s="10">
        <f>+E36*F36</f>
        <v>0</v>
      </c>
      <c r="H36" s="12"/>
      <c r="I36" s="11">
        <v>25</v>
      </c>
      <c r="J36" s="10">
        <v>0.4</v>
      </c>
      <c r="K36" s="10">
        <f>+I36*J36</f>
        <v>10</v>
      </c>
      <c r="L36" s="12"/>
      <c r="M36" s="11"/>
      <c r="N36" s="10"/>
      <c r="O36" s="10">
        <f>+M36*N36</f>
        <v>0</v>
      </c>
      <c r="P36" s="12"/>
      <c r="Q36" s="47">
        <f>+I36/I43</f>
        <v>0.100357271887921</v>
      </c>
    </row>
    <row r="37" spans="1:17" x14ac:dyDescent="0.25">
      <c r="A37" s="15"/>
      <c r="B37" s="14" t="s">
        <v>365</v>
      </c>
      <c r="C37" s="13" t="s">
        <v>15</v>
      </c>
      <c r="D37" s="12"/>
      <c r="E37" s="11">
        <v>19</v>
      </c>
      <c r="F37" s="10">
        <v>1.1274999999999999</v>
      </c>
      <c r="G37" s="10">
        <f t="shared" si="0"/>
        <v>21.422499999999999</v>
      </c>
      <c r="H37" s="12"/>
      <c r="I37" s="11">
        <v>10</v>
      </c>
      <c r="J37" s="10">
        <v>1.1000000000000001</v>
      </c>
      <c r="K37" s="10">
        <f t="shared" si="1"/>
        <v>11</v>
      </c>
      <c r="L37" s="12"/>
      <c r="M37" s="11">
        <v>3</v>
      </c>
      <c r="N37" s="10">
        <v>1.1000000000000001</v>
      </c>
      <c r="O37" s="10">
        <f t="shared" si="2"/>
        <v>3.3000000000000003</v>
      </c>
      <c r="P37" s="12"/>
      <c r="Q37" s="47">
        <f>+(E37+I37+M37)/($E$43+$I$43+$M$43)</f>
        <v>2.0967382615418893E-2</v>
      </c>
    </row>
    <row r="38" spans="1:17" x14ac:dyDescent="0.25">
      <c r="A38" s="15"/>
      <c r="B38" s="14" t="s">
        <v>487</v>
      </c>
      <c r="C38" s="13" t="s">
        <v>15</v>
      </c>
      <c r="D38" s="12"/>
      <c r="E38" s="11"/>
      <c r="F38" s="10"/>
      <c r="G38" s="10">
        <f>+E38*F38</f>
        <v>0</v>
      </c>
      <c r="H38" s="12"/>
      <c r="I38" s="11">
        <v>10</v>
      </c>
      <c r="J38" s="10">
        <v>1.08</v>
      </c>
      <c r="K38" s="10">
        <f>+I38*J38</f>
        <v>10.8</v>
      </c>
      <c r="L38" s="12"/>
      <c r="M38" s="11">
        <v>5</v>
      </c>
      <c r="N38" s="10">
        <v>1.2</v>
      </c>
      <c r="O38" s="10">
        <f>+M38*N38</f>
        <v>6</v>
      </c>
      <c r="P38" s="12"/>
      <c r="Q38" s="47">
        <f>+(I38+M38)/($I$43+$M$43)</f>
        <v>1.2491776247303859E-2</v>
      </c>
    </row>
    <row r="39" spans="1:17" x14ac:dyDescent="0.25">
      <c r="A39" s="15"/>
      <c r="B39" s="14" t="s">
        <v>361</v>
      </c>
      <c r="C39" s="13" t="s">
        <v>15</v>
      </c>
      <c r="D39" s="12"/>
      <c r="E39" s="11">
        <v>32</v>
      </c>
      <c r="F39" s="10">
        <v>1.7669999999999999</v>
      </c>
      <c r="G39" s="10">
        <f t="shared" si="0"/>
        <v>56.543999999999997</v>
      </c>
      <c r="H39" s="12"/>
      <c r="I39" s="11">
        <v>10</v>
      </c>
      <c r="J39" s="10">
        <v>1.82</v>
      </c>
      <c r="K39" s="10">
        <f t="shared" si="1"/>
        <v>18.2</v>
      </c>
      <c r="L39" s="12"/>
      <c r="M39" s="11"/>
      <c r="N39" s="10"/>
      <c r="O39" s="10">
        <f t="shared" si="2"/>
        <v>0</v>
      </c>
      <c r="P39" s="12"/>
      <c r="Q39" s="47">
        <f>+(E39+I39)/($E$43+$I$43)</f>
        <v>7.3107049608355096E-2</v>
      </c>
    </row>
    <row r="40" spans="1:17" x14ac:dyDescent="0.25">
      <c r="A40" s="15"/>
      <c r="B40" s="14" t="s">
        <v>488</v>
      </c>
      <c r="C40" s="13" t="s">
        <v>15</v>
      </c>
      <c r="D40" s="12"/>
      <c r="E40" s="11">
        <v>3</v>
      </c>
      <c r="F40" s="10">
        <v>1.4844999999999999</v>
      </c>
      <c r="G40" s="10">
        <f t="shared" si="0"/>
        <v>4.4535</v>
      </c>
      <c r="H40" s="12"/>
      <c r="I40" s="11">
        <v>5</v>
      </c>
      <c r="J40" s="10">
        <v>1.78</v>
      </c>
      <c r="K40" s="10">
        <f t="shared" si="1"/>
        <v>8.9</v>
      </c>
      <c r="L40" s="12"/>
      <c r="M40" s="11">
        <v>2</v>
      </c>
      <c r="N40" s="10">
        <v>2.2200000000000002</v>
      </c>
      <c r="O40" s="10">
        <f t="shared" si="2"/>
        <v>4.4400000000000004</v>
      </c>
      <c r="P40" s="12"/>
      <c r="Q40" s="47">
        <f>+(E40+I40+M40)/($E$43+$I$43+$M$43)</f>
        <v>6.5523070673184037E-3</v>
      </c>
    </row>
    <row r="41" spans="1:17" ht="15.75" thickBot="1" x14ac:dyDescent="0.3">
      <c r="A41" s="15"/>
      <c r="B41" s="14" t="s">
        <v>53</v>
      </c>
      <c r="C41" s="13" t="s">
        <v>15</v>
      </c>
      <c r="D41" s="12"/>
      <c r="E41" s="11">
        <v>7</v>
      </c>
      <c r="F41" s="10">
        <v>2.34</v>
      </c>
      <c r="G41" s="10">
        <f t="shared" si="0"/>
        <v>16.38</v>
      </c>
      <c r="H41" s="12"/>
      <c r="I41" s="11">
        <v>10</v>
      </c>
      <c r="J41" s="10">
        <v>2.44</v>
      </c>
      <c r="K41" s="10">
        <f t="shared" si="1"/>
        <v>24.4</v>
      </c>
      <c r="L41" s="12"/>
      <c r="M41" s="11"/>
      <c r="N41" s="10"/>
      <c r="O41" s="10">
        <f t="shared" si="2"/>
        <v>0</v>
      </c>
      <c r="P41" s="12"/>
      <c r="Q41" s="47">
        <f>+(E41+I41)/($E$43+$I$43)</f>
        <v>2.959094865100087E-2</v>
      </c>
    </row>
    <row r="42" spans="1:17" ht="16.5" thickBot="1" x14ac:dyDescent="0.3">
      <c r="A42" s="62" t="s">
        <v>5</v>
      </c>
      <c r="B42" s="63"/>
      <c r="C42" s="63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/>
      <c r="P42" s="17"/>
      <c r="Q42" s="46"/>
    </row>
    <row r="43" spans="1:17" ht="18" x14ac:dyDescent="0.25">
      <c r="A43" s="15"/>
      <c r="B43" s="14" t="s">
        <v>485</v>
      </c>
      <c r="C43" s="13" t="s">
        <v>13</v>
      </c>
      <c r="D43" s="12"/>
      <c r="E43" s="11">
        <v>325.39</v>
      </c>
      <c r="F43" s="42">
        <v>0.72</v>
      </c>
      <c r="G43" s="10">
        <f>+E43*F43</f>
        <v>234.28079999999997</v>
      </c>
      <c r="H43" s="12"/>
      <c r="I43" s="11">
        <v>249.11</v>
      </c>
      <c r="J43" s="10">
        <v>0.72</v>
      </c>
      <c r="K43" s="10">
        <f>+I43*J43</f>
        <v>179.35920000000002</v>
      </c>
      <c r="L43" s="12"/>
      <c r="M43" s="11">
        <v>951.68</v>
      </c>
      <c r="N43" s="10">
        <v>0.89</v>
      </c>
      <c r="O43" s="10">
        <f>+M43*N43</f>
        <v>846.99519999999995</v>
      </c>
      <c r="P43" s="12"/>
      <c r="Q43" s="46"/>
    </row>
    <row r="44" spans="1:17" x14ac:dyDescent="0.25">
      <c r="A44" s="15"/>
      <c r="B44" s="14"/>
      <c r="C44" s="13"/>
      <c r="D44" s="12"/>
      <c r="E44" s="11"/>
      <c r="F44" s="10"/>
      <c r="G44" s="10">
        <f>+E44*F44</f>
        <v>0</v>
      </c>
      <c r="H44" s="12"/>
      <c r="I44" s="11"/>
      <c r="J44" s="10"/>
      <c r="K44" s="10">
        <f>+I44*J44</f>
        <v>0</v>
      </c>
      <c r="L44" s="12"/>
      <c r="M44" s="11"/>
      <c r="N44" s="10"/>
      <c r="O44" s="10">
        <f>+M44*N44</f>
        <v>0</v>
      </c>
      <c r="P44" s="12"/>
      <c r="Q44" s="46"/>
    </row>
    <row r="45" spans="1:17" ht="15.75" thickBot="1" x14ac:dyDescent="0.3">
      <c r="A45" s="15"/>
      <c r="B45" s="14"/>
      <c r="C45" s="13"/>
      <c r="D45" s="12"/>
      <c r="E45" s="11"/>
      <c r="F45" s="10"/>
      <c r="G45" s="10">
        <f>+E45*F45</f>
        <v>0</v>
      </c>
      <c r="H45" s="12"/>
      <c r="I45" s="11"/>
      <c r="J45" s="10"/>
      <c r="K45" s="10">
        <f>+I45*J45</f>
        <v>0</v>
      </c>
      <c r="L45" s="12"/>
      <c r="M45" s="11"/>
      <c r="N45" s="10"/>
      <c r="O45" s="10">
        <f>+M45*N45</f>
        <v>0</v>
      </c>
      <c r="P45" s="12"/>
      <c r="Q45" s="46"/>
    </row>
    <row r="46" spans="1:17" ht="16.5" thickBot="1" x14ac:dyDescent="0.3">
      <c r="A46" s="62" t="s">
        <v>2</v>
      </c>
      <c r="B46" s="63"/>
      <c r="C46" s="6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/>
      <c r="P46" s="17"/>
      <c r="Q46" s="46"/>
    </row>
    <row r="47" spans="1:17" x14ac:dyDescent="0.25">
      <c r="A47" s="15"/>
      <c r="B47" s="14"/>
      <c r="C47" s="13"/>
      <c r="D47" s="12"/>
      <c r="E47" s="11"/>
      <c r="F47" s="10"/>
      <c r="G47" s="10">
        <f>+E47*F47</f>
        <v>0</v>
      </c>
      <c r="H47" s="12"/>
      <c r="I47" s="11"/>
      <c r="J47" s="10"/>
      <c r="K47" s="10">
        <f>+I47*J47</f>
        <v>0</v>
      </c>
      <c r="L47" s="12"/>
      <c r="M47" s="11"/>
      <c r="N47" s="10"/>
      <c r="O47" s="10">
        <f>+M47*N47</f>
        <v>0</v>
      </c>
      <c r="P47" s="12"/>
      <c r="Q47" s="46"/>
    </row>
    <row r="48" spans="1:17" x14ac:dyDescent="0.25">
      <c r="A48" s="15"/>
      <c r="B48" s="14"/>
      <c r="C48" s="13"/>
      <c r="D48" s="12"/>
      <c r="E48" s="11"/>
      <c r="F48" s="10"/>
      <c r="G48" s="10">
        <f>+E48*F48</f>
        <v>0</v>
      </c>
      <c r="H48" s="12"/>
      <c r="I48" s="11"/>
      <c r="J48" s="10"/>
      <c r="K48" s="10">
        <f>+I48*J48</f>
        <v>0</v>
      </c>
      <c r="L48" s="12"/>
      <c r="M48" s="11"/>
      <c r="N48" s="10"/>
      <c r="O48" s="10">
        <f>+M48*N48</f>
        <v>0</v>
      </c>
      <c r="P48" s="12"/>
      <c r="Q48" s="46"/>
    </row>
    <row r="49" spans="1:17" ht="15.75" thickBot="1" x14ac:dyDescent="0.3">
      <c r="Q49" s="46"/>
    </row>
    <row r="50" spans="1:17" ht="21" thickBot="1" x14ac:dyDescent="0.3">
      <c r="A50" s="64" t="s">
        <v>1</v>
      </c>
      <c r="B50" s="65"/>
      <c r="C50" s="66"/>
      <c r="D50" s="5"/>
      <c r="E50" s="9"/>
      <c r="F50" s="8"/>
      <c r="G50" s="7">
        <f>SUM(G26:G49)</f>
        <v>460.59679999999992</v>
      </c>
      <c r="H50" s="5"/>
      <c r="I50" s="9"/>
      <c r="J50" s="8"/>
      <c r="K50" s="7">
        <f>SUM(K26:K48)</f>
        <v>288.60919999999999</v>
      </c>
      <c r="L50" s="5"/>
      <c r="M50" s="9"/>
      <c r="N50" s="8"/>
      <c r="O50" s="7">
        <f>SUM(O23:O48)</f>
        <v>925.81459999999993</v>
      </c>
      <c r="P50" s="5"/>
      <c r="Q50" s="46"/>
    </row>
    <row r="51" spans="1:17" ht="21" thickBot="1" x14ac:dyDescent="0.3">
      <c r="A51" s="60" t="s">
        <v>0</v>
      </c>
      <c r="B51" s="61"/>
      <c r="C51" s="61"/>
      <c r="D51" s="5"/>
      <c r="E51" s="4"/>
      <c r="F51" s="3"/>
      <c r="G51" s="6">
        <f>+G50/E43</f>
        <v>1.4155222963213372</v>
      </c>
      <c r="H51" s="5"/>
      <c r="I51" s="4"/>
      <c r="J51" s="3"/>
      <c r="K51" s="6">
        <f>+K50/I43</f>
        <v>1.1585612781502146</v>
      </c>
      <c r="L51" s="5"/>
      <c r="M51" s="4"/>
      <c r="N51" s="3"/>
      <c r="O51" s="6">
        <f>+O50/M43</f>
        <v>0.97282132649630126</v>
      </c>
      <c r="P51" s="5"/>
      <c r="Q51" s="46"/>
    </row>
    <row r="52" spans="1:17" x14ac:dyDescent="0.25">
      <c r="Q52" s="46"/>
    </row>
    <row r="53" spans="1: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46"/>
    </row>
    <row r="54" spans="1:17" ht="15.75" thickBot="1" x14ac:dyDescent="0.3">
      <c r="Q54" s="46"/>
    </row>
    <row r="55" spans="1:17" ht="16.5" thickBot="1" x14ac:dyDescent="0.3">
      <c r="A55" s="20" t="s">
        <v>484</v>
      </c>
      <c r="B55" s="19" t="s">
        <v>483</v>
      </c>
      <c r="C55" s="18" t="s">
        <v>88</v>
      </c>
      <c r="Q55" s="46"/>
    </row>
    <row r="56" spans="1:17" ht="15.75" thickBot="1" x14ac:dyDescent="0.3">
      <c r="Q56" s="46"/>
    </row>
    <row r="57" spans="1:17" ht="16.5" thickBot="1" x14ac:dyDescent="0.3">
      <c r="A57" s="62" t="s">
        <v>11</v>
      </c>
      <c r="B57" s="63"/>
      <c r="C57" s="63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17"/>
      <c r="Q57" s="46"/>
    </row>
    <row r="58" spans="1:17" ht="15" customHeight="1" x14ac:dyDescent="0.25">
      <c r="A58" s="15"/>
      <c r="B58" s="14"/>
      <c r="C58" s="13"/>
      <c r="D58" s="12"/>
      <c r="E58" s="11"/>
      <c r="F58" s="10"/>
      <c r="G58" s="10">
        <f>+E58*F58</f>
        <v>0</v>
      </c>
      <c r="H58" s="12"/>
      <c r="I58" s="11"/>
      <c r="J58" s="10"/>
      <c r="K58" s="10">
        <f>+I58*J58</f>
        <v>0</v>
      </c>
      <c r="L58" s="12"/>
      <c r="M58" s="11"/>
      <c r="N58" s="10"/>
      <c r="O58" s="10">
        <f>+M58*N58</f>
        <v>0</v>
      </c>
      <c r="P58" s="12"/>
      <c r="Q58" s="46"/>
    </row>
    <row r="59" spans="1:17" ht="15.75" thickBot="1" x14ac:dyDescent="0.3">
      <c r="A59" s="15"/>
      <c r="B59" s="14"/>
      <c r="C59" s="13"/>
      <c r="D59" s="12"/>
      <c r="E59" s="11"/>
      <c r="F59" s="10"/>
      <c r="G59" s="10">
        <f>+E59*F59</f>
        <v>0</v>
      </c>
      <c r="H59" s="12"/>
      <c r="I59" s="11"/>
      <c r="J59" s="10"/>
      <c r="K59" s="10">
        <f>+I59*J59</f>
        <v>0</v>
      </c>
      <c r="L59" s="12"/>
      <c r="M59" s="11"/>
      <c r="N59" s="10"/>
      <c r="O59" s="10">
        <f>+M59*N59</f>
        <v>0</v>
      </c>
      <c r="P59" s="12"/>
      <c r="Q59" s="46"/>
    </row>
    <row r="60" spans="1:17" ht="16.5" thickBot="1" x14ac:dyDescent="0.3">
      <c r="A60" s="62" t="s">
        <v>5</v>
      </c>
      <c r="B60" s="63"/>
      <c r="C60" s="63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17"/>
      <c r="Q60" s="46"/>
    </row>
    <row r="61" spans="1:17" x14ac:dyDescent="0.25">
      <c r="A61" s="15"/>
      <c r="B61" s="14"/>
      <c r="C61" s="13"/>
      <c r="D61" s="12"/>
      <c r="E61" s="11">
        <v>1</v>
      </c>
      <c r="F61" s="10">
        <v>300</v>
      </c>
      <c r="G61" s="10">
        <f>+E61*F61</f>
        <v>300</v>
      </c>
      <c r="H61" s="12"/>
      <c r="I61" s="11">
        <v>1</v>
      </c>
      <c r="J61" s="10">
        <v>300</v>
      </c>
      <c r="K61" s="10">
        <f>+I61*J61</f>
        <v>300</v>
      </c>
      <c r="L61" s="12"/>
      <c r="M61" s="11">
        <v>1</v>
      </c>
      <c r="N61" s="10">
        <v>300</v>
      </c>
      <c r="O61" s="10">
        <f>+M61*N61</f>
        <v>300</v>
      </c>
      <c r="P61" s="12"/>
      <c r="Q61" s="46"/>
    </row>
    <row r="62" spans="1:17" ht="15.75" thickBot="1" x14ac:dyDescent="0.3">
      <c r="A62" s="15"/>
      <c r="B62" s="14"/>
      <c r="C62" s="13"/>
      <c r="D62" s="12"/>
      <c r="E62" s="11"/>
      <c r="F62" s="10"/>
      <c r="G62" s="10">
        <f>+E62*F62</f>
        <v>0</v>
      </c>
      <c r="H62" s="12"/>
      <c r="I62" s="11"/>
      <c r="J62" s="10"/>
      <c r="K62" s="10">
        <f>+I62*J62</f>
        <v>0</v>
      </c>
      <c r="L62" s="12"/>
      <c r="M62" s="11"/>
      <c r="N62" s="10"/>
      <c r="O62" s="10">
        <f>+M62*N62</f>
        <v>0</v>
      </c>
      <c r="P62" s="12"/>
      <c r="Q62" s="46"/>
    </row>
    <row r="63" spans="1:17" ht="16.5" thickBot="1" x14ac:dyDescent="0.3">
      <c r="A63" s="62" t="s">
        <v>2</v>
      </c>
      <c r="B63" s="63"/>
      <c r="C63" s="63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17"/>
      <c r="Q63" s="46"/>
    </row>
    <row r="64" spans="1:17" x14ac:dyDescent="0.25">
      <c r="A64" s="15"/>
      <c r="B64" s="14"/>
      <c r="C64" s="13"/>
      <c r="D64" s="12"/>
      <c r="E64" s="11">
        <f>+E43</f>
        <v>325.39</v>
      </c>
      <c r="F64" s="10"/>
      <c r="G64" s="10">
        <f>+E64*F64</f>
        <v>0</v>
      </c>
      <c r="H64" s="12"/>
      <c r="I64" s="11">
        <f>+I43</f>
        <v>249.11</v>
      </c>
      <c r="J64" s="10"/>
      <c r="K64" s="10">
        <f>+I64*J64</f>
        <v>0</v>
      </c>
      <c r="L64" s="12"/>
      <c r="M64" s="11">
        <f>+M43</f>
        <v>951.68</v>
      </c>
      <c r="N64" s="10"/>
      <c r="O64" s="10">
        <f>+M64*N64</f>
        <v>0</v>
      </c>
      <c r="P64" s="12"/>
      <c r="Q64" s="46"/>
    </row>
    <row r="65" spans="1:17" x14ac:dyDescent="0.25">
      <c r="A65" s="15"/>
      <c r="B65" s="14"/>
      <c r="C65" s="13"/>
      <c r="D65" s="12"/>
      <c r="E65" s="11"/>
      <c r="F65" s="10"/>
      <c r="G65" s="10">
        <f>+E65*F65</f>
        <v>0</v>
      </c>
      <c r="H65" s="12"/>
      <c r="I65" s="11"/>
      <c r="J65" s="10"/>
      <c r="K65" s="10">
        <f>+I65*J65</f>
        <v>0</v>
      </c>
      <c r="L65" s="12"/>
      <c r="M65" s="11"/>
      <c r="N65" s="10"/>
      <c r="O65" s="10">
        <f>+M65*N65</f>
        <v>0</v>
      </c>
      <c r="P65" s="12"/>
      <c r="Q65" s="46"/>
    </row>
    <row r="66" spans="1:17" ht="15.75" thickBot="1" x14ac:dyDescent="0.3">
      <c r="Q66" s="46"/>
    </row>
    <row r="67" spans="1:17" ht="21" thickBot="1" x14ac:dyDescent="0.3">
      <c r="A67" s="64" t="s">
        <v>1</v>
      </c>
      <c r="B67" s="65"/>
      <c r="C67" s="66"/>
      <c r="D67" s="5"/>
      <c r="E67" s="9"/>
      <c r="F67" s="8"/>
      <c r="G67" s="7">
        <f>SUM(G57:G66)</f>
        <v>300</v>
      </c>
      <c r="H67" s="5"/>
      <c r="I67" s="9"/>
      <c r="J67" s="8"/>
      <c r="K67" s="7">
        <f>SUM(K55:K65)</f>
        <v>300</v>
      </c>
      <c r="L67" s="5"/>
      <c r="M67" s="9"/>
      <c r="N67" s="8"/>
      <c r="O67" s="7">
        <f>SUM(O55:O65)</f>
        <v>300</v>
      </c>
      <c r="P67" s="5"/>
      <c r="Q67" s="46"/>
    </row>
    <row r="68" spans="1:17" ht="21" thickBot="1" x14ac:dyDescent="0.3">
      <c r="A68" s="60" t="s">
        <v>0</v>
      </c>
      <c r="B68" s="61"/>
      <c r="C68" s="61"/>
      <c r="D68" s="5"/>
      <c r="E68" s="4"/>
      <c r="F68" s="3"/>
      <c r="G68" s="6">
        <f>+G67/E64</f>
        <v>0.92197055840683495</v>
      </c>
      <c r="H68" s="5"/>
      <c r="I68" s="4"/>
      <c r="J68" s="3"/>
      <c r="K68" s="6">
        <f>+K67/I64</f>
        <v>1.2042872626550518</v>
      </c>
      <c r="L68" s="5"/>
      <c r="M68" s="4"/>
      <c r="N68" s="3"/>
      <c r="O68" s="6">
        <f>+O67/M64</f>
        <v>0.3152320107599193</v>
      </c>
      <c r="P68" s="5"/>
      <c r="Q68" s="46"/>
    </row>
    <row r="69" spans="1:17" x14ac:dyDescent="0.25">
      <c r="G69" s="48"/>
      <c r="Q69" s="46"/>
    </row>
    <row r="70" spans="1: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46"/>
    </row>
    <row r="71" spans="1:17" ht="15.75" thickBot="1" x14ac:dyDescent="0.3">
      <c r="Q71" s="46"/>
    </row>
    <row r="72" spans="1:17" ht="16.5" thickBot="1" x14ac:dyDescent="0.3">
      <c r="A72" s="20" t="s">
        <v>482</v>
      </c>
      <c r="B72" s="19" t="s">
        <v>481</v>
      </c>
      <c r="C72" s="18" t="s">
        <v>88</v>
      </c>
      <c r="Q72" s="46"/>
    </row>
    <row r="73" spans="1:17" ht="15.75" thickBot="1" x14ac:dyDescent="0.3">
      <c r="Q73" s="46"/>
    </row>
    <row r="74" spans="1:17" ht="16.5" thickBot="1" x14ac:dyDescent="0.3">
      <c r="A74" s="62" t="s">
        <v>11</v>
      </c>
      <c r="B74" s="63"/>
      <c r="C74" s="63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17"/>
      <c r="Q74" s="46"/>
    </row>
    <row r="75" spans="1:17" x14ac:dyDescent="0.25">
      <c r="A75" s="15"/>
      <c r="B75" s="14"/>
      <c r="C75" s="13"/>
      <c r="D75" s="12"/>
      <c r="E75" s="11"/>
      <c r="F75" s="10"/>
      <c r="G75" s="10">
        <f>+E75*F75</f>
        <v>0</v>
      </c>
      <c r="H75" s="12"/>
      <c r="I75" s="11"/>
      <c r="J75" s="10"/>
      <c r="K75" s="10">
        <f>+I75*J75</f>
        <v>0</v>
      </c>
      <c r="L75" s="12"/>
      <c r="M75" s="11"/>
      <c r="N75" s="10"/>
      <c r="O75" s="10">
        <f>+M75*N75</f>
        <v>0</v>
      </c>
      <c r="P75" s="12"/>
      <c r="Q75" s="46"/>
    </row>
    <row r="76" spans="1:17" ht="15.75" thickBot="1" x14ac:dyDescent="0.3">
      <c r="A76" s="15"/>
      <c r="B76" s="14"/>
      <c r="C76" s="13"/>
      <c r="D76" s="12"/>
      <c r="E76" s="11"/>
      <c r="F76" s="10"/>
      <c r="G76" s="10">
        <f>+E76*F76</f>
        <v>0</v>
      </c>
      <c r="H76" s="12"/>
      <c r="I76" s="11"/>
      <c r="J76" s="10"/>
      <c r="K76" s="10">
        <f>+I76*J76</f>
        <v>0</v>
      </c>
      <c r="L76" s="12"/>
      <c r="M76" s="11"/>
      <c r="N76" s="10"/>
      <c r="O76" s="10">
        <f>+M76*N76</f>
        <v>0</v>
      </c>
      <c r="P76" s="12"/>
      <c r="Q76" s="46"/>
    </row>
    <row r="77" spans="1:17" ht="16.5" thickBot="1" x14ac:dyDescent="0.3">
      <c r="A77" s="62" t="s">
        <v>5</v>
      </c>
      <c r="B77" s="63"/>
      <c r="C77" s="63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17"/>
      <c r="Q77" s="46"/>
    </row>
    <row r="78" spans="1:17" x14ac:dyDescent="0.25">
      <c r="A78" s="15"/>
      <c r="B78" s="14"/>
      <c r="C78" s="13"/>
      <c r="D78" s="12"/>
      <c r="E78" s="11">
        <v>1</v>
      </c>
      <c r="F78" s="10">
        <v>300</v>
      </c>
      <c r="G78" s="10">
        <f>+E78*F78</f>
        <v>300</v>
      </c>
      <c r="H78" s="12"/>
      <c r="I78" s="11">
        <v>1</v>
      </c>
      <c r="J78" s="10">
        <v>300</v>
      </c>
      <c r="K78" s="10">
        <f>+I78*J78</f>
        <v>300</v>
      </c>
      <c r="L78" s="12"/>
      <c r="M78" s="11">
        <v>1</v>
      </c>
      <c r="N78" s="10">
        <v>300</v>
      </c>
      <c r="O78" s="10">
        <f>+M78*N78</f>
        <v>300</v>
      </c>
      <c r="P78" s="12"/>
      <c r="Q78" s="46"/>
    </row>
    <row r="79" spans="1:17" ht="15.75" thickBot="1" x14ac:dyDescent="0.3">
      <c r="A79" s="15"/>
      <c r="B79" s="14"/>
      <c r="C79" s="13"/>
      <c r="D79" s="12"/>
      <c r="E79" s="11"/>
      <c r="F79" s="10"/>
      <c r="G79" s="10">
        <f>+E79*F79</f>
        <v>0</v>
      </c>
      <c r="H79" s="12"/>
      <c r="I79" s="11"/>
      <c r="J79" s="10"/>
      <c r="K79" s="10">
        <f>+I79*J79</f>
        <v>0</v>
      </c>
      <c r="L79" s="12"/>
      <c r="M79" s="11"/>
      <c r="N79" s="10"/>
      <c r="O79" s="10">
        <f>+M79*N79</f>
        <v>0</v>
      </c>
      <c r="P79" s="12"/>
      <c r="Q79" s="46"/>
    </row>
    <row r="80" spans="1:17" ht="16.5" thickBot="1" x14ac:dyDescent="0.3">
      <c r="A80" s="62" t="s">
        <v>2</v>
      </c>
      <c r="B80" s="63"/>
      <c r="C80" s="63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17"/>
      <c r="Q80" s="46"/>
    </row>
    <row r="81" spans="1:17" x14ac:dyDescent="0.25">
      <c r="A81" s="15"/>
      <c r="B81" s="14"/>
      <c r="C81" s="13"/>
      <c r="D81" s="12"/>
      <c r="E81" s="11"/>
      <c r="F81" s="10"/>
      <c r="G81" s="10">
        <f>+E81*F81</f>
        <v>0</v>
      </c>
      <c r="H81" s="12"/>
      <c r="I81" s="11"/>
      <c r="J81" s="10"/>
      <c r="K81" s="10">
        <f>+I81*J81</f>
        <v>0</v>
      </c>
      <c r="L81" s="12"/>
      <c r="M81" s="11"/>
      <c r="N81" s="10"/>
      <c r="O81" s="10">
        <f>+M81*N81</f>
        <v>0</v>
      </c>
      <c r="P81" s="12"/>
      <c r="Q81" s="46"/>
    </row>
    <row r="82" spans="1:17" ht="15.75" thickBot="1" x14ac:dyDescent="0.3">
      <c r="Q82" s="46"/>
    </row>
    <row r="83" spans="1:17" ht="21" thickBot="1" x14ac:dyDescent="0.3">
      <c r="A83" s="64" t="s">
        <v>1</v>
      </c>
      <c r="B83" s="65"/>
      <c r="C83" s="66"/>
      <c r="D83" s="5"/>
      <c r="E83" s="9"/>
      <c r="F83" s="8"/>
      <c r="G83" s="7">
        <f>SUM(G74:G82)</f>
        <v>300</v>
      </c>
      <c r="H83" s="5"/>
      <c r="I83" s="9"/>
      <c r="J83" s="8"/>
      <c r="K83" s="7">
        <f>SUM(K72:K81)</f>
        <v>300</v>
      </c>
      <c r="L83" s="5"/>
      <c r="M83" s="9"/>
      <c r="N83" s="8"/>
      <c r="O83" s="7">
        <f>SUM(O72:O81)</f>
        <v>300</v>
      </c>
      <c r="P83" s="5"/>
      <c r="Q83" s="46"/>
    </row>
    <row r="84" spans="1:17" ht="21" thickBot="1" x14ac:dyDescent="0.3">
      <c r="A84" s="60" t="s">
        <v>0</v>
      </c>
      <c r="B84" s="61"/>
      <c r="C84" s="61"/>
      <c r="D84" s="5"/>
      <c r="E84" s="4"/>
      <c r="F84" s="3"/>
      <c r="G84" s="6">
        <f>+G83/E78</f>
        <v>300</v>
      </c>
      <c r="H84" s="5"/>
      <c r="I84" s="4"/>
      <c r="J84" s="3"/>
      <c r="K84" s="6">
        <f>+K83/I78</f>
        <v>300</v>
      </c>
      <c r="L84" s="5"/>
      <c r="M84" s="4"/>
      <c r="N84" s="3"/>
      <c r="O84" s="6">
        <f>+O83/M78</f>
        <v>300</v>
      </c>
      <c r="P84" s="5"/>
      <c r="Q84" s="46"/>
    </row>
    <row r="85" spans="1:17" x14ac:dyDescent="0.25">
      <c r="Q85" s="46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46"/>
    </row>
    <row r="87" spans="1:17" ht="15.75" thickBot="1" x14ac:dyDescent="0.3">
      <c r="Q87" s="46"/>
    </row>
    <row r="88" spans="1:17" ht="32.25" thickBot="1" x14ac:dyDescent="0.3">
      <c r="A88" s="20" t="s">
        <v>480</v>
      </c>
      <c r="B88" s="19" t="s">
        <v>479</v>
      </c>
      <c r="C88" s="18" t="s">
        <v>88</v>
      </c>
      <c r="Q88" s="46"/>
    </row>
    <row r="89" spans="1:17" ht="15.75" thickBot="1" x14ac:dyDescent="0.3">
      <c r="Q89" s="46"/>
    </row>
    <row r="90" spans="1:17" ht="16.5" thickBot="1" x14ac:dyDescent="0.3">
      <c r="A90" s="62" t="s">
        <v>11</v>
      </c>
      <c r="B90" s="63"/>
      <c r="C90" s="63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17"/>
      <c r="Q90" s="46"/>
    </row>
    <row r="91" spans="1:17" x14ac:dyDescent="0.25">
      <c r="A91" s="15"/>
      <c r="B91" s="14" t="s">
        <v>252</v>
      </c>
      <c r="C91" s="13" t="s">
        <v>144</v>
      </c>
      <c r="D91" s="12"/>
      <c r="E91" s="11">
        <v>1</v>
      </c>
      <c r="F91" s="10">
        <v>75.739999999999995</v>
      </c>
      <c r="G91" s="10">
        <f t="shared" ref="G91:G116" si="3">+E91*F91</f>
        <v>75.739999999999995</v>
      </c>
      <c r="H91" s="12"/>
      <c r="I91" s="11"/>
      <c r="J91" s="10"/>
      <c r="K91" s="10">
        <f t="shared" ref="K91:K116" si="4">+I91*J91</f>
        <v>0</v>
      </c>
      <c r="L91" s="12"/>
      <c r="M91" s="11"/>
      <c r="N91" s="10"/>
      <c r="O91" s="10">
        <f t="shared" ref="O91:O116" si="5">+M91*N91</f>
        <v>0</v>
      </c>
      <c r="P91" s="12"/>
      <c r="Q91" s="47">
        <v>1</v>
      </c>
    </row>
    <row r="92" spans="1:17" x14ac:dyDescent="0.25">
      <c r="A92" s="15"/>
      <c r="B92" s="14" t="s">
        <v>478</v>
      </c>
      <c r="C92" s="13" t="s">
        <v>15</v>
      </c>
      <c r="D92" s="12"/>
      <c r="E92" s="11">
        <v>1</v>
      </c>
      <c r="F92" s="10">
        <v>0.32</v>
      </c>
      <c r="G92" s="10">
        <f t="shared" si="3"/>
        <v>0.32</v>
      </c>
      <c r="H92" s="12"/>
      <c r="I92" s="11">
        <v>2</v>
      </c>
      <c r="J92" s="10">
        <v>1.03</v>
      </c>
      <c r="K92" s="10">
        <f t="shared" si="4"/>
        <v>2.06</v>
      </c>
      <c r="L92" s="12"/>
      <c r="M92" s="11"/>
      <c r="N92" s="10"/>
      <c r="O92" s="10">
        <f t="shared" si="5"/>
        <v>0</v>
      </c>
      <c r="P92" s="12"/>
      <c r="Q92" s="47">
        <v>2</v>
      </c>
    </row>
    <row r="93" spans="1:17" x14ac:dyDescent="0.25">
      <c r="A93" s="15"/>
      <c r="B93" s="14" t="s">
        <v>470</v>
      </c>
      <c r="C93" s="13" t="s">
        <v>15</v>
      </c>
      <c r="D93" s="12"/>
      <c r="E93" s="11"/>
      <c r="F93" s="10"/>
      <c r="G93" s="10">
        <f>+E93*F93</f>
        <v>0</v>
      </c>
      <c r="H93" s="12"/>
      <c r="I93" s="11">
        <v>2</v>
      </c>
      <c r="J93" s="10">
        <v>0.53</v>
      </c>
      <c r="K93" s="10">
        <f>+I93*J93</f>
        <v>1.06</v>
      </c>
      <c r="L93" s="12"/>
      <c r="M93" s="11">
        <v>4</v>
      </c>
      <c r="N93" s="10">
        <v>0.56999999999999995</v>
      </c>
      <c r="O93" s="10">
        <f>+M93*N93</f>
        <v>2.2799999999999998</v>
      </c>
      <c r="P93" s="12"/>
      <c r="Q93" s="47">
        <v>4</v>
      </c>
    </row>
    <row r="94" spans="1:17" x14ac:dyDescent="0.25">
      <c r="A94" s="15"/>
      <c r="B94" s="14" t="s">
        <v>477</v>
      </c>
      <c r="C94" s="13" t="s">
        <v>15</v>
      </c>
      <c r="D94" s="12"/>
      <c r="E94" s="11">
        <v>6</v>
      </c>
      <c r="F94" s="10">
        <v>0.48</v>
      </c>
      <c r="G94" s="10">
        <f t="shared" si="3"/>
        <v>2.88</v>
      </c>
      <c r="H94" s="12"/>
      <c r="I94" s="11">
        <v>6</v>
      </c>
      <c r="J94" s="10">
        <v>0.74</v>
      </c>
      <c r="K94" s="10">
        <f t="shared" si="4"/>
        <v>4.4399999999999995</v>
      </c>
      <c r="L94" s="12"/>
      <c r="M94" s="11"/>
      <c r="N94" s="10"/>
      <c r="O94" s="10">
        <f t="shared" si="5"/>
        <v>0</v>
      </c>
      <c r="P94" s="12"/>
      <c r="Q94" s="47">
        <v>6</v>
      </c>
    </row>
    <row r="95" spans="1:17" ht="15" customHeight="1" x14ac:dyDescent="0.25">
      <c r="A95" s="15"/>
      <c r="B95" s="14" t="s">
        <v>265</v>
      </c>
      <c r="C95" s="13" t="s">
        <v>15</v>
      </c>
      <c r="D95" s="12"/>
      <c r="E95" s="11">
        <v>700</v>
      </c>
      <c r="F95" s="10">
        <v>0.35</v>
      </c>
      <c r="G95" s="10">
        <f t="shared" si="3"/>
        <v>244.99999999999997</v>
      </c>
      <c r="H95" s="12"/>
      <c r="I95" s="11"/>
      <c r="J95" s="10"/>
      <c r="K95" s="10">
        <f t="shared" si="4"/>
        <v>0</v>
      </c>
      <c r="L95" s="12"/>
      <c r="M95" s="11"/>
      <c r="N95" s="10"/>
      <c r="O95" s="10">
        <f t="shared" si="5"/>
        <v>0</v>
      </c>
      <c r="P95" s="12"/>
      <c r="Q95" s="47">
        <v>700</v>
      </c>
    </row>
    <row r="96" spans="1:17" ht="15" customHeight="1" x14ac:dyDescent="0.25">
      <c r="A96" s="15"/>
      <c r="B96" s="14" t="s">
        <v>465</v>
      </c>
      <c r="C96" s="13" t="s">
        <v>15</v>
      </c>
      <c r="D96" s="12"/>
      <c r="E96" s="11"/>
      <c r="F96" s="10"/>
      <c r="G96" s="10">
        <f>+E96*F96</f>
        <v>0</v>
      </c>
      <c r="H96" s="12"/>
      <c r="I96" s="11"/>
      <c r="J96" s="10"/>
      <c r="K96" s="10">
        <f>+I96*J96</f>
        <v>0</v>
      </c>
      <c r="L96" s="12"/>
      <c r="M96" s="11">
        <v>1</v>
      </c>
      <c r="N96" s="10">
        <v>27.1</v>
      </c>
      <c r="O96" s="10">
        <f>+M96*N96</f>
        <v>27.1</v>
      </c>
      <c r="P96" s="12"/>
      <c r="Q96" s="47">
        <v>3</v>
      </c>
    </row>
    <row r="97" spans="1:17" x14ac:dyDescent="0.25">
      <c r="A97" s="15"/>
      <c r="B97" s="14" t="s">
        <v>307</v>
      </c>
      <c r="C97" s="13" t="s">
        <v>174</v>
      </c>
      <c r="D97" s="12"/>
      <c r="E97" s="11">
        <v>12</v>
      </c>
      <c r="F97" s="10">
        <v>6.6619999999999999</v>
      </c>
      <c r="G97" s="10">
        <f t="shared" si="3"/>
        <v>79.944000000000003</v>
      </c>
      <c r="H97" s="12"/>
      <c r="I97" s="11">
        <v>3</v>
      </c>
      <c r="J97" s="10">
        <v>6.7</v>
      </c>
      <c r="K97" s="10">
        <f t="shared" si="4"/>
        <v>20.100000000000001</v>
      </c>
      <c r="L97" s="12"/>
      <c r="M97" s="11">
        <v>1</v>
      </c>
      <c r="N97" s="10">
        <v>6.7</v>
      </c>
      <c r="O97" s="10">
        <f t="shared" si="5"/>
        <v>6.7</v>
      </c>
      <c r="P97" s="12"/>
      <c r="Q97" s="47">
        <v>12</v>
      </c>
    </row>
    <row r="98" spans="1:17" x14ac:dyDescent="0.25">
      <c r="A98" s="15"/>
      <c r="B98" s="14" t="s">
        <v>364</v>
      </c>
      <c r="C98" s="13" t="s">
        <v>30</v>
      </c>
      <c r="D98" s="12"/>
      <c r="E98" s="11"/>
      <c r="F98" s="10"/>
      <c r="G98" s="10">
        <f>+E98*F98</f>
        <v>0</v>
      </c>
      <c r="H98" s="12"/>
      <c r="I98" s="11"/>
      <c r="J98" s="10"/>
      <c r="K98" s="10">
        <f>+I98*J98</f>
        <v>0</v>
      </c>
      <c r="L98" s="12"/>
      <c r="M98" s="11">
        <v>0.5</v>
      </c>
      <c r="N98" s="10">
        <v>3.94</v>
      </c>
      <c r="O98" s="10">
        <f>+M98*N98</f>
        <v>1.97</v>
      </c>
      <c r="P98" s="12"/>
      <c r="Q98" s="47">
        <v>0.5</v>
      </c>
    </row>
    <row r="99" spans="1:17" x14ac:dyDescent="0.25">
      <c r="A99" s="15"/>
      <c r="B99" s="14" t="s">
        <v>57</v>
      </c>
      <c r="C99" s="13" t="s">
        <v>30</v>
      </c>
      <c r="D99" s="12"/>
      <c r="E99" s="11">
        <v>2.5</v>
      </c>
      <c r="F99" s="10">
        <v>1.4950000000000001</v>
      </c>
      <c r="G99" s="10">
        <f t="shared" si="3"/>
        <v>3.7375000000000003</v>
      </c>
      <c r="H99" s="12"/>
      <c r="I99" s="11">
        <v>1.5</v>
      </c>
      <c r="J99" s="10">
        <v>2.13</v>
      </c>
      <c r="K99" s="10">
        <f t="shared" si="4"/>
        <v>3.1949999999999998</v>
      </c>
      <c r="L99" s="12"/>
      <c r="M99" s="11">
        <v>3</v>
      </c>
      <c r="N99" s="10">
        <v>2.08</v>
      </c>
      <c r="O99" s="10">
        <f t="shared" si="5"/>
        <v>6.24</v>
      </c>
      <c r="P99" s="12"/>
      <c r="Q99" s="47">
        <v>3</v>
      </c>
    </row>
    <row r="100" spans="1:17" x14ac:dyDescent="0.25">
      <c r="A100" s="15"/>
      <c r="B100" s="14" t="s">
        <v>56</v>
      </c>
      <c r="C100" s="13" t="s">
        <v>30</v>
      </c>
      <c r="D100" s="12"/>
      <c r="E100" s="11">
        <v>2.5</v>
      </c>
      <c r="F100" s="10">
        <v>1.4450000000000001</v>
      </c>
      <c r="G100" s="10">
        <f t="shared" si="3"/>
        <v>3.6125000000000003</v>
      </c>
      <c r="H100" s="12"/>
      <c r="I100" s="11"/>
      <c r="J100" s="10"/>
      <c r="K100" s="10">
        <f t="shared" si="4"/>
        <v>0</v>
      </c>
      <c r="L100" s="12"/>
      <c r="M100" s="11">
        <v>2</v>
      </c>
      <c r="N100" s="10">
        <v>2.02</v>
      </c>
      <c r="O100" s="10">
        <f t="shared" si="5"/>
        <v>4.04</v>
      </c>
      <c r="P100" s="12"/>
      <c r="Q100" s="47">
        <v>2.5</v>
      </c>
    </row>
    <row r="101" spans="1:17" ht="15" customHeight="1" x14ac:dyDescent="0.25">
      <c r="A101" s="15"/>
      <c r="B101" s="14" t="s">
        <v>463</v>
      </c>
      <c r="C101" s="13" t="s">
        <v>30</v>
      </c>
      <c r="D101" s="12"/>
      <c r="E101" s="11"/>
      <c r="F101" s="10"/>
      <c r="G101" s="10">
        <f>+E101*F101</f>
        <v>0</v>
      </c>
      <c r="H101" s="12"/>
      <c r="I101" s="11">
        <v>0.5</v>
      </c>
      <c r="J101" s="10">
        <v>3.04</v>
      </c>
      <c r="K101" s="10">
        <f>+I101*J101</f>
        <v>1.52</v>
      </c>
      <c r="L101" s="12"/>
      <c r="M101" s="11">
        <v>2</v>
      </c>
      <c r="N101" s="10">
        <v>3.21</v>
      </c>
      <c r="O101" s="10">
        <f>+M101*N101</f>
        <v>6.42</v>
      </c>
      <c r="P101" s="12"/>
      <c r="Q101" s="47">
        <v>2</v>
      </c>
    </row>
    <row r="102" spans="1:17" x14ac:dyDescent="0.25">
      <c r="A102" s="15"/>
      <c r="B102" s="14" t="s">
        <v>345</v>
      </c>
      <c r="C102" s="13" t="s">
        <v>15</v>
      </c>
      <c r="D102" s="12"/>
      <c r="E102" s="11"/>
      <c r="F102" s="10"/>
      <c r="G102" s="10">
        <f>+E102*F102</f>
        <v>0</v>
      </c>
      <c r="H102" s="12"/>
      <c r="I102" s="11"/>
      <c r="J102" s="10"/>
      <c r="K102" s="10">
        <f>+I102*J102</f>
        <v>0</v>
      </c>
      <c r="L102" s="12"/>
      <c r="M102" s="11">
        <v>54</v>
      </c>
      <c r="N102" s="10">
        <v>2.15</v>
      </c>
      <c r="O102" s="10">
        <f>+M102*N102</f>
        <v>116.1</v>
      </c>
      <c r="P102" s="12"/>
      <c r="Q102" s="47">
        <v>60</v>
      </c>
    </row>
    <row r="103" spans="1:17" ht="15" customHeight="1" x14ac:dyDescent="0.25">
      <c r="A103" s="15"/>
      <c r="B103" s="14" t="s">
        <v>229</v>
      </c>
      <c r="C103" s="13" t="s">
        <v>15</v>
      </c>
      <c r="D103" s="12"/>
      <c r="E103" s="11">
        <v>1</v>
      </c>
      <c r="F103" s="10">
        <v>5.59</v>
      </c>
      <c r="G103" s="10">
        <f t="shared" si="3"/>
        <v>5.59</v>
      </c>
      <c r="H103" s="12"/>
      <c r="I103" s="11"/>
      <c r="J103" s="10"/>
      <c r="K103" s="10">
        <f t="shared" si="4"/>
        <v>0</v>
      </c>
      <c r="L103" s="12"/>
      <c r="M103" s="11"/>
      <c r="N103" s="10"/>
      <c r="O103" s="10">
        <f t="shared" si="5"/>
        <v>0</v>
      </c>
      <c r="P103" s="12"/>
      <c r="Q103" s="47">
        <v>1</v>
      </c>
    </row>
    <row r="104" spans="1:17" x14ac:dyDescent="0.25">
      <c r="A104" s="15"/>
      <c r="B104" s="14" t="s">
        <v>468</v>
      </c>
      <c r="C104" s="13" t="s">
        <v>15</v>
      </c>
      <c r="D104" s="12"/>
      <c r="E104" s="11"/>
      <c r="F104" s="10"/>
      <c r="G104" s="10">
        <f>+E104*F104</f>
        <v>0</v>
      </c>
      <c r="H104" s="12"/>
      <c r="I104" s="11">
        <v>1</v>
      </c>
      <c r="J104" s="10">
        <v>42.47</v>
      </c>
      <c r="K104" s="10">
        <f>+I104*J104</f>
        <v>42.47</v>
      </c>
      <c r="L104" s="12"/>
      <c r="M104" s="11">
        <v>1</v>
      </c>
      <c r="N104" s="10">
        <v>45.53</v>
      </c>
      <c r="O104" s="10">
        <f>+M104*N104</f>
        <v>45.53</v>
      </c>
      <c r="P104" s="12"/>
      <c r="Q104" s="47">
        <v>1</v>
      </c>
    </row>
    <row r="105" spans="1:17" x14ac:dyDescent="0.25">
      <c r="A105" s="15"/>
      <c r="B105" s="14" t="s">
        <v>467</v>
      </c>
      <c r="C105" s="13" t="s">
        <v>15</v>
      </c>
      <c r="D105" s="12"/>
      <c r="E105" s="11"/>
      <c r="F105" s="10"/>
      <c r="G105" s="10">
        <f>+E105*F105</f>
        <v>0</v>
      </c>
      <c r="H105" s="12"/>
      <c r="I105" s="11">
        <v>1</v>
      </c>
      <c r="J105" s="10">
        <v>42.47</v>
      </c>
      <c r="K105" s="10">
        <f>+I105*J105</f>
        <v>42.47</v>
      </c>
      <c r="L105" s="12"/>
      <c r="M105" s="11">
        <v>1</v>
      </c>
      <c r="N105" s="10">
        <v>45.53</v>
      </c>
      <c r="O105" s="10">
        <f>+M105*N105</f>
        <v>45.53</v>
      </c>
      <c r="P105" s="12"/>
      <c r="Q105" s="47">
        <v>1</v>
      </c>
    </row>
    <row r="106" spans="1:17" x14ac:dyDescent="0.25">
      <c r="A106" s="15"/>
      <c r="B106" s="14" t="s">
        <v>365</v>
      </c>
      <c r="C106" s="13" t="s">
        <v>15</v>
      </c>
      <c r="D106" s="12"/>
      <c r="E106" s="11"/>
      <c r="F106" s="10"/>
      <c r="G106" s="10">
        <f>+E106*F106</f>
        <v>0</v>
      </c>
      <c r="H106" s="12"/>
      <c r="I106" s="11">
        <v>6</v>
      </c>
      <c r="J106" s="10">
        <v>1.1000000000000001</v>
      </c>
      <c r="K106" s="10">
        <f>+I106*J106</f>
        <v>6.6000000000000005</v>
      </c>
      <c r="L106" s="12"/>
      <c r="M106" s="11">
        <v>11</v>
      </c>
      <c r="N106" s="10">
        <v>1.1000000000000001</v>
      </c>
      <c r="O106" s="10">
        <f>+M106*N106</f>
        <v>12.100000000000001</v>
      </c>
      <c r="P106" s="12"/>
      <c r="Q106" s="47">
        <v>12</v>
      </c>
    </row>
    <row r="107" spans="1:17" x14ac:dyDescent="0.25">
      <c r="A107" s="15"/>
      <c r="B107" s="14" t="s">
        <v>362</v>
      </c>
      <c r="C107" s="13" t="s">
        <v>15</v>
      </c>
      <c r="D107" s="12"/>
      <c r="E107" s="11"/>
      <c r="F107" s="10"/>
      <c r="G107" s="10">
        <f>+E107*F107</f>
        <v>0</v>
      </c>
      <c r="H107" s="12"/>
      <c r="I107" s="11"/>
      <c r="J107" s="10"/>
      <c r="K107" s="10">
        <f>+I107*J107</f>
        <v>0</v>
      </c>
      <c r="L107" s="12"/>
      <c r="M107" s="11">
        <v>24</v>
      </c>
      <c r="N107" s="10">
        <v>1.2</v>
      </c>
      <c r="O107" s="10">
        <f>+M107*N107</f>
        <v>28.799999999999997</v>
      </c>
      <c r="P107" s="12"/>
      <c r="Q107" s="47">
        <v>24</v>
      </c>
    </row>
    <row r="108" spans="1:17" x14ac:dyDescent="0.25">
      <c r="A108" s="15"/>
      <c r="B108" s="14" t="s">
        <v>476</v>
      </c>
      <c r="C108" s="13" t="s">
        <v>15</v>
      </c>
      <c r="D108" s="12"/>
      <c r="E108" s="11">
        <v>5</v>
      </c>
      <c r="F108" s="10">
        <v>6</v>
      </c>
      <c r="G108" s="10">
        <f t="shared" si="3"/>
        <v>30</v>
      </c>
      <c r="H108" s="12"/>
      <c r="I108" s="11"/>
      <c r="J108" s="10"/>
      <c r="K108" s="10">
        <f t="shared" si="4"/>
        <v>0</v>
      </c>
      <c r="L108" s="12"/>
      <c r="M108" s="11">
        <v>4</v>
      </c>
      <c r="N108" s="10">
        <v>4.32</v>
      </c>
      <c r="O108" s="10">
        <f t="shared" si="5"/>
        <v>17.28</v>
      </c>
      <c r="P108" s="12"/>
      <c r="Q108" s="47">
        <v>6</v>
      </c>
    </row>
    <row r="109" spans="1:17" x14ac:dyDescent="0.25">
      <c r="A109" s="15"/>
      <c r="B109" s="14" t="s">
        <v>475</v>
      </c>
      <c r="C109" s="13" t="s">
        <v>15</v>
      </c>
      <c r="D109" s="12"/>
      <c r="E109" s="11">
        <v>10</v>
      </c>
      <c r="F109" s="10">
        <v>7.2</v>
      </c>
      <c r="G109" s="10">
        <f t="shared" si="3"/>
        <v>72</v>
      </c>
      <c r="H109" s="12"/>
      <c r="I109" s="11">
        <v>4</v>
      </c>
      <c r="J109" s="10">
        <v>6.48</v>
      </c>
      <c r="K109" s="10">
        <f t="shared" si="4"/>
        <v>25.92</v>
      </c>
      <c r="L109" s="12"/>
      <c r="M109" s="11">
        <v>12</v>
      </c>
      <c r="N109" s="10">
        <v>7.2</v>
      </c>
      <c r="O109" s="10">
        <f t="shared" si="5"/>
        <v>86.4</v>
      </c>
      <c r="P109" s="12"/>
      <c r="Q109" s="47">
        <v>12</v>
      </c>
    </row>
    <row r="110" spans="1:17" ht="15" customHeight="1" x14ac:dyDescent="0.25">
      <c r="A110" s="15"/>
      <c r="B110" s="14" t="s">
        <v>145</v>
      </c>
      <c r="C110" s="13" t="s">
        <v>144</v>
      </c>
      <c r="D110" s="12"/>
      <c r="E110" s="11"/>
      <c r="F110" s="10"/>
      <c r="G110" s="10">
        <f>+E110*F110</f>
        <v>0</v>
      </c>
      <c r="H110" s="12"/>
      <c r="I110" s="11">
        <v>1.2</v>
      </c>
      <c r="J110" s="10">
        <v>64.73</v>
      </c>
      <c r="K110" s="10">
        <f>+I110*J110</f>
        <v>77.676000000000002</v>
      </c>
      <c r="L110" s="12"/>
      <c r="M110" s="11">
        <v>0.41</v>
      </c>
      <c r="N110" s="10">
        <v>72.290000000000006</v>
      </c>
      <c r="O110" s="10">
        <f>+M110*N110</f>
        <v>29.6389</v>
      </c>
      <c r="P110" s="12"/>
      <c r="Q110" s="47">
        <v>1</v>
      </c>
    </row>
    <row r="111" spans="1:17" x14ac:dyDescent="0.25">
      <c r="A111" s="15"/>
      <c r="B111" s="14" t="s">
        <v>361</v>
      </c>
      <c r="C111" s="13" t="s">
        <v>15</v>
      </c>
      <c r="D111" s="12"/>
      <c r="E111" s="11">
        <v>18</v>
      </c>
      <c r="F111" s="10">
        <v>1.8025</v>
      </c>
      <c r="G111" s="10">
        <f t="shared" si="3"/>
        <v>32.445</v>
      </c>
      <c r="H111" s="12"/>
      <c r="I111" s="11">
        <v>6</v>
      </c>
      <c r="J111" s="10">
        <v>1.82</v>
      </c>
      <c r="K111" s="10">
        <f t="shared" si="4"/>
        <v>10.92</v>
      </c>
      <c r="L111" s="12"/>
      <c r="M111" s="11">
        <v>23</v>
      </c>
      <c r="N111" s="10">
        <v>1.85</v>
      </c>
      <c r="O111" s="10">
        <f t="shared" si="5"/>
        <v>42.550000000000004</v>
      </c>
      <c r="P111" s="12"/>
      <c r="Q111" s="47">
        <v>24</v>
      </c>
    </row>
    <row r="112" spans="1:17" x14ac:dyDescent="0.25">
      <c r="A112" s="15"/>
      <c r="B112" s="14" t="s">
        <v>53</v>
      </c>
      <c r="C112" s="13" t="s">
        <v>15</v>
      </c>
      <c r="D112" s="12"/>
      <c r="E112" s="11">
        <v>30</v>
      </c>
      <c r="F112" s="10">
        <v>2.3732000000000002</v>
      </c>
      <c r="G112" s="10">
        <f t="shared" si="3"/>
        <v>71.196000000000012</v>
      </c>
      <c r="H112" s="12"/>
      <c r="I112" s="11">
        <v>32</v>
      </c>
      <c r="J112" s="10">
        <v>2.44</v>
      </c>
      <c r="K112" s="10">
        <f t="shared" si="4"/>
        <v>78.08</v>
      </c>
      <c r="L112" s="12"/>
      <c r="M112" s="11">
        <v>42</v>
      </c>
      <c r="N112" s="10">
        <v>2.39</v>
      </c>
      <c r="O112" s="10">
        <f t="shared" si="5"/>
        <v>100.38000000000001</v>
      </c>
      <c r="P112" s="12"/>
      <c r="Q112" s="47">
        <v>36</v>
      </c>
    </row>
    <row r="113" spans="1:17" x14ac:dyDescent="0.25">
      <c r="A113" s="15"/>
      <c r="B113" s="14" t="s">
        <v>474</v>
      </c>
      <c r="C113" s="13" t="s">
        <v>15</v>
      </c>
      <c r="D113" s="12"/>
      <c r="E113" s="11">
        <v>2</v>
      </c>
      <c r="F113" s="10">
        <v>6.35</v>
      </c>
      <c r="G113" s="10">
        <f t="shared" si="3"/>
        <v>12.7</v>
      </c>
      <c r="H113" s="12"/>
      <c r="I113" s="11"/>
      <c r="J113" s="10"/>
      <c r="K113" s="10">
        <f t="shared" si="4"/>
        <v>0</v>
      </c>
      <c r="L113" s="12"/>
      <c r="M113" s="11"/>
      <c r="N113" s="10"/>
      <c r="O113" s="10">
        <f t="shared" si="5"/>
        <v>0</v>
      </c>
      <c r="P113" s="12"/>
      <c r="Q113" s="47">
        <v>2</v>
      </c>
    </row>
    <row r="114" spans="1:17" ht="15" customHeight="1" x14ac:dyDescent="0.25">
      <c r="A114" s="15"/>
      <c r="B114" s="14" t="s">
        <v>456</v>
      </c>
      <c r="C114" s="13" t="s">
        <v>144</v>
      </c>
      <c r="D114" s="12"/>
      <c r="E114" s="11">
        <v>1.3</v>
      </c>
      <c r="F114" s="10">
        <v>46.92</v>
      </c>
      <c r="G114" s="10">
        <f t="shared" si="3"/>
        <v>60.996000000000002</v>
      </c>
      <c r="H114" s="12"/>
      <c r="I114" s="11"/>
      <c r="J114" s="10"/>
      <c r="K114" s="10">
        <f t="shared" si="4"/>
        <v>0</v>
      </c>
      <c r="L114" s="12"/>
      <c r="M114" s="11"/>
      <c r="N114" s="10"/>
      <c r="O114" s="10">
        <f t="shared" si="5"/>
        <v>0</v>
      </c>
      <c r="P114" s="12"/>
      <c r="Q114" s="47">
        <v>1</v>
      </c>
    </row>
    <row r="115" spans="1:17" ht="15" customHeight="1" x14ac:dyDescent="0.25">
      <c r="A115" s="15"/>
      <c r="B115" s="14" t="s">
        <v>472</v>
      </c>
      <c r="C115" s="13" t="s">
        <v>15</v>
      </c>
      <c r="D115" s="12"/>
      <c r="E115" s="11">
        <v>2</v>
      </c>
      <c r="F115" s="10">
        <v>4.1849999999999996</v>
      </c>
      <c r="G115" s="10">
        <f t="shared" si="3"/>
        <v>8.3699999999999992</v>
      </c>
      <c r="H115" s="12"/>
      <c r="I115" s="11"/>
      <c r="J115" s="10"/>
      <c r="K115" s="10">
        <f t="shared" si="4"/>
        <v>0</v>
      </c>
      <c r="L115" s="12"/>
      <c r="M115" s="11"/>
      <c r="N115" s="10"/>
      <c r="O115" s="10">
        <f t="shared" si="5"/>
        <v>0</v>
      </c>
      <c r="P115" s="12"/>
      <c r="Q115" s="47">
        <v>2</v>
      </c>
    </row>
    <row r="116" spans="1:17" ht="15" customHeight="1" x14ac:dyDescent="0.25">
      <c r="A116" s="15"/>
      <c r="B116" s="14" t="s">
        <v>471</v>
      </c>
      <c r="C116" s="13" t="s">
        <v>15</v>
      </c>
      <c r="D116" s="12"/>
      <c r="E116" s="11">
        <v>16</v>
      </c>
      <c r="F116" s="10">
        <v>6.4020000000000001</v>
      </c>
      <c r="G116" s="10">
        <f t="shared" si="3"/>
        <v>102.432</v>
      </c>
      <c r="H116" s="12"/>
      <c r="I116" s="11">
        <v>12</v>
      </c>
      <c r="J116" s="10">
        <v>7.91</v>
      </c>
      <c r="K116" s="10">
        <f t="shared" si="4"/>
        <v>94.92</v>
      </c>
      <c r="L116" s="12"/>
      <c r="M116" s="11">
        <v>14</v>
      </c>
      <c r="N116" s="10">
        <v>8.24</v>
      </c>
      <c r="O116" s="10">
        <f t="shared" si="5"/>
        <v>115.36</v>
      </c>
      <c r="P116" s="12"/>
      <c r="Q116" s="47">
        <v>15</v>
      </c>
    </row>
    <row r="117" spans="1:17" ht="15.75" thickBot="1" x14ac:dyDescent="0.3">
      <c r="A117" s="15"/>
      <c r="B117" s="14"/>
      <c r="C117" s="13"/>
      <c r="D117" s="12"/>
      <c r="E117" s="11"/>
      <c r="F117" s="10"/>
      <c r="G117" s="10">
        <f>+E117*F117</f>
        <v>0</v>
      </c>
      <c r="H117" s="12"/>
      <c r="I117" s="11"/>
      <c r="J117" s="10"/>
      <c r="K117" s="10">
        <f>+I117*J117</f>
        <v>0</v>
      </c>
      <c r="L117" s="12"/>
      <c r="M117" s="11"/>
      <c r="N117" s="10"/>
      <c r="O117" s="10">
        <f>+M117*N117</f>
        <v>0</v>
      </c>
      <c r="P117" s="12"/>
      <c r="Q117" s="46"/>
    </row>
    <row r="118" spans="1:17" ht="16.5" thickBot="1" x14ac:dyDescent="0.3">
      <c r="A118" s="62" t="s">
        <v>5</v>
      </c>
      <c r="B118" s="63"/>
      <c r="C118" s="63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17"/>
      <c r="Q118" s="46"/>
    </row>
    <row r="119" spans="1:17" ht="15" customHeight="1" x14ac:dyDescent="0.25">
      <c r="A119" s="15"/>
      <c r="B119" s="14" t="s">
        <v>459</v>
      </c>
      <c r="C119" s="13" t="s">
        <v>88</v>
      </c>
      <c r="D119" s="12"/>
      <c r="E119" s="11">
        <v>1</v>
      </c>
      <c r="F119" s="10">
        <v>200</v>
      </c>
      <c r="G119" s="10">
        <f>+E119*F119</f>
        <v>200</v>
      </c>
      <c r="H119" s="12"/>
      <c r="I119" s="27">
        <v>1</v>
      </c>
      <c r="J119" s="10">
        <v>200</v>
      </c>
      <c r="K119" s="10">
        <f>+I119*J119</f>
        <v>200</v>
      </c>
      <c r="L119" s="12"/>
      <c r="M119" s="11">
        <v>1</v>
      </c>
      <c r="N119" s="10">
        <v>200</v>
      </c>
      <c r="O119" s="10">
        <f>+M119*N119</f>
        <v>200</v>
      </c>
      <c r="P119" s="12"/>
      <c r="Q119" s="46"/>
    </row>
    <row r="120" spans="1:17" ht="15.75" thickBot="1" x14ac:dyDescent="0.3">
      <c r="A120" s="15"/>
      <c r="B120" s="14"/>
      <c r="C120" s="13"/>
      <c r="D120" s="12"/>
      <c r="E120" s="11">
        <f>+E43</f>
        <v>325.39</v>
      </c>
      <c r="F120" s="10"/>
      <c r="G120" s="10">
        <f>+E120*F120</f>
        <v>0</v>
      </c>
      <c r="H120" s="12"/>
      <c r="I120" s="11">
        <f>+I43</f>
        <v>249.11</v>
      </c>
      <c r="J120" s="10"/>
      <c r="K120" s="10">
        <f>+I120*J120</f>
        <v>0</v>
      </c>
      <c r="L120" s="12"/>
      <c r="M120" s="11">
        <f>+M43</f>
        <v>951.68</v>
      </c>
      <c r="N120" s="10"/>
      <c r="O120" s="10">
        <f>+M120*N120</f>
        <v>0</v>
      </c>
      <c r="P120" s="12"/>
      <c r="Q120" s="46"/>
    </row>
    <row r="121" spans="1:17" ht="16.5" thickBot="1" x14ac:dyDescent="0.3">
      <c r="A121" s="62" t="s">
        <v>2</v>
      </c>
      <c r="B121" s="63"/>
      <c r="C121" s="63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17"/>
      <c r="Q121" s="46"/>
    </row>
    <row r="122" spans="1:17" x14ac:dyDescent="0.25">
      <c r="A122" s="15"/>
      <c r="B122" s="14"/>
      <c r="C122" s="13"/>
      <c r="D122" s="12"/>
      <c r="E122" s="11"/>
      <c r="F122" s="10"/>
      <c r="G122" s="10">
        <f>+E122*F122</f>
        <v>0</v>
      </c>
      <c r="H122" s="12"/>
      <c r="I122" s="11"/>
      <c r="J122" s="10"/>
      <c r="K122" s="10">
        <f>+I122*J122</f>
        <v>0</v>
      </c>
      <c r="L122" s="12"/>
      <c r="M122" s="11"/>
      <c r="N122" s="10"/>
      <c r="O122" s="10">
        <f>+M122*N122</f>
        <v>0</v>
      </c>
      <c r="P122" s="12"/>
      <c r="Q122" s="46"/>
    </row>
    <row r="123" spans="1:17" x14ac:dyDescent="0.25">
      <c r="A123" s="15"/>
      <c r="B123" s="14"/>
      <c r="C123" s="13"/>
      <c r="D123" s="12"/>
      <c r="E123" s="11"/>
      <c r="F123" s="10"/>
      <c r="G123" s="10">
        <f>+E123*F123</f>
        <v>0</v>
      </c>
      <c r="H123" s="12"/>
      <c r="I123" s="11"/>
      <c r="J123" s="10"/>
      <c r="K123" s="10">
        <f>+I123*J123</f>
        <v>0</v>
      </c>
      <c r="L123" s="12"/>
      <c r="M123" s="11"/>
      <c r="N123" s="10"/>
      <c r="O123" s="10">
        <f>+M123*N123</f>
        <v>0</v>
      </c>
      <c r="P123" s="12"/>
      <c r="Q123" s="46"/>
    </row>
    <row r="124" spans="1:17" ht="15.75" thickBot="1" x14ac:dyDescent="0.3">
      <c r="Q124" s="46"/>
    </row>
    <row r="125" spans="1:17" ht="21" thickBot="1" x14ac:dyDescent="0.3">
      <c r="A125" s="64" t="s">
        <v>1</v>
      </c>
      <c r="B125" s="65"/>
      <c r="C125" s="66"/>
      <c r="D125" s="5"/>
      <c r="E125" s="9"/>
      <c r="F125" s="8"/>
      <c r="G125" s="7">
        <f>SUM(G90:G124)</f>
        <v>1006.9630000000001</v>
      </c>
      <c r="H125" s="5"/>
      <c r="I125" s="9"/>
      <c r="J125" s="8"/>
      <c r="K125" s="7">
        <f>SUM(K91:K123)</f>
        <v>611.43100000000004</v>
      </c>
      <c r="L125" s="5"/>
      <c r="M125" s="9"/>
      <c r="N125" s="8"/>
      <c r="O125" s="7">
        <f>SUM(O88:O123)</f>
        <v>894.41890000000001</v>
      </c>
      <c r="P125" s="5"/>
      <c r="Q125" s="46"/>
    </row>
    <row r="126" spans="1:17" ht="21" thickBot="1" x14ac:dyDescent="0.3">
      <c r="A126" s="60" t="s">
        <v>0</v>
      </c>
      <c r="B126" s="61"/>
      <c r="C126" s="61"/>
      <c r="D126" s="5"/>
      <c r="E126" s="4"/>
      <c r="F126" s="3"/>
      <c r="G126" s="6">
        <f>+G125/E120</f>
        <v>3.0946341313500727</v>
      </c>
      <c r="H126" s="5"/>
      <c r="I126" s="4"/>
      <c r="J126" s="3"/>
      <c r="K126" s="6">
        <f>+K125/I120</f>
        <v>2.4544618843081372</v>
      </c>
      <c r="L126" s="5"/>
      <c r="M126" s="4"/>
      <c r="N126" s="3"/>
      <c r="O126" s="6">
        <f>+O125/M120</f>
        <v>0.93983156102891729</v>
      </c>
      <c r="P126" s="5"/>
      <c r="Q126" s="46"/>
    </row>
    <row r="127" spans="1:17" x14ac:dyDescent="0.25">
      <c r="Q127" s="46"/>
    </row>
    <row r="128" spans="1: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46"/>
    </row>
    <row r="129" spans="1:17" ht="15.75" thickBot="1" x14ac:dyDescent="0.3">
      <c r="Q129" s="46"/>
    </row>
    <row r="130" spans="1:17" ht="16.5" thickBot="1" x14ac:dyDescent="0.3">
      <c r="A130" s="20" t="s">
        <v>458</v>
      </c>
      <c r="B130" s="19" t="s">
        <v>457</v>
      </c>
      <c r="C130" s="18" t="s">
        <v>3</v>
      </c>
      <c r="Q130" s="46"/>
    </row>
    <row r="131" spans="1:17" ht="15.75" thickBot="1" x14ac:dyDescent="0.3">
      <c r="Q131" s="46"/>
    </row>
    <row r="132" spans="1:17" ht="16.5" thickBot="1" x14ac:dyDescent="0.3">
      <c r="A132" s="62" t="s">
        <v>11</v>
      </c>
      <c r="B132" s="63"/>
      <c r="C132" s="63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17"/>
      <c r="Q132" s="46"/>
    </row>
    <row r="133" spans="1:17" ht="30" x14ac:dyDescent="0.25">
      <c r="A133" s="15"/>
      <c r="B133" s="14" t="s">
        <v>9</v>
      </c>
      <c r="C133" s="13" t="s">
        <v>8</v>
      </c>
      <c r="D133" s="12"/>
      <c r="E133" s="11"/>
      <c r="F133" s="10"/>
      <c r="G133" s="10">
        <f>+E133*F133</f>
        <v>0</v>
      </c>
      <c r="H133" s="12"/>
      <c r="I133" s="11"/>
      <c r="J133" s="10"/>
      <c r="K133" s="10">
        <f>+I133*J133</f>
        <v>0</v>
      </c>
      <c r="L133" s="12"/>
      <c r="M133" s="11">
        <v>1</v>
      </c>
      <c r="N133" s="10">
        <v>6.76</v>
      </c>
      <c r="O133" s="10">
        <f>+M133*N133</f>
        <v>6.76</v>
      </c>
      <c r="P133" s="12"/>
      <c r="Q133" s="47">
        <f>1/I145</f>
        <v>7.4510096118023984E-3</v>
      </c>
    </row>
    <row r="134" spans="1:17" x14ac:dyDescent="0.25">
      <c r="A134" s="15"/>
      <c r="B134" s="14" t="s">
        <v>57</v>
      </c>
      <c r="C134" s="13" t="s">
        <v>30</v>
      </c>
      <c r="D134" s="12"/>
      <c r="E134" s="11">
        <v>7.9</v>
      </c>
      <c r="F134" s="10">
        <v>1.59</v>
      </c>
      <c r="G134" s="10">
        <f t="shared" ref="G134:G143" si="6">+E134*F134</f>
        <v>12.561000000000002</v>
      </c>
      <c r="H134" s="12"/>
      <c r="I134" s="11">
        <v>0.5</v>
      </c>
      <c r="J134" s="10">
        <v>2.2999999999999998</v>
      </c>
      <c r="K134" s="10">
        <f t="shared" ref="K134:K143" si="7">+I134*J134</f>
        <v>1.1499999999999999</v>
      </c>
      <c r="L134" s="12"/>
      <c r="M134" s="11"/>
      <c r="N134" s="10"/>
      <c r="O134" s="10">
        <f t="shared" ref="O134:O143" si="8">+M134*N134</f>
        <v>0</v>
      </c>
      <c r="P134" s="12"/>
      <c r="Q134" s="47">
        <f>+E134/E145</f>
        <v>5.7622173595915392E-2</v>
      </c>
    </row>
    <row r="135" spans="1:17" x14ac:dyDescent="0.25">
      <c r="A135" s="15"/>
      <c r="B135" s="14" t="s">
        <v>56</v>
      </c>
      <c r="C135" s="13" t="s">
        <v>30</v>
      </c>
      <c r="D135" s="12"/>
      <c r="E135" s="11">
        <v>1.5</v>
      </c>
      <c r="F135" s="10">
        <v>1.71</v>
      </c>
      <c r="G135" s="10">
        <f t="shared" si="6"/>
        <v>2.5649999999999999</v>
      </c>
      <c r="H135" s="12"/>
      <c r="I135" s="11">
        <v>5</v>
      </c>
      <c r="J135" s="10">
        <v>1.94</v>
      </c>
      <c r="K135" s="10">
        <f t="shared" si="7"/>
        <v>9.6999999999999993</v>
      </c>
      <c r="L135" s="12"/>
      <c r="M135" s="11">
        <v>1.5</v>
      </c>
      <c r="N135" s="10">
        <v>1.96</v>
      </c>
      <c r="O135" s="10">
        <f t="shared" si="8"/>
        <v>2.94</v>
      </c>
      <c r="P135" s="12"/>
      <c r="Q135" s="47">
        <f>+(E135+I135+M135)/(E145+I145+M145)</f>
        <v>1.6962449377690137E-2</v>
      </c>
    </row>
    <row r="136" spans="1:17" x14ac:dyDescent="0.25">
      <c r="A136" s="15"/>
      <c r="B136" s="14" t="s">
        <v>345</v>
      </c>
      <c r="C136" s="13" t="s">
        <v>15</v>
      </c>
      <c r="D136" s="12"/>
      <c r="E136" s="11">
        <v>53</v>
      </c>
      <c r="F136" s="10">
        <v>2.15</v>
      </c>
      <c r="G136" s="10">
        <f t="shared" si="6"/>
        <v>113.94999999999999</v>
      </c>
      <c r="H136" s="12"/>
      <c r="I136" s="11"/>
      <c r="J136" s="10"/>
      <c r="K136" s="10">
        <f t="shared" si="7"/>
        <v>0</v>
      </c>
      <c r="L136" s="12"/>
      <c r="M136" s="11"/>
      <c r="N136" s="10"/>
      <c r="O136" s="10">
        <f t="shared" si="8"/>
        <v>0</v>
      </c>
      <c r="P136" s="12"/>
      <c r="Q136" s="47">
        <f>+E136/E145</f>
        <v>0.3865791393143691</v>
      </c>
    </row>
    <row r="137" spans="1:17" x14ac:dyDescent="0.25">
      <c r="A137" s="15"/>
      <c r="B137" s="14" t="s">
        <v>365</v>
      </c>
      <c r="C137" s="13" t="s">
        <v>15</v>
      </c>
      <c r="D137" s="12"/>
      <c r="E137" s="11">
        <v>22</v>
      </c>
      <c r="F137" s="10">
        <v>1.17</v>
      </c>
      <c r="G137" s="10">
        <f t="shared" si="6"/>
        <v>25.74</v>
      </c>
      <c r="H137" s="12"/>
      <c r="I137" s="11">
        <v>35</v>
      </c>
      <c r="J137" s="10">
        <v>1.1000000000000001</v>
      </c>
      <c r="K137" s="10">
        <f t="shared" si="7"/>
        <v>38.5</v>
      </c>
      <c r="L137" s="12"/>
      <c r="M137" s="11">
        <v>15</v>
      </c>
      <c r="N137" s="10">
        <v>1.1000000000000001</v>
      </c>
      <c r="O137" s="10">
        <f t="shared" si="8"/>
        <v>16.5</v>
      </c>
      <c r="P137" s="12"/>
      <c r="Q137" s="47">
        <f>+(E137+I137+M137)/(E$145+I$145+M$145)</f>
        <v>0.15266204439921124</v>
      </c>
    </row>
    <row r="138" spans="1:17" x14ac:dyDescent="0.25">
      <c r="A138" s="15"/>
      <c r="B138" s="14" t="s">
        <v>362</v>
      </c>
      <c r="C138" s="13" t="s">
        <v>15</v>
      </c>
      <c r="D138" s="12"/>
      <c r="E138" s="11">
        <v>50</v>
      </c>
      <c r="F138" s="10">
        <v>1.2</v>
      </c>
      <c r="G138" s="10">
        <f t="shared" si="6"/>
        <v>60</v>
      </c>
      <c r="H138" s="12"/>
      <c r="I138" s="11"/>
      <c r="J138" s="10"/>
      <c r="K138" s="10">
        <f t="shared" si="7"/>
        <v>0</v>
      </c>
      <c r="L138" s="12"/>
      <c r="M138" s="11">
        <v>13</v>
      </c>
      <c r="N138" s="10">
        <v>1.2</v>
      </c>
      <c r="O138" s="10">
        <f t="shared" si="8"/>
        <v>15.6</v>
      </c>
      <c r="P138" s="12"/>
      <c r="Q138" s="47">
        <f>+(E138+M138)/(E$145+M$145)</f>
        <v>0.1867109240708909</v>
      </c>
    </row>
    <row r="139" spans="1:17" ht="30" x14ac:dyDescent="0.25">
      <c r="A139" s="15"/>
      <c r="B139" s="14" t="s">
        <v>456</v>
      </c>
      <c r="C139" s="13" t="s">
        <v>144</v>
      </c>
      <c r="D139" s="12"/>
      <c r="E139" s="11">
        <v>0.7</v>
      </c>
      <c r="F139" s="10">
        <v>46.93</v>
      </c>
      <c r="G139" s="10">
        <f t="shared" si="6"/>
        <v>32.850999999999999</v>
      </c>
      <c r="H139" s="12"/>
      <c r="I139" s="11"/>
      <c r="J139" s="10"/>
      <c r="K139" s="10">
        <f t="shared" si="7"/>
        <v>0</v>
      </c>
      <c r="L139" s="12"/>
      <c r="M139" s="11">
        <v>180</v>
      </c>
      <c r="N139" s="10">
        <v>0.61</v>
      </c>
      <c r="O139" s="10">
        <f t="shared" si="8"/>
        <v>109.8</v>
      </c>
      <c r="P139" s="12"/>
      <c r="Q139" s="47">
        <f>+(E139+(I141+M139+M140)/100)/(E145+I145+M145)</f>
        <v>9.9654390093929564E-3</v>
      </c>
    </row>
    <row r="140" spans="1:17" x14ac:dyDescent="0.25">
      <c r="A140" s="15"/>
      <c r="B140" s="14" t="s">
        <v>454</v>
      </c>
      <c r="C140" s="13" t="s">
        <v>102</v>
      </c>
      <c r="D140" s="12"/>
      <c r="E140" s="11"/>
      <c r="F140" s="10"/>
      <c r="G140" s="10">
        <f>+E140*F140</f>
        <v>0</v>
      </c>
      <c r="H140" s="12"/>
      <c r="I140" s="11"/>
      <c r="J140" s="10"/>
      <c r="K140" s="10">
        <f>+I140*J140</f>
        <v>0</v>
      </c>
      <c r="L140" s="12"/>
      <c r="M140" s="11">
        <v>70</v>
      </c>
      <c r="N140" s="10">
        <v>0.56000000000000005</v>
      </c>
      <c r="O140" s="10">
        <f>+M140*N140</f>
        <v>39.200000000000003</v>
      </c>
      <c r="P140" s="12"/>
      <c r="Q140" s="47"/>
    </row>
    <row r="141" spans="1:17" ht="30" x14ac:dyDescent="0.25">
      <c r="A141" s="15"/>
      <c r="B141" s="14" t="s">
        <v>239</v>
      </c>
      <c r="C141" s="13" t="s">
        <v>3</v>
      </c>
      <c r="D141" s="12"/>
      <c r="E141" s="11"/>
      <c r="F141" s="10"/>
      <c r="G141" s="10">
        <f>+E141*F141</f>
        <v>0</v>
      </c>
      <c r="H141" s="12"/>
      <c r="I141" s="11">
        <v>150</v>
      </c>
      <c r="J141" s="10">
        <v>0.64426666666666665</v>
      </c>
      <c r="K141" s="10">
        <f>+I141*J141</f>
        <v>96.64</v>
      </c>
      <c r="L141" s="12"/>
      <c r="M141" s="11"/>
      <c r="N141" s="10"/>
      <c r="O141" s="10">
        <f>+M141*N141</f>
        <v>0</v>
      </c>
      <c r="P141" s="12"/>
      <c r="Q141" s="47"/>
    </row>
    <row r="142" spans="1:17" x14ac:dyDescent="0.25">
      <c r="A142" s="15"/>
      <c r="B142" s="14" t="s">
        <v>455</v>
      </c>
      <c r="C142" s="13" t="s">
        <v>15</v>
      </c>
      <c r="D142" s="12"/>
      <c r="E142" s="11">
        <v>40</v>
      </c>
      <c r="F142" s="10">
        <v>1.68</v>
      </c>
      <c r="G142" s="10">
        <f t="shared" si="6"/>
        <v>67.2</v>
      </c>
      <c r="H142" s="12"/>
      <c r="I142" s="11">
        <v>35</v>
      </c>
      <c r="J142" s="10">
        <v>1.39</v>
      </c>
      <c r="K142" s="10">
        <f t="shared" si="7"/>
        <v>48.65</v>
      </c>
      <c r="L142" s="12"/>
      <c r="M142" s="11"/>
      <c r="N142" s="10"/>
      <c r="O142" s="10">
        <f t="shared" si="8"/>
        <v>0</v>
      </c>
      <c r="P142" s="12"/>
      <c r="Q142" s="47">
        <f>+(E142+I142)/(E145+I145)</f>
        <v>0.27643654859754524</v>
      </c>
    </row>
    <row r="143" spans="1:17" ht="15.75" thickBot="1" x14ac:dyDescent="0.3">
      <c r="A143" s="15"/>
      <c r="B143" s="14"/>
      <c r="C143" s="13"/>
      <c r="D143" s="12"/>
      <c r="E143" s="11"/>
      <c r="F143" s="10"/>
      <c r="G143" s="10">
        <f t="shared" si="6"/>
        <v>0</v>
      </c>
      <c r="H143" s="12"/>
      <c r="I143" s="11"/>
      <c r="J143" s="10"/>
      <c r="K143" s="10">
        <f t="shared" si="7"/>
        <v>0</v>
      </c>
      <c r="L143" s="12"/>
      <c r="M143" s="11"/>
      <c r="N143" s="10"/>
      <c r="O143" s="10">
        <f t="shared" si="8"/>
        <v>0</v>
      </c>
      <c r="P143" s="12"/>
      <c r="Q143" s="46"/>
    </row>
    <row r="144" spans="1:17" ht="16.5" thickBot="1" x14ac:dyDescent="0.3">
      <c r="A144" s="62" t="s">
        <v>5</v>
      </c>
      <c r="B144" s="63"/>
      <c r="C144" s="63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17"/>
      <c r="Q144" s="46"/>
    </row>
    <row r="145" spans="1:17" x14ac:dyDescent="0.25">
      <c r="A145" s="15"/>
      <c r="B145" s="14" t="s">
        <v>453</v>
      </c>
      <c r="C145" s="13" t="s">
        <v>3</v>
      </c>
      <c r="D145" s="12"/>
      <c r="E145" s="11">
        <v>137.1</v>
      </c>
      <c r="F145" s="10">
        <v>2.14</v>
      </c>
      <c r="G145" s="10">
        <f>+E145*F145</f>
        <v>293.39400000000001</v>
      </c>
      <c r="H145" s="12"/>
      <c r="I145" s="11">
        <v>134.21</v>
      </c>
      <c r="J145" s="10">
        <v>2.14</v>
      </c>
      <c r="K145" s="10">
        <f>+I145*J145</f>
        <v>287.20940000000002</v>
      </c>
      <c r="L145" s="12"/>
      <c r="M145" s="11">
        <v>200.32</v>
      </c>
      <c r="N145" s="10">
        <v>2.14</v>
      </c>
      <c r="O145" s="10">
        <f>+M145*N145</f>
        <v>428.6848</v>
      </c>
      <c r="P145" s="12"/>
      <c r="Q145" s="46"/>
    </row>
    <row r="146" spans="1:17" ht="15.75" thickBot="1" x14ac:dyDescent="0.3">
      <c r="A146" s="15"/>
      <c r="B146" s="14"/>
      <c r="C146" s="13"/>
      <c r="D146" s="12"/>
      <c r="E146" s="11"/>
      <c r="F146" s="10"/>
      <c r="G146" s="10">
        <f>+E146*F146</f>
        <v>0</v>
      </c>
      <c r="H146" s="12"/>
      <c r="I146" s="11"/>
      <c r="J146" s="10"/>
      <c r="K146" s="10">
        <f>+I146*J146</f>
        <v>0</v>
      </c>
      <c r="L146" s="12"/>
      <c r="M146" s="11"/>
      <c r="N146" s="10"/>
      <c r="O146" s="10">
        <f>+M146*N146</f>
        <v>0</v>
      </c>
      <c r="P146" s="12"/>
      <c r="Q146" s="46"/>
    </row>
    <row r="147" spans="1:17" ht="16.5" thickBot="1" x14ac:dyDescent="0.3">
      <c r="A147" s="62" t="s">
        <v>2</v>
      </c>
      <c r="B147" s="63"/>
      <c r="C147" s="63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17"/>
      <c r="Q147" s="46"/>
    </row>
    <row r="148" spans="1:17" x14ac:dyDescent="0.25">
      <c r="A148" s="15"/>
      <c r="B148" s="14"/>
      <c r="C148" s="13"/>
      <c r="D148" s="12"/>
      <c r="E148" s="11"/>
      <c r="F148" s="10"/>
      <c r="G148" s="10">
        <f>+E148*F148</f>
        <v>0</v>
      </c>
      <c r="H148" s="12"/>
      <c r="I148" s="11"/>
      <c r="J148" s="10"/>
      <c r="K148" s="10">
        <f>+I148*J148</f>
        <v>0</v>
      </c>
      <c r="L148" s="12"/>
      <c r="M148" s="11"/>
      <c r="N148" s="10"/>
      <c r="O148" s="10">
        <f>+M148*N148</f>
        <v>0</v>
      </c>
      <c r="P148" s="12"/>
      <c r="Q148" s="46"/>
    </row>
    <row r="149" spans="1:17" x14ac:dyDescent="0.25">
      <c r="A149" s="15"/>
      <c r="B149" s="14"/>
      <c r="C149" s="13"/>
      <c r="D149" s="12"/>
      <c r="E149" s="11"/>
      <c r="F149" s="10"/>
      <c r="G149" s="10">
        <f>+E149*F149</f>
        <v>0</v>
      </c>
      <c r="H149" s="12"/>
      <c r="I149" s="11"/>
      <c r="J149" s="10"/>
      <c r="K149" s="10">
        <f>+I149*J149</f>
        <v>0</v>
      </c>
      <c r="L149" s="12"/>
      <c r="M149" s="11"/>
      <c r="N149" s="10"/>
      <c r="O149" s="10">
        <f>+M149*N149</f>
        <v>0</v>
      </c>
      <c r="P149" s="12"/>
      <c r="Q149" s="46"/>
    </row>
    <row r="150" spans="1:17" ht="15.75" thickBot="1" x14ac:dyDescent="0.3">
      <c r="Q150" s="46"/>
    </row>
    <row r="151" spans="1:17" ht="21" thickBot="1" x14ac:dyDescent="0.3">
      <c r="A151" s="64" t="s">
        <v>1</v>
      </c>
      <c r="B151" s="65"/>
      <c r="C151" s="66"/>
      <c r="D151" s="5"/>
      <c r="E151" s="9"/>
      <c r="F151" s="8"/>
      <c r="G151" s="7">
        <f>SUM(G132:G150)</f>
        <v>608.26099999999997</v>
      </c>
      <c r="H151" s="5"/>
      <c r="I151" s="9"/>
      <c r="J151" s="8"/>
      <c r="K151" s="7">
        <f>SUM(K130:K149)</f>
        <v>481.84940000000006</v>
      </c>
      <c r="L151" s="5"/>
      <c r="M151" s="9"/>
      <c r="N151" s="8"/>
      <c r="O151" s="7">
        <f>SUM(O130:O149)</f>
        <v>619.48479999999995</v>
      </c>
      <c r="P151" s="5"/>
      <c r="Q151" s="46"/>
    </row>
    <row r="152" spans="1:17" ht="21" thickBot="1" x14ac:dyDescent="0.3">
      <c r="A152" s="60" t="s">
        <v>0</v>
      </c>
      <c r="B152" s="61"/>
      <c r="C152" s="61"/>
      <c r="D152" s="5"/>
      <c r="E152" s="4"/>
      <c r="F152" s="3"/>
      <c r="G152" s="6">
        <f>+G151/E145</f>
        <v>4.4366229029905178</v>
      </c>
      <c r="H152" s="5"/>
      <c r="I152" s="4"/>
      <c r="J152" s="3"/>
      <c r="K152" s="6">
        <f>+K151/I145</f>
        <v>3.590264510841219</v>
      </c>
      <c r="L152" s="5"/>
      <c r="M152" s="4"/>
      <c r="N152" s="3"/>
      <c r="O152" s="6">
        <f>+O151/M145</f>
        <v>3.092476038338658</v>
      </c>
      <c r="P152" s="5"/>
      <c r="Q152" s="46"/>
    </row>
    <row r="153" spans="1:17" x14ac:dyDescent="0.25">
      <c r="Q153" s="46"/>
    </row>
    <row r="154" spans="1:1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46"/>
    </row>
    <row r="155" spans="1:17" ht="15.75" thickBot="1" x14ac:dyDescent="0.3">
      <c r="Q155" s="46"/>
    </row>
    <row r="156" spans="1:17" ht="32.25" thickBot="1" x14ac:dyDescent="0.3">
      <c r="A156" s="20" t="s">
        <v>452</v>
      </c>
      <c r="B156" s="19" t="s">
        <v>451</v>
      </c>
      <c r="C156" s="18" t="s">
        <v>88</v>
      </c>
      <c r="Q156" s="46"/>
    </row>
    <row r="157" spans="1:17" ht="15.75" thickBot="1" x14ac:dyDescent="0.3">
      <c r="Q157" s="46"/>
    </row>
    <row r="158" spans="1:17" ht="16.5" thickBot="1" x14ac:dyDescent="0.3">
      <c r="A158" s="62" t="s">
        <v>11</v>
      </c>
      <c r="B158" s="63"/>
      <c r="C158" s="63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17"/>
      <c r="Q158" s="46"/>
    </row>
    <row r="159" spans="1:17" x14ac:dyDescent="0.25">
      <c r="A159" s="15"/>
      <c r="B159" s="14"/>
      <c r="C159" s="13"/>
      <c r="D159" s="12"/>
      <c r="E159" s="11"/>
      <c r="F159" s="10"/>
      <c r="G159" s="10">
        <f>+E159*F159</f>
        <v>0</v>
      </c>
      <c r="H159" s="12"/>
      <c r="I159" s="11"/>
      <c r="J159" s="10"/>
      <c r="K159" s="10">
        <f>+I159*J159</f>
        <v>0</v>
      </c>
      <c r="L159" s="12"/>
      <c r="M159" s="11"/>
      <c r="N159" s="10"/>
      <c r="O159" s="10">
        <f>+M159*N159</f>
        <v>0</v>
      </c>
      <c r="P159" s="12"/>
      <c r="Q159" s="46"/>
    </row>
    <row r="160" spans="1:17" ht="15.75" thickBot="1" x14ac:dyDescent="0.3">
      <c r="A160" s="15"/>
      <c r="B160" s="14"/>
      <c r="C160" s="13"/>
      <c r="D160" s="12"/>
      <c r="E160" s="11"/>
      <c r="F160" s="10"/>
      <c r="G160" s="10">
        <f>+E160*F160</f>
        <v>0</v>
      </c>
      <c r="H160" s="12"/>
      <c r="I160" s="11"/>
      <c r="J160" s="10"/>
      <c r="K160" s="10">
        <f>+I160*J160</f>
        <v>0</v>
      </c>
      <c r="L160" s="12"/>
      <c r="M160" s="11"/>
      <c r="N160" s="10"/>
      <c r="O160" s="10">
        <f>+M160*N160</f>
        <v>0</v>
      </c>
      <c r="P160" s="12"/>
      <c r="Q160" s="46"/>
    </row>
    <row r="161" spans="1:17" ht="16.5" thickBot="1" x14ac:dyDescent="0.3">
      <c r="A161" s="62" t="s">
        <v>5</v>
      </c>
      <c r="B161" s="63"/>
      <c r="C161" s="63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17"/>
      <c r="Q161" s="46"/>
    </row>
    <row r="162" spans="1:17" ht="30" x14ac:dyDescent="0.25">
      <c r="A162" s="15"/>
      <c r="B162" s="14" t="s">
        <v>450</v>
      </c>
      <c r="C162" s="13" t="s">
        <v>88</v>
      </c>
      <c r="D162" s="12"/>
      <c r="E162" s="11"/>
      <c r="F162" s="10"/>
      <c r="G162" s="10">
        <f>+E162*F162</f>
        <v>0</v>
      </c>
      <c r="H162" s="12"/>
      <c r="I162" s="11"/>
      <c r="J162" s="10"/>
      <c r="K162" s="10">
        <f>+I162*J162</f>
        <v>0</v>
      </c>
      <c r="L162" s="12"/>
      <c r="M162" s="11">
        <v>1</v>
      </c>
      <c r="N162" s="42">
        <v>89.29</v>
      </c>
      <c r="O162" s="10">
        <f>+M162*N162</f>
        <v>89.29</v>
      </c>
      <c r="P162" s="12"/>
      <c r="Q162" s="46"/>
    </row>
    <row r="163" spans="1:17" ht="15.75" thickBot="1" x14ac:dyDescent="0.3">
      <c r="A163" s="15"/>
      <c r="B163" s="14"/>
      <c r="C163" s="13"/>
      <c r="D163" s="12"/>
      <c r="E163" s="11"/>
      <c r="F163" s="10"/>
      <c r="G163" s="10">
        <f>+E163*F163</f>
        <v>0</v>
      </c>
      <c r="H163" s="12"/>
      <c r="I163" s="11"/>
      <c r="J163" s="10"/>
      <c r="K163" s="10">
        <f>+I163*J163</f>
        <v>0</v>
      </c>
      <c r="L163" s="12"/>
      <c r="M163" s="11"/>
      <c r="N163" s="10"/>
      <c r="O163" s="10">
        <f>+M163*N163</f>
        <v>0</v>
      </c>
      <c r="P163" s="12"/>
      <c r="Q163" s="46"/>
    </row>
    <row r="164" spans="1:17" ht="16.5" thickBot="1" x14ac:dyDescent="0.3">
      <c r="A164" s="62" t="s">
        <v>2</v>
      </c>
      <c r="B164" s="63"/>
      <c r="C164" s="63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17"/>
      <c r="Q164" s="46"/>
    </row>
    <row r="165" spans="1:17" x14ac:dyDescent="0.25">
      <c r="A165" s="15"/>
      <c r="B165" s="14"/>
      <c r="C165" s="13"/>
      <c r="D165" s="12"/>
      <c r="E165" s="11"/>
      <c r="F165" s="10"/>
      <c r="G165" s="10">
        <f>+E165*F165</f>
        <v>0</v>
      </c>
      <c r="H165" s="12"/>
      <c r="I165" s="11"/>
      <c r="J165" s="10"/>
      <c r="K165" s="10">
        <f>+I165*J165</f>
        <v>0</v>
      </c>
      <c r="L165" s="12"/>
      <c r="M165" s="11"/>
      <c r="N165" s="10"/>
      <c r="O165" s="10">
        <f>+M165*N165</f>
        <v>0</v>
      </c>
      <c r="P165" s="12"/>
      <c r="Q165" s="46"/>
    </row>
    <row r="166" spans="1:17" x14ac:dyDescent="0.25">
      <c r="A166" s="15"/>
      <c r="B166" s="14"/>
      <c r="C166" s="13"/>
      <c r="D166" s="12"/>
      <c r="E166" s="11"/>
      <c r="F166" s="10"/>
      <c r="G166" s="10">
        <f>+E166*F166</f>
        <v>0</v>
      </c>
      <c r="H166" s="12"/>
      <c r="I166" s="11"/>
      <c r="J166" s="10"/>
      <c r="K166" s="10">
        <f>+I166*J166</f>
        <v>0</v>
      </c>
      <c r="L166" s="12"/>
      <c r="M166" s="11"/>
      <c r="N166" s="10"/>
      <c r="O166" s="10">
        <f>+M166*N166</f>
        <v>0</v>
      </c>
      <c r="P166" s="12"/>
      <c r="Q166" s="46"/>
    </row>
    <row r="167" spans="1:17" ht="15.75" thickBot="1" x14ac:dyDescent="0.3">
      <c r="Q167" s="46"/>
    </row>
    <row r="168" spans="1:17" ht="21" thickBot="1" x14ac:dyDescent="0.3">
      <c r="A168" s="64" t="s">
        <v>1</v>
      </c>
      <c r="B168" s="65"/>
      <c r="C168" s="66"/>
      <c r="D168" s="5"/>
      <c r="E168" s="9"/>
      <c r="F168" s="8"/>
      <c r="G168" s="7">
        <f>SUM(G158:G167)</f>
        <v>0</v>
      </c>
      <c r="H168" s="5"/>
      <c r="I168" s="9"/>
      <c r="J168" s="8"/>
      <c r="K168" s="7">
        <f>SUM(K156:K166)</f>
        <v>0</v>
      </c>
      <c r="L168" s="5"/>
      <c r="M168" s="9"/>
      <c r="N168" s="8"/>
      <c r="O168" s="7">
        <f>SUM(O156:O166)</f>
        <v>89.29</v>
      </c>
      <c r="P168" s="5"/>
      <c r="Q168" s="46"/>
    </row>
    <row r="169" spans="1:17" ht="21" thickBot="1" x14ac:dyDescent="0.3">
      <c r="A169" s="60" t="s">
        <v>0</v>
      </c>
      <c r="B169" s="61"/>
      <c r="C169" s="61"/>
      <c r="D169" s="5"/>
      <c r="E169" s="4"/>
      <c r="F169" s="3"/>
      <c r="G169" s="6" t="e">
        <f>+G168/E162</f>
        <v>#DIV/0!</v>
      </c>
      <c r="H169" s="5"/>
      <c r="I169" s="4"/>
      <c r="J169" s="3"/>
      <c r="K169" s="6" t="e">
        <f>+K168/I162</f>
        <v>#DIV/0!</v>
      </c>
      <c r="L169" s="5"/>
      <c r="M169" s="4"/>
      <c r="N169" s="3"/>
      <c r="O169" s="6">
        <f>+O168/M162</f>
        <v>89.29</v>
      </c>
      <c r="P169" s="5"/>
      <c r="Q169" s="46"/>
    </row>
    <row r="170" spans="1:17" x14ac:dyDescent="0.25">
      <c r="Q170" s="46"/>
    </row>
    <row r="171" spans="1: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46"/>
    </row>
    <row r="172" spans="1:17" ht="15.75" thickBot="1" x14ac:dyDescent="0.3">
      <c r="Q172" s="46"/>
    </row>
    <row r="173" spans="1:17" ht="24" thickBot="1" x14ac:dyDescent="0.3">
      <c r="A173" s="22" t="s">
        <v>449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3"/>
      <c r="O173" s="22"/>
      <c r="P173" s="22"/>
      <c r="Q173" s="46"/>
    </row>
    <row r="174" spans="1:17" ht="24" thickBot="1" x14ac:dyDescent="0.3">
      <c r="A174" s="22" t="s">
        <v>448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3"/>
      <c r="O174" s="22"/>
      <c r="P174" s="22"/>
      <c r="Q174" s="46"/>
    </row>
    <row r="175" spans="1:17" ht="15.75" thickBot="1" x14ac:dyDescent="0.3">
      <c r="Q175" s="46"/>
    </row>
    <row r="176" spans="1:17" ht="32.25" thickBot="1" x14ac:dyDescent="0.3">
      <c r="A176" s="20" t="s">
        <v>447</v>
      </c>
      <c r="B176" s="19" t="s">
        <v>446</v>
      </c>
      <c r="C176" s="18" t="s">
        <v>312</v>
      </c>
      <c r="Q176" s="46"/>
    </row>
    <row r="177" spans="1:17" ht="15.75" thickBot="1" x14ac:dyDescent="0.3">
      <c r="Q177" s="46"/>
    </row>
    <row r="178" spans="1:17" ht="16.5" thickBot="1" x14ac:dyDescent="0.3">
      <c r="A178" s="62" t="s">
        <v>11</v>
      </c>
      <c r="B178" s="63"/>
      <c r="C178" s="63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17"/>
      <c r="Q178" s="46"/>
    </row>
    <row r="179" spans="1:17" x14ac:dyDescent="0.25">
      <c r="A179" s="15"/>
      <c r="B179" s="14"/>
      <c r="C179" s="13"/>
      <c r="D179" s="12"/>
      <c r="E179" s="11"/>
      <c r="F179" s="10"/>
      <c r="G179" s="10">
        <f>+E179*F179</f>
        <v>0</v>
      </c>
      <c r="H179" s="12"/>
      <c r="I179" s="11"/>
      <c r="J179" s="10"/>
      <c r="K179" s="10">
        <f>+I179*J179</f>
        <v>0</v>
      </c>
      <c r="L179" s="12"/>
      <c r="M179" s="11"/>
      <c r="N179" s="10"/>
      <c r="O179" s="10">
        <f>+M179*N179</f>
        <v>0</v>
      </c>
      <c r="P179" s="12"/>
      <c r="Q179" s="46"/>
    </row>
    <row r="180" spans="1:17" ht="15.75" thickBot="1" x14ac:dyDescent="0.3">
      <c r="A180" s="15"/>
      <c r="B180" s="14"/>
      <c r="C180" s="13"/>
      <c r="D180" s="12"/>
      <c r="E180" s="11"/>
      <c r="F180" s="10"/>
      <c r="G180" s="10">
        <f>+E180*F180</f>
        <v>0</v>
      </c>
      <c r="H180" s="12"/>
      <c r="I180" s="11"/>
      <c r="J180" s="10"/>
      <c r="K180" s="10">
        <f>+I180*J180</f>
        <v>0</v>
      </c>
      <c r="L180" s="12"/>
      <c r="M180" s="11"/>
      <c r="N180" s="10"/>
      <c r="O180" s="10">
        <f>+M180*N180</f>
        <v>0</v>
      </c>
      <c r="P180" s="12"/>
      <c r="Q180" s="46"/>
    </row>
    <row r="181" spans="1:17" ht="16.5" thickBot="1" x14ac:dyDescent="0.3">
      <c r="A181" s="62" t="s">
        <v>5</v>
      </c>
      <c r="B181" s="63"/>
      <c r="C181" s="63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17"/>
      <c r="Q181" s="46"/>
    </row>
    <row r="182" spans="1:17" x14ac:dyDescent="0.25">
      <c r="A182" s="15"/>
      <c r="B182" s="14"/>
      <c r="C182" s="13"/>
      <c r="D182" s="12"/>
      <c r="E182" s="11"/>
      <c r="F182" s="10"/>
      <c r="G182" s="10">
        <f>+E182*F182</f>
        <v>0</v>
      </c>
      <c r="H182" s="12"/>
      <c r="I182" s="11"/>
      <c r="J182" s="10"/>
      <c r="K182" s="10">
        <f>+I182*J182</f>
        <v>0</v>
      </c>
      <c r="L182" s="12"/>
      <c r="M182" s="11"/>
      <c r="N182" s="10"/>
      <c r="O182" s="10">
        <f>+M182*N182</f>
        <v>0</v>
      </c>
      <c r="P182" s="12"/>
      <c r="Q182" s="46"/>
    </row>
    <row r="183" spans="1:17" ht="15.75" thickBot="1" x14ac:dyDescent="0.3">
      <c r="A183" s="15"/>
      <c r="B183" s="14"/>
      <c r="C183" s="13"/>
      <c r="D183" s="12"/>
      <c r="E183" s="11"/>
      <c r="F183" s="10"/>
      <c r="G183" s="10">
        <f>+E183*F183</f>
        <v>0</v>
      </c>
      <c r="H183" s="12"/>
      <c r="I183" s="11"/>
      <c r="J183" s="10"/>
      <c r="K183" s="10">
        <f>+I183*J183</f>
        <v>0</v>
      </c>
      <c r="L183" s="12"/>
      <c r="M183" s="11"/>
      <c r="N183" s="10"/>
      <c r="O183" s="10">
        <f>+M183*N183</f>
        <v>0</v>
      </c>
      <c r="P183" s="12"/>
      <c r="Q183" s="46"/>
    </row>
    <row r="184" spans="1:17" ht="16.5" thickBot="1" x14ac:dyDescent="0.3">
      <c r="A184" s="62" t="s">
        <v>2</v>
      </c>
      <c r="B184" s="63"/>
      <c r="C184" s="63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17"/>
      <c r="Q184" s="46"/>
    </row>
    <row r="185" spans="1:17" ht="30" x14ac:dyDescent="0.25">
      <c r="A185" s="15"/>
      <c r="B185" s="14" t="s">
        <v>445</v>
      </c>
      <c r="C185" s="13" t="s">
        <v>6</v>
      </c>
      <c r="D185" s="12"/>
      <c r="E185" s="11"/>
      <c r="F185" s="10"/>
      <c r="G185" s="10">
        <f>+E185*F185</f>
        <v>0</v>
      </c>
      <c r="H185" s="12"/>
      <c r="I185" s="11">
        <v>618</v>
      </c>
      <c r="J185" s="10">
        <v>1.25</v>
      </c>
      <c r="K185" s="10">
        <f>+I185*J185</f>
        <v>772.5</v>
      </c>
      <c r="L185" s="12"/>
      <c r="M185" s="11">
        <v>3661.87</v>
      </c>
      <c r="N185" s="10">
        <v>1.07</v>
      </c>
      <c r="O185" s="10">
        <f>+M185*N185</f>
        <v>3918.2009000000003</v>
      </c>
      <c r="P185" s="12"/>
      <c r="Q185" s="46"/>
    </row>
    <row r="186" spans="1:17" x14ac:dyDescent="0.25">
      <c r="A186" s="15"/>
      <c r="B186" s="14"/>
      <c r="C186" s="13"/>
      <c r="D186" s="12"/>
      <c r="E186" s="11"/>
      <c r="F186" s="10"/>
      <c r="G186" s="10">
        <f>+E186*F186</f>
        <v>0</v>
      </c>
      <c r="H186" s="12"/>
      <c r="I186" s="11"/>
      <c r="J186" s="10"/>
      <c r="K186" s="10">
        <f>+I186*J186</f>
        <v>0</v>
      </c>
      <c r="L186" s="12"/>
      <c r="M186" s="11"/>
      <c r="N186" s="10"/>
      <c r="O186" s="10">
        <f>+M186*N186</f>
        <v>0</v>
      </c>
      <c r="P186" s="12"/>
      <c r="Q186" s="46"/>
    </row>
    <row r="187" spans="1:17" ht="15.75" thickBot="1" x14ac:dyDescent="0.3">
      <c r="Q187" s="46"/>
    </row>
    <row r="188" spans="1:17" ht="21" thickBot="1" x14ac:dyDescent="0.3">
      <c r="A188" s="64" t="s">
        <v>1</v>
      </c>
      <c r="B188" s="65"/>
      <c r="C188" s="66"/>
      <c r="D188" s="5"/>
      <c r="E188" s="9"/>
      <c r="F188" s="8"/>
      <c r="G188" s="7">
        <f>SUM(G178:G187)</f>
        <v>0</v>
      </c>
      <c r="H188" s="5"/>
      <c r="I188" s="9"/>
      <c r="J188" s="8"/>
      <c r="K188" s="7">
        <f>SUM(K176:K186)</f>
        <v>772.5</v>
      </c>
      <c r="L188" s="5"/>
      <c r="M188" s="9"/>
      <c r="N188" s="8"/>
      <c r="O188" s="7">
        <f>SUM(O176:O186)</f>
        <v>3918.2009000000003</v>
      </c>
      <c r="P188" s="5"/>
      <c r="Q188" s="46"/>
    </row>
    <row r="189" spans="1:17" ht="21" thickBot="1" x14ac:dyDescent="0.3">
      <c r="A189" s="60" t="s">
        <v>0</v>
      </c>
      <c r="B189" s="61"/>
      <c r="C189" s="61"/>
      <c r="D189" s="5"/>
      <c r="E189" s="4"/>
      <c r="F189" s="3"/>
      <c r="G189" s="6" t="e">
        <f>+G188/E182</f>
        <v>#DIV/0!</v>
      </c>
      <c r="H189" s="5"/>
      <c r="I189" s="4"/>
      <c r="J189" s="3"/>
      <c r="K189" s="6">
        <f>+K188/I185</f>
        <v>1.25</v>
      </c>
      <c r="L189" s="5"/>
      <c r="M189" s="4"/>
      <c r="N189" s="3"/>
      <c r="O189" s="6">
        <f>+O188/M185</f>
        <v>1.07</v>
      </c>
      <c r="P189" s="5"/>
      <c r="Q189" s="46"/>
    </row>
    <row r="190" spans="1:17" x14ac:dyDescent="0.25">
      <c r="Q190" s="46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46"/>
    </row>
    <row r="192" spans="1:17" ht="15.75" thickBot="1" x14ac:dyDescent="0.3">
      <c r="Q192" s="46"/>
    </row>
    <row r="193" spans="1:17" ht="19.5" thickBot="1" x14ac:dyDescent="0.3">
      <c r="A193" s="20" t="s">
        <v>444</v>
      </c>
      <c r="B193" s="19" t="s">
        <v>443</v>
      </c>
      <c r="C193" s="18" t="s">
        <v>312</v>
      </c>
      <c r="Q193" s="46"/>
    </row>
    <row r="194" spans="1:17" ht="15.75" thickBot="1" x14ac:dyDescent="0.3">
      <c r="Q194" s="46"/>
    </row>
    <row r="195" spans="1:17" ht="16.5" thickBot="1" x14ac:dyDescent="0.3">
      <c r="A195" s="62" t="s">
        <v>11</v>
      </c>
      <c r="B195" s="63"/>
      <c r="C195" s="63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17"/>
      <c r="Q195" s="46"/>
    </row>
    <row r="196" spans="1:17" x14ac:dyDescent="0.25">
      <c r="A196" s="15"/>
      <c r="B196" s="14"/>
      <c r="C196" s="13"/>
      <c r="D196" s="12"/>
      <c r="E196" s="11"/>
      <c r="F196" s="10"/>
      <c r="G196" s="10">
        <f>+E196*F196</f>
        <v>0</v>
      </c>
      <c r="H196" s="12"/>
      <c r="I196" s="11"/>
      <c r="J196" s="10"/>
      <c r="K196" s="10">
        <f>+I196*J196</f>
        <v>0</v>
      </c>
      <c r="L196" s="12"/>
      <c r="M196" s="11"/>
      <c r="N196" s="10"/>
      <c r="O196" s="10">
        <f>+M196*N196</f>
        <v>0</v>
      </c>
      <c r="P196" s="12"/>
      <c r="Q196" s="46"/>
    </row>
    <row r="197" spans="1:17" ht="15.75" thickBot="1" x14ac:dyDescent="0.3">
      <c r="A197" s="15"/>
      <c r="B197" s="14"/>
      <c r="C197" s="13"/>
      <c r="D197" s="12"/>
      <c r="E197" s="11"/>
      <c r="F197" s="10"/>
      <c r="G197" s="10">
        <f>+E197*F197</f>
        <v>0</v>
      </c>
      <c r="H197" s="12"/>
      <c r="I197" s="11"/>
      <c r="J197" s="10"/>
      <c r="K197" s="10">
        <f>+I197*J197</f>
        <v>0</v>
      </c>
      <c r="L197" s="12"/>
      <c r="M197" s="11"/>
      <c r="N197" s="10"/>
      <c r="O197" s="10">
        <f>+M197*N197</f>
        <v>0</v>
      </c>
      <c r="P197" s="12"/>
      <c r="Q197" s="46"/>
    </row>
    <row r="198" spans="1:17" ht="16.5" thickBot="1" x14ac:dyDescent="0.3">
      <c r="A198" s="62" t="s">
        <v>5</v>
      </c>
      <c r="B198" s="63"/>
      <c r="C198" s="63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17"/>
      <c r="Q198" s="46"/>
    </row>
    <row r="199" spans="1:17" x14ac:dyDescent="0.25">
      <c r="A199" s="15"/>
      <c r="B199" s="14"/>
      <c r="C199" s="13"/>
      <c r="D199" s="12"/>
      <c r="E199" s="11"/>
      <c r="F199" s="10"/>
      <c r="G199" s="10">
        <f>+E199*F199</f>
        <v>0</v>
      </c>
      <c r="H199" s="12"/>
      <c r="I199" s="11"/>
      <c r="J199" s="10"/>
      <c r="K199" s="10">
        <f>+I199*J199</f>
        <v>0</v>
      </c>
      <c r="L199" s="12"/>
      <c r="M199" s="11"/>
      <c r="N199" s="10"/>
      <c r="O199" s="10">
        <f>+M199*N199</f>
        <v>0</v>
      </c>
      <c r="P199" s="12"/>
      <c r="Q199" s="46"/>
    </row>
    <row r="200" spans="1:17" ht="15.75" thickBot="1" x14ac:dyDescent="0.3">
      <c r="A200" s="15"/>
      <c r="B200" s="14"/>
      <c r="C200" s="13"/>
      <c r="D200" s="12"/>
      <c r="E200" s="11"/>
      <c r="F200" s="10"/>
      <c r="G200" s="10">
        <f>+E200*F200</f>
        <v>0</v>
      </c>
      <c r="H200" s="12"/>
      <c r="I200" s="11"/>
      <c r="J200" s="10"/>
      <c r="K200" s="10">
        <f>+I200*J200</f>
        <v>0</v>
      </c>
      <c r="L200" s="12"/>
      <c r="M200" s="11"/>
      <c r="N200" s="10"/>
      <c r="O200" s="10">
        <f>+M200*N200</f>
        <v>0</v>
      </c>
      <c r="P200" s="12"/>
      <c r="Q200" s="46"/>
    </row>
    <row r="201" spans="1:17" ht="16.5" thickBot="1" x14ac:dyDescent="0.3">
      <c r="A201" s="62" t="s">
        <v>2</v>
      </c>
      <c r="B201" s="63"/>
      <c r="C201" s="63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17"/>
      <c r="Q201" s="46"/>
    </row>
    <row r="202" spans="1:17" x14ac:dyDescent="0.25">
      <c r="A202" s="15"/>
      <c r="B202" s="14" t="s">
        <v>442</v>
      </c>
      <c r="C202" s="13" t="s">
        <v>6</v>
      </c>
      <c r="D202" s="12"/>
      <c r="E202" s="11"/>
      <c r="F202" s="10"/>
      <c r="G202" s="10">
        <f>+E202*F202</f>
        <v>0</v>
      </c>
      <c r="H202" s="12"/>
      <c r="I202" s="11">
        <v>48.89</v>
      </c>
      <c r="J202" s="10">
        <v>36.78</v>
      </c>
      <c r="K202" s="10">
        <f>+I202*J202</f>
        <v>1798.1742000000002</v>
      </c>
      <c r="L202" s="12"/>
      <c r="M202" s="11">
        <v>912.76</v>
      </c>
      <c r="N202" s="42">
        <v>3.79</v>
      </c>
      <c r="O202" s="10">
        <f>+M202*N202</f>
        <v>3459.3604</v>
      </c>
      <c r="P202" s="12"/>
      <c r="Q202" s="46"/>
    </row>
    <row r="203" spans="1:17" x14ac:dyDescent="0.25">
      <c r="A203" s="15"/>
      <c r="B203" s="14"/>
      <c r="C203" s="13"/>
      <c r="D203" s="12"/>
      <c r="E203" s="11"/>
      <c r="F203" s="10"/>
      <c r="G203" s="10">
        <f>+E203*F203</f>
        <v>0</v>
      </c>
      <c r="H203" s="12"/>
      <c r="I203" s="11"/>
      <c r="J203" s="10"/>
      <c r="K203" s="10">
        <f>+I203*J203</f>
        <v>0</v>
      </c>
      <c r="L203" s="12"/>
      <c r="M203" s="11"/>
      <c r="N203" s="10"/>
      <c r="O203" s="10">
        <f>+M203*N203</f>
        <v>0</v>
      </c>
      <c r="P203" s="12"/>
      <c r="Q203" s="46"/>
    </row>
    <row r="204" spans="1:17" ht="15.75" thickBot="1" x14ac:dyDescent="0.3">
      <c r="Q204" s="46"/>
    </row>
    <row r="205" spans="1:17" ht="21" thickBot="1" x14ac:dyDescent="0.3">
      <c r="A205" s="64" t="s">
        <v>1</v>
      </c>
      <c r="B205" s="65"/>
      <c r="C205" s="66"/>
      <c r="D205" s="5"/>
      <c r="E205" s="9"/>
      <c r="F205" s="8"/>
      <c r="G205" s="7">
        <f>SUM(G195:G204)</f>
        <v>0</v>
      </c>
      <c r="H205" s="5"/>
      <c r="I205" s="9"/>
      <c r="J205" s="8"/>
      <c r="K205" s="7">
        <f>SUM(K193:K203)</f>
        <v>1798.1742000000002</v>
      </c>
      <c r="L205" s="5"/>
      <c r="M205" s="9"/>
      <c r="N205" s="8"/>
      <c r="O205" s="7">
        <f>SUM(O193:O203)</f>
        <v>3459.3604</v>
      </c>
      <c r="P205" s="5"/>
      <c r="Q205" s="46"/>
    </row>
    <row r="206" spans="1:17" ht="21" thickBot="1" x14ac:dyDescent="0.3">
      <c r="A206" s="60" t="s">
        <v>0</v>
      </c>
      <c r="B206" s="61"/>
      <c r="C206" s="61"/>
      <c r="D206" s="5"/>
      <c r="E206" s="4"/>
      <c r="F206" s="3"/>
      <c r="G206" s="6" t="e">
        <f>+G205/E199</f>
        <v>#DIV/0!</v>
      </c>
      <c r="H206" s="5"/>
      <c r="I206" s="4"/>
      <c r="J206" s="3"/>
      <c r="K206" s="6">
        <f>+K205/I202</f>
        <v>36.78</v>
      </c>
      <c r="L206" s="5"/>
      <c r="M206" s="4"/>
      <c r="N206" s="3"/>
      <c r="O206" s="6">
        <f>+O205/M202</f>
        <v>3.79</v>
      </c>
      <c r="P206" s="5"/>
      <c r="Q206" s="46"/>
    </row>
    <row r="207" spans="1:17" x14ac:dyDescent="0.25">
      <c r="Q207" s="46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46"/>
    </row>
    <row r="209" spans="1:17" ht="15.75" thickBot="1" x14ac:dyDescent="0.3">
      <c r="Q209" s="46"/>
    </row>
    <row r="210" spans="1:17" ht="19.5" thickBot="1" x14ac:dyDescent="0.3">
      <c r="A210" s="20" t="s">
        <v>441</v>
      </c>
      <c r="B210" s="19" t="s">
        <v>440</v>
      </c>
      <c r="C210" s="18" t="s">
        <v>312</v>
      </c>
      <c r="Q210" s="46"/>
    </row>
    <row r="211" spans="1:17" ht="15.75" thickBot="1" x14ac:dyDescent="0.3">
      <c r="Q211" s="46"/>
    </row>
    <row r="212" spans="1:17" ht="16.5" thickBot="1" x14ac:dyDescent="0.3">
      <c r="A212" s="62" t="s">
        <v>11</v>
      </c>
      <c r="B212" s="63"/>
      <c r="C212" s="63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17"/>
      <c r="Q212" s="46"/>
    </row>
    <row r="213" spans="1:17" ht="15.75" thickBot="1" x14ac:dyDescent="0.3">
      <c r="A213" s="15"/>
      <c r="B213" s="14"/>
      <c r="C213" s="13"/>
      <c r="D213" s="12"/>
      <c r="E213" s="11"/>
      <c r="F213" s="10"/>
      <c r="G213" s="10">
        <f>+E213*F213</f>
        <v>0</v>
      </c>
      <c r="H213" s="12"/>
      <c r="I213" s="11"/>
      <c r="J213" s="10"/>
      <c r="K213" s="10">
        <f>+I213*J213</f>
        <v>0</v>
      </c>
      <c r="L213" s="12"/>
      <c r="M213" s="11"/>
      <c r="N213" s="10"/>
      <c r="O213" s="10">
        <f>+M213*N213</f>
        <v>0</v>
      </c>
      <c r="P213" s="12"/>
      <c r="Q213" s="46"/>
    </row>
    <row r="214" spans="1:17" ht="16.5" thickBot="1" x14ac:dyDescent="0.3">
      <c r="A214" s="62" t="s">
        <v>5</v>
      </c>
      <c r="B214" s="63"/>
      <c r="C214" s="63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17"/>
      <c r="Q214" s="46"/>
    </row>
    <row r="215" spans="1:17" x14ac:dyDescent="0.25">
      <c r="A215" s="15"/>
      <c r="B215" s="14" t="s">
        <v>439</v>
      </c>
      <c r="C215" s="13" t="s">
        <v>6</v>
      </c>
      <c r="D215" s="12"/>
      <c r="E215" s="11">
        <v>1029.5899999999999</v>
      </c>
      <c r="F215" s="42">
        <v>3</v>
      </c>
      <c r="G215" s="10">
        <f>+E215*F215</f>
        <v>3088.7699999999995</v>
      </c>
      <c r="H215" s="12"/>
      <c r="I215" s="11">
        <v>41.7</v>
      </c>
      <c r="J215" s="10">
        <v>3</v>
      </c>
      <c r="K215" s="10">
        <f>+I215*J215</f>
        <v>125.10000000000001</v>
      </c>
      <c r="L215" s="12"/>
      <c r="M215" s="11">
        <v>2171.83</v>
      </c>
      <c r="N215" s="10">
        <v>2.65</v>
      </c>
      <c r="O215" s="10">
        <f>+M215*N215</f>
        <v>5755.3494999999994</v>
      </c>
      <c r="P215" s="12"/>
      <c r="Q215" s="46"/>
    </row>
    <row r="216" spans="1:17" ht="15.75" thickBot="1" x14ac:dyDescent="0.3">
      <c r="A216" s="15"/>
      <c r="B216" s="14"/>
      <c r="C216" s="13"/>
      <c r="D216" s="12"/>
      <c r="E216" s="11"/>
      <c r="F216" s="10"/>
      <c r="G216" s="10">
        <f>+E216*F216</f>
        <v>0</v>
      </c>
      <c r="H216" s="12"/>
      <c r="I216" s="11"/>
      <c r="J216" s="10"/>
      <c r="K216" s="10">
        <f>+I216*J216</f>
        <v>0</v>
      </c>
      <c r="L216" s="12"/>
      <c r="M216" s="11"/>
      <c r="N216" s="10"/>
      <c r="O216" s="10">
        <f>+M216*N216</f>
        <v>0</v>
      </c>
      <c r="P216" s="12"/>
      <c r="Q216" s="46"/>
    </row>
    <row r="217" spans="1:17" ht="16.5" thickBot="1" x14ac:dyDescent="0.3">
      <c r="A217" s="62" t="s">
        <v>2</v>
      </c>
      <c r="B217" s="63"/>
      <c r="C217" s="63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17"/>
      <c r="Q217" s="46"/>
    </row>
    <row r="218" spans="1:17" x14ac:dyDescent="0.25">
      <c r="A218" s="15"/>
      <c r="B218" s="14"/>
      <c r="C218" s="13"/>
      <c r="D218" s="12"/>
      <c r="E218" s="11"/>
      <c r="F218" s="10"/>
      <c r="G218" s="10">
        <f>+E218*F218</f>
        <v>0</v>
      </c>
      <c r="H218" s="12"/>
      <c r="I218" s="11"/>
      <c r="J218" s="10"/>
      <c r="K218" s="10">
        <f>+I218*J218</f>
        <v>0</v>
      </c>
      <c r="L218" s="12"/>
      <c r="M218" s="11"/>
      <c r="N218" s="10"/>
      <c r="O218" s="10">
        <f>+M218*N218</f>
        <v>0</v>
      </c>
      <c r="P218" s="12"/>
      <c r="Q218" s="46"/>
    </row>
    <row r="219" spans="1:17" ht="15.75" thickBot="1" x14ac:dyDescent="0.3">
      <c r="Q219" s="46"/>
    </row>
    <row r="220" spans="1:17" ht="21" thickBot="1" x14ac:dyDescent="0.3">
      <c r="A220" s="64" t="s">
        <v>1</v>
      </c>
      <c r="B220" s="65"/>
      <c r="C220" s="66"/>
      <c r="D220" s="5"/>
      <c r="E220" s="9"/>
      <c r="F220" s="8"/>
      <c r="G220" s="7">
        <f>SUM(G212:G219)</f>
        <v>3088.7699999999995</v>
      </c>
      <c r="H220" s="5"/>
      <c r="I220" s="9"/>
      <c r="J220" s="8"/>
      <c r="K220" s="7">
        <f>SUM(K210:K218)</f>
        <v>125.10000000000001</v>
      </c>
      <c r="L220" s="5"/>
      <c r="M220" s="9"/>
      <c r="N220" s="8"/>
      <c r="O220" s="7">
        <f>SUM(O210:O218)</f>
        <v>5755.3494999999994</v>
      </c>
      <c r="P220" s="5"/>
      <c r="Q220" s="46"/>
    </row>
    <row r="221" spans="1:17" ht="21" thickBot="1" x14ac:dyDescent="0.3">
      <c r="A221" s="60" t="s">
        <v>0</v>
      </c>
      <c r="B221" s="61"/>
      <c r="C221" s="61"/>
      <c r="D221" s="5"/>
      <c r="E221" s="4"/>
      <c r="F221" s="3"/>
      <c r="G221" s="6">
        <f>+G220/E215</f>
        <v>3</v>
      </c>
      <c r="H221" s="5"/>
      <c r="I221" s="4"/>
      <c r="J221" s="3"/>
      <c r="K221" s="6">
        <f>+K220/I215</f>
        <v>3</v>
      </c>
      <c r="L221" s="5"/>
      <c r="M221" s="4"/>
      <c r="N221" s="3"/>
      <c r="O221" s="6">
        <f>+O220/M215</f>
        <v>2.65</v>
      </c>
      <c r="P221" s="5"/>
      <c r="Q221" s="46"/>
    </row>
    <row r="222" spans="1:17" x14ac:dyDescent="0.25">
      <c r="Q222" s="46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46"/>
    </row>
    <row r="224" spans="1:17" ht="15.75" thickBot="1" x14ac:dyDescent="0.3">
      <c r="Q224" s="46"/>
    </row>
    <row r="225" spans="1:17" ht="19.5" thickBot="1" x14ac:dyDescent="0.3">
      <c r="A225" s="20" t="s">
        <v>438</v>
      </c>
      <c r="B225" s="19" t="s">
        <v>437</v>
      </c>
      <c r="C225" s="18" t="s">
        <v>366</v>
      </c>
      <c r="Q225" s="46"/>
    </row>
    <row r="226" spans="1:17" ht="15.75" thickBot="1" x14ac:dyDescent="0.3">
      <c r="Q226" s="46"/>
    </row>
    <row r="227" spans="1:17" ht="16.5" thickBot="1" x14ac:dyDescent="0.3">
      <c r="A227" s="62" t="s">
        <v>11</v>
      </c>
      <c r="B227" s="63"/>
      <c r="C227" s="63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17"/>
      <c r="Q227" s="46"/>
    </row>
    <row r="228" spans="1:17" x14ac:dyDescent="0.25">
      <c r="A228" s="15"/>
      <c r="B228" s="14"/>
      <c r="C228" s="13"/>
      <c r="D228" s="12"/>
      <c r="E228" s="11"/>
      <c r="F228" s="10"/>
      <c r="G228" s="10">
        <f>+E228*F228</f>
        <v>0</v>
      </c>
      <c r="H228" s="12"/>
      <c r="I228" s="11"/>
      <c r="J228" s="10"/>
      <c r="K228" s="10">
        <f>+I228*J228</f>
        <v>0</v>
      </c>
      <c r="L228" s="12"/>
      <c r="M228" s="11"/>
      <c r="N228" s="10"/>
      <c r="O228" s="10">
        <f>+M228*N228</f>
        <v>0</v>
      </c>
      <c r="P228" s="12"/>
      <c r="Q228" s="46"/>
    </row>
    <row r="229" spans="1:17" ht="15.75" thickBot="1" x14ac:dyDescent="0.3">
      <c r="A229" s="15"/>
      <c r="B229" s="14"/>
      <c r="C229" s="13"/>
      <c r="D229" s="12"/>
      <c r="E229" s="11"/>
      <c r="F229" s="10"/>
      <c r="G229" s="10">
        <f>+E229*F229</f>
        <v>0</v>
      </c>
      <c r="H229" s="12"/>
      <c r="I229" s="11"/>
      <c r="J229" s="10"/>
      <c r="K229" s="10">
        <f>+I229*J229</f>
        <v>0</v>
      </c>
      <c r="L229" s="12"/>
      <c r="M229" s="11"/>
      <c r="N229" s="10"/>
      <c r="O229" s="10">
        <f>+M229*N229</f>
        <v>0</v>
      </c>
      <c r="P229" s="12"/>
      <c r="Q229" s="46"/>
    </row>
    <row r="230" spans="1:17" ht="16.5" thickBot="1" x14ac:dyDescent="0.3">
      <c r="A230" s="62" t="s">
        <v>5</v>
      </c>
      <c r="B230" s="63"/>
      <c r="C230" s="63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6"/>
      <c r="P230" s="17"/>
      <c r="Q230" s="46"/>
    </row>
    <row r="231" spans="1:17" x14ac:dyDescent="0.25">
      <c r="A231" s="15"/>
      <c r="B231" s="14"/>
      <c r="C231" s="13"/>
      <c r="D231" s="12"/>
      <c r="E231" s="11"/>
      <c r="F231" s="10"/>
      <c r="G231" s="10"/>
      <c r="H231" s="12"/>
      <c r="I231" s="11"/>
      <c r="J231" s="10"/>
      <c r="K231" s="10"/>
      <c r="L231" s="12"/>
      <c r="M231" s="11"/>
      <c r="N231" s="10"/>
      <c r="O231" s="10"/>
      <c r="P231" s="12"/>
      <c r="Q231" s="46"/>
    </row>
    <row r="232" spans="1:17" ht="15.75" thickBot="1" x14ac:dyDescent="0.3">
      <c r="A232" s="15"/>
      <c r="B232" s="14"/>
      <c r="C232" s="13"/>
      <c r="D232" s="12"/>
      <c r="E232" s="11"/>
      <c r="F232" s="10"/>
      <c r="G232" s="10">
        <f>+E232*F232</f>
        <v>0</v>
      </c>
      <c r="H232" s="12"/>
      <c r="I232" s="11"/>
      <c r="J232" s="10"/>
      <c r="K232" s="10">
        <f>+I232*J232</f>
        <v>0</v>
      </c>
      <c r="L232" s="12"/>
      <c r="M232" s="11"/>
      <c r="N232" s="10"/>
      <c r="O232" s="10">
        <f>+M232*N232</f>
        <v>0</v>
      </c>
      <c r="P232" s="12"/>
      <c r="Q232" s="46"/>
    </row>
    <row r="233" spans="1:17" ht="16.5" thickBot="1" x14ac:dyDescent="0.3">
      <c r="A233" s="62" t="s">
        <v>2</v>
      </c>
      <c r="B233" s="63"/>
      <c r="C233" s="63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17"/>
      <c r="Q233" s="46"/>
    </row>
    <row r="234" spans="1:17" ht="18" x14ac:dyDescent="0.25">
      <c r="A234" s="15"/>
      <c r="B234" s="14" t="s">
        <v>436</v>
      </c>
      <c r="C234" s="13" t="s">
        <v>13</v>
      </c>
      <c r="D234" s="12"/>
      <c r="E234" s="11">
        <v>1729.61</v>
      </c>
      <c r="F234" s="42">
        <v>0.65</v>
      </c>
      <c r="G234" s="10">
        <f>+E234*F234</f>
        <v>1124.2465</v>
      </c>
      <c r="H234" s="12"/>
      <c r="I234" s="11">
        <v>892.62</v>
      </c>
      <c r="J234" s="10">
        <v>0.65</v>
      </c>
      <c r="K234" s="10">
        <f>+I234*J234</f>
        <v>580.20299999999997</v>
      </c>
      <c r="L234" s="12"/>
      <c r="M234" s="11">
        <v>3141.25</v>
      </c>
      <c r="N234" s="10">
        <v>0.57999999999999996</v>
      </c>
      <c r="O234" s="10">
        <f>+M234*N234</f>
        <v>1821.925</v>
      </c>
      <c r="P234" s="12"/>
      <c r="Q234" s="46"/>
    </row>
    <row r="235" spans="1:17" x14ac:dyDescent="0.25">
      <c r="A235" s="15"/>
      <c r="B235" s="14"/>
      <c r="C235" s="13"/>
      <c r="D235" s="12"/>
      <c r="E235" s="11"/>
      <c r="F235" s="10"/>
      <c r="G235" s="10">
        <f>+E235*F235</f>
        <v>0</v>
      </c>
      <c r="H235" s="12"/>
      <c r="I235" s="11"/>
      <c r="J235" s="10"/>
      <c r="K235" s="10">
        <f>+I235*J235</f>
        <v>0</v>
      </c>
      <c r="L235" s="12"/>
      <c r="M235" s="11"/>
      <c r="N235" s="10"/>
      <c r="O235" s="10">
        <f>+M235*N235</f>
        <v>0</v>
      </c>
      <c r="P235" s="12"/>
      <c r="Q235" s="46"/>
    </row>
    <row r="236" spans="1:17" x14ac:dyDescent="0.25">
      <c r="A236" s="15"/>
      <c r="B236" s="14"/>
      <c r="C236" s="13"/>
      <c r="D236" s="12"/>
      <c r="E236" s="11"/>
      <c r="F236" s="10"/>
      <c r="G236" s="10">
        <f>+E236*F236</f>
        <v>0</v>
      </c>
      <c r="H236" s="12"/>
      <c r="I236" s="11"/>
      <c r="J236" s="10"/>
      <c r="K236" s="10">
        <f>+I236*J236</f>
        <v>0</v>
      </c>
      <c r="L236" s="12"/>
      <c r="M236" s="11"/>
      <c r="N236" s="10"/>
      <c r="O236" s="10">
        <f>+M236*N236</f>
        <v>0</v>
      </c>
      <c r="P236" s="12"/>
      <c r="Q236" s="46"/>
    </row>
    <row r="237" spans="1:17" ht="15.75" thickBot="1" x14ac:dyDescent="0.3">
      <c r="Q237" s="46"/>
    </row>
    <row r="238" spans="1:17" ht="21" thickBot="1" x14ac:dyDescent="0.3">
      <c r="A238" s="64" t="s">
        <v>1</v>
      </c>
      <c r="B238" s="65"/>
      <c r="C238" s="66"/>
      <c r="D238" s="5"/>
      <c r="E238" s="9"/>
      <c r="F238" s="8"/>
      <c r="G238" s="7">
        <f>SUM(G227:G237)</f>
        <v>1124.2465</v>
      </c>
      <c r="H238" s="5"/>
      <c r="I238" s="9"/>
      <c r="J238" s="8"/>
      <c r="K238" s="7">
        <f>SUM(K225:K236)</f>
        <v>580.20299999999997</v>
      </c>
      <c r="L238" s="5"/>
      <c r="M238" s="9"/>
      <c r="N238" s="8"/>
      <c r="O238" s="7">
        <f>SUM(O225:O236)</f>
        <v>1821.925</v>
      </c>
      <c r="P238" s="5"/>
      <c r="Q238" s="46"/>
    </row>
    <row r="239" spans="1:17" ht="21" thickBot="1" x14ac:dyDescent="0.3">
      <c r="A239" s="60" t="s">
        <v>0</v>
      </c>
      <c r="B239" s="61"/>
      <c r="C239" s="61"/>
      <c r="D239" s="5"/>
      <c r="E239" s="4"/>
      <c r="F239" s="3"/>
      <c r="G239" s="6">
        <f>+G238/E234</f>
        <v>0.65</v>
      </c>
      <c r="H239" s="5"/>
      <c r="I239" s="4"/>
      <c r="J239" s="3"/>
      <c r="K239" s="6">
        <f>+K238/I234</f>
        <v>0.65</v>
      </c>
      <c r="L239" s="5"/>
      <c r="M239" s="4"/>
      <c r="N239" s="3"/>
      <c r="O239" s="6">
        <f>+O238/M234</f>
        <v>0.57999999999999996</v>
      </c>
      <c r="P239" s="5"/>
      <c r="Q239" s="46"/>
    </row>
    <row r="240" spans="1:17" x14ac:dyDescent="0.25">
      <c r="Q240" s="46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46"/>
    </row>
    <row r="242" spans="1:17" ht="15.75" thickBot="1" x14ac:dyDescent="0.3">
      <c r="Q242" s="46"/>
    </row>
    <row r="243" spans="1:17" ht="19.5" thickBot="1" x14ac:dyDescent="0.3">
      <c r="A243" s="20" t="s">
        <v>435</v>
      </c>
      <c r="B243" s="19" t="s">
        <v>434</v>
      </c>
      <c r="C243" s="18" t="s">
        <v>366</v>
      </c>
      <c r="Q243" s="46"/>
    </row>
    <row r="244" spans="1:17" ht="15.75" thickBot="1" x14ac:dyDescent="0.3">
      <c r="Q244" s="46"/>
    </row>
    <row r="245" spans="1:17" ht="16.5" thickBot="1" x14ac:dyDescent="0.3">
      <c r="A245" s="62" t="s">
        <v>11</v>
      </c>
      <c r="B245" s="63"/>
      <c r="C245" s="63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17"/>
      <c r="Q245" s="46"/>
    </row>
    <row r="246" spans="1:17" x14ac:dyDescent="0.25">
      <c r="A246" s="15"/>
      <c r="B246" s="14"/>
      <c r="C246" s="13"/>
      <c r="D246" s="12"/>
      <c r="E246" s="11"/>
      <c r="F246" s="10"/>
      <c r="G246" s="10">
        <f>+E246*F246</f>
        <v>0</v>
      </c>
      <c r="H246" s="12"/>
      <c r="I246" s="11"/>
      <c r="J246" s="10"/>
      <c r="K246" s="10">
        <f>+I246*J246</f>
        <v>0</v>
      </c>
      <c r="L246" s="12"/>
      <c r="M246" s="11"/>
      <c r="N246" s="10"/>
      <c r="O246" s="10">
        <f>+M246*N246</f>
        <v>0</v>
      </c>
      <c r="P246" s="12"/>
      <c r="Q246" s="46"/>
    </row>
    <row r="247" spans="1:17" ht="15.75" thickBot="1" x14ac:dyDescent="0.3">
      <c r="A247" s="15"/>
      <c r="B247" s="14"/>
      <c r="C247" s="13"/>
      <c r="D247" s="12"/>
      <c r="E247" s="11"/>
      <c r="F247" s="10"/>
      <c r="G247" s="10">
        <f>+E247*F247</f>
        <v>0</v>
      </c>
      <c r="H247" s="12"/>
      <c r="I247" s="11"/>
      <c r="J247" s="10"/>
      <c r="K247" s="10">
        <f>+I247*J247</f>
        <v>0</v>
      </c>
      <c r="L247" s="12"/>
      <c r="M247" s="11"/>
      <c r="N247" s="10"/>
      <c r="O247" s="10">
        <f>+M247*N247</f>
        <v>0</v>
      </c>
      <c r="P247" s="12"/>
      <c r="Q247" s="46"/>
    </row>
    <row r="248" spans="1:17" ht="16.5" thickBot="1" x14ac:dyDescent="0.3">
      <c r="A248" s="62" t="s">
        <v>5</v>
      </c>
      <c r="B248" s="63"/>
      <c r="C248" s="63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17"/>
      <c r="Q248" s="46"/>
    </row>
    <row r="249" spans="1:17" ht="18" x14ac:dyDescent="0.25">
      <c r="A249" s="15"/>
      <c r="B249" s="14" t="s">
        <v>433</v>
      </c>
      <c r="C249" s="13" t="s">
        <v>13</v>
      </c>
      <c r="D249" s="12"/>
      <c r="E249" s="11">
        <v>325.39</v>
      </c>
      <c r="F249" s="42">
        <v>0.7</v>
      </c>
      <c r="G249" s="10">
        <f>+E249*F249</f>
        <v>227.77299999999997</v>
      </c>
      <c r="H249" s="12"/>
      <c r="I249" s="11">
        <v>206.5</v>
      </c>
      <c r="J249" s="10">
        <v>0.7</v>
      </c>
      <c r="K249" s="10">
        <f>+I249*J249</f>
        <v>144.54999999999998</v>
      </c>
      <c r="L249" s="12"/>
      <c r="M249" s="11">
        <f>418.65+124.25</f>
        <v>542.9</v>
      </c>
      <c r="N249" s="10">
        <v>0.7</v>
      </c>
      <c r="O249" s="10">
        <f>+M249*N249</f>
        <v>380.03</v>
      </c>
      <c r="P249" s="12"/>
      <c r="Q249" s="46"/>
    </row>
    <row r="250" spans="1:17" x14ac:dyDescent="0.25">
      <c r="A250" s="15"/>
      <c r="B250" s="14"/>
      <c r="C250" s="13"/>
      <c r="D250" s="12"/>
      <c r="E250" s="11"/>
      <c r="F250" s="10"/>
      <c r="G250" s="10"/>
      <c r="H250" s="12"/>
      <c r="I250" s="11"/>
      <c r="J250" s="10"/>
      <c r="K250" s="10"/>
      <c r="L250" s="12"/>
      <c r="M250" s="11"/>
      <c r="N250" s="10"/>
      <c r="O250" s="10"/>
      <c r="P250" s="12"/>
      <c r="Q250" s="46"/>
    </row>
    <row r="251" spans="1:17" ht="15.75" thickBot="1" x14ac:dyDescent="0.3">
      <c r="A251" s="15"/>
      <c r="B251" s="14"/>
      <c r="C251" s="13"/>
      <c r="D251" s="12"/>
      <c r="E251" s="11"/>
      <c r="F251" s="10"/>
      <c r="G251" s="10">
        <f>+E251*F251</f>
        <v>0</v>
      </c>
      <c r="H251" s="12"/>
      <c r="I251" s="11"/>
      <c r="J251" s="10"/>
      <c r="K251" s="10">
        <f>+I251*J251</f>
        <v>0</v>
      </c>
      <c r="L251" s="12"/>
      <c r="M251" s="11"/>
      <c r="N251" s="10"/>
      <c r="O251" s="10">
        <f>+M251*N251</f>
        <v>0</v>
      </c>
      <c r="P251" s="12"/>
      <c r="Q251" s="46"/>
    </row>
    <row r="252" spans="1:17" ht="16.5" thickBot="1" x14ac:dyDescent="0.3">
      <c r="A252" s="62" t="s">
        <v>2</v>
      </c>
      <c r="B252" s="63"/>
      <c r="C252" s="63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17"/>
      <c r="Q252" s="46"/>
    </row>
    <row r="253" spans="1:17" ht="30" x14ac:dyDescent="0.25">
      <c r="A253" s="15"/>
      <c r="B253" s="14" t="s">
        <v>328</v>
      </c>
      <c r="C253" s="13" t="s">
        <v>432</v>
      </c>
      <c r="D253" s="12"/>
      <c r="E253" s="11"/>
      <c r="F253" s="10"/>
      <c r="G253" s="10">
        <f>+E253*F253</f>
        <v>0</v>
      </c>
      <c r="H253" s="12"/>
      <c r="I253" s="11"/>
      <c r="J253" s="10"/>
      <c r="K253" s="10">
        <f>+I253*J253</f>
        <v>0</v>
      </c>
      <c r="L253" s="12"/>
      <c r="M253" s="11">
        <v>1</v>
      </c>
      <c r="N253" s="10">
        <v>22</v>
      </c>
      <c r="O253" s="10">
        <f>+M253*N253</f>
        <v>22</v>
      </c>
      <c r="P253" s="12"/>
      <c r="Q253" s="49">
        <f>+M253/K256</f>
        <v>6.9180214458664834E-3</v>
      </c>
    </row>
    <row r="254" spans="1:17" x14ac:dyDescent="0.25">
      <c r="A254" s="15"/>
      <c r="B254" s="14"/>
      <c r="C254" s="13"/>
      <c r="D254" s="12"/>
      <c r="E254" s="11"/>
      <c r="F254" s="10"/>
      <c r="G254" s="10">
        <f>+E254*F254</f>
        <v>0</v>
      </c>
      <c r="H254" s="12"/>
      <c r="I254" s="11"/>
      <c r="J254" s="10"/>
      <c r="K254" s="10">
        <f>+I254*J254</f>
        <v>0</v>
      </c>
      <c r="L254" s="12"/>
      <c r="M254" s="11"/>
      <c r="N254" s="10"/>
      <c r="O254" s="10">
        <f>+M254*N254</f>
        <v>0</v>
      </c>
      <c r="P254" s="12"/>
      <c r="Q254" s="46"/>
    </row>
    <row r="255" spans="1:17" ht="15.75" thickBot="1" x14ac:dyDescent="0.3">
      <c r="Q255" s="46"/>
    </row>
    <row r="256" spans="1:17" ht="21" thickBot="1" x14ac:dyDescent="0.3">
      <c r="A256" s="64" t="s">
        <v>1</v>
      </c>
      <c r="B256" s="65"/>
      <c r="C256" s="66"/>
      <c r="D256" s="5"/>
      <c r="E256" s="9"/>
      <c r="F256" s="8"/>
      <c r="G256" s="7">
        <f>SUM(G245:G255)</f>
        <v>227.77299999999997</v>
      </c>
      <c r="H256" s="5"/>
      <c r="I256" s="9"/>
      <c r="J256" s="8"/>
      <c r="K256" s="7">
        <f>SUM(K243:K254)</f>
        <v>144.54999999999998</v>
      </c>
      <c r="L256" s="5"/>
      <c r="M256" s="9"/>
      <c r="N256" s="8"/>
      <c r="O256" s="7">
        <f>SUM(O243:O254)</f>
        <v>402.03</v>
      </c>
      <c r="P256" s="5"/>
      <c r="Q256" s="46"/>
    </row>
    <row r="257" spans="1:17" ht="21" thickBot="1" x14ac:dyDescent="0.3">
      <c r="A257" s="60" t="s">
        <v>0</v>
      </c>
      <c r="B257" s="61"/>
      <c r="C257" s="61"/>
      <c r="D257" s="5"/>
      <c r="E257" s="4"/>
      <c r="F257" s="3"/>
      <c r="G257" s="6">
        <f>+G256/E249</f>
        <v>0.7</v>
      </c>
      <c r="H257" s="5"/>
      <c r="I257" s="4"/>
      <c r="J257" s="3"/>
      <c r="K257" s="6">
        <f>+K256/I249</f>
        <v>0.7</v>
      </c>
      <c r="L257" s="5"/>
      <c r="M257" s="4"/>
      <c r="N257" s="3"/>
      <c r="O257" s="6">
        <f>+O256/M249</f>
        <v>0.74052311659605818</v>
      </c>
      <c r="P257" s="5"/>
      <c r="Q257" s="46"/>
    </row>
    <row r="258" spans="1:17" x14ac:dyDescent="0.25">
      <c r="Q258" s="46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46"/>
    </row>
    <row r="260" spans="1:17" ht="15.75" thickBot="1" x14ac:dyDescent="0.3">
      <c r="Q260" s="46"/>
    </row>
    <row r="261" spans="1:17" ht="19.5" thickBot="1" x14ac:dyDescent="0.3">
      <c r="A261" s="20" t="s">
        <v>431</v>
      </c>
      <c r="B261" s="19" t="s">
        <v>430</v>
      </c>
      <c r="C261" s="18" t="s">
        <v>312</v>
      </c>
      <c r="Q261" s="46"/>
    </row>
    <row r="262" spans="1:17" ht="15.75" thickBot="1" x14ac:dyDescent="0.3">
      <c r="Q262" s="46"/>
    </row>
    <row r="263" spans="1:17" ht="16.5" thickBot="1" x14ac:dyDescent="0.3">
      <c r="A263" s="62" t="s">
        <v>11</v>
      </c>
      <c r="B263" s="63"/>
      <c r="C263" s="63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6"/>
      <c r="P263" s="17"/>
      <c r="Q263" s="46"/>
    </row>
    <row r="264" spans="1:17" x14ac:dyDescent="0.25">
      <c r="A264" s="15"/>
      <c r="B264" s="14"/>
      <c r="C264" s="13"/>
      <c r="D264" s="12"/>
      <c r="E264" s="11"/>
      <c r="F264" s="10"/>
      <c r="G264" s="10">
        <f>+E264*F264</f>
        <v>0</v>
      </c>
      <c r="H264" s="12"/>
      <c r="I264" s="11"/>
      <c r="J264" s="10"/>
      <c r="K264" s="10">
        <f>+I264*J264</f>
        <v>0</v>
      </c>
      <c r="L264" s="12"/>
      <c r="M264" s="11"/>
      <c r="N264" s="10"/>
      <c r="O264" s="10">
        <f>+M264*N264</f>
        <v>0</v>
      </c>
      <c r="P264" s="12"/>
      <c r="Q264" s="46"/>
    </row>
    <row r="265" spans="1:17" ht="15.75" thickBot="1" x14ac:dyDescent="0.3">
      <c r="A265" s="15"/>
      <c r="B265" s="14"/>
      <c r="C265" s="13"/>
      <c r="D265" s="12"/>
      <c r="E265" s="11"/>
      <c r="F265" s="10"/>
      <c r="G265" s="10">
        <f>+E265*F265</f>
        <v>0</v>
      </c>
      <c r="H265" s="12"/>
      <c r="I265" s="11"/>
      <c r="J265" s="10"/>
      <c r="K265" s="10">
        <f>+I265*J265</f>
        <v>0</v>
      </c>
      <c r="L265" s="12"/>
      <c r="M265" s="11"/>
      <c r="N265" s="10"/>
      <c r="O265" s="10">
        <f>+M265*N265</f>
        <v>0</v>
      </c>
      <c r="P265" s="12"/>
      <c r="Q265" s="46"/>
    </row>
    <row r="266" spans="1:17" ht="16.5" thickBot="1" x14ac:dyDescent="0.3">
      <c r="A266" s="62" t="s">
        <v>5</v>
      </c>
      <c r="B266" s="63"/>
      <c r="C266" s="63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17"/>
      <c r="Q266" s="46"/>
    </row>
    <row r="267" spans="1:17" x14ac:dyDescent="0.25">
      <c r="A267" s="15"/>
      <c r="B267" s="14"/>
      <c r="C267" s="13"/>
      <c r="D267" s="12"/>
      <c r="E267" s="11"/>
      <c r="F267" s="10"/>
      <c r="G267" s="10">
        <f>+E267*F267</f>
        <v>0</v>
      </c>
      <c r="H267" s="12"/>
      <c r="I267" s="11"/>
      <c r="J267" s="10"/>
      <c r="K267" s="10">
        <f>+I267*J267</f>
        <v>0</v>
      </c>
      <c r="L267" s="12"/>
      <c r="M267" s="11"/>
      <c r="N267" s="10"/>
      <c r="O267" s="10">
        <f>+M267*N267</f>
        <v>0</v>
      </c>
      <c r="P267" s="12"/>
      <c r="Q267" s="46"/>
    </row>
    <row r="268" spans="1:17" ht="15.75" thickBot="1" x14ac:dyDescent="0.3">
      <c r="A268" s="15"/>
      <c r="B268" s="14"/>
      <c r="C268" s="13"/>
      <c r="D268" s="12"/>
      <c r="E268" s="11"/>
      <c r="F268" s="10"/>
      <c r="G268" s="10">
        <f>+E268*F268</f>
        <v>0</v>
      </c>
      <c r="H268" s="12"/>
      <c r="I268" s="11"/>
      <c r="J268" s="10"/>
      <c r="K268" s="10">
        <f>+I268*J268</f>
        <v>0</v>
      </c>
      <c r="L268" s="12"/>
      <c r="M268" s="11"/>
      <c r="N268" s="10"/>
      <c r="O268" s="10">
        <f>+M268*N268</f>
        <v>0</v>
      </c>
      <c r="P268" s="12"/>
      <c r="Q268" s="46"/>
    </row>
    <row r="269" spans="1:17" ht="16.5" thickBot="1" x14ac:dyDescent="0.3">
      <c r="A269" s="62" t="s">
        <v>2</v>
      </c>
      <c r="B269" s="63"/>
      <c r="C269" s="63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17"/>
      <c r="Q269" s="46"/>
    </row>
    <row r="270" spans="1:17" ht="18" x14ac:dyDescent="0.25">
      <c r="A270" s="15"/>
      <c r="B270" s="14" t="s">
        <v>429</v>
      </c>
      <c r="C270" s="13" t="s">
        <v>42</v>
      </c>
      <c r="D270" s="12"/>
      <c r="E270" s="11">
        <v>787.49</v>
      </c>
      <c r="F270" s="42">
        <v>3.92</v>
      </c>
      <c r="G270" s="10">
        <f>+E270*F270</f>
        <v>3086.9607999999998</v>
      </c>
      <c r="H270" s="12"/>
      <c r="I270" s="11"/>
      <c r="J270" s="10"/>
      <c r="K270" s="10">
        <f>+I270*J270</f>
        <v>0</v>
      </c>
      <c r="L270" s="12"/>
      <c r="M270" s="11"/>
      <c r="N270" s="10"/>
      <c r="O270" s="10">
        <f>+M270*N270</f>
        <v>0</v>
      </c>
      <c r="P270" s="12"/>
      <c r="Q270" s="46"/>
    </row>
    <row r="271" spans="1:17" x14ac:dyDescent="0.25">
      <c r="A271" s="15"/>
      <c r="B271" s="14"/>
      <c r="C271" s="13"/>
      <c r="D271" s="12"/>
      <c r="E271" s="11"/>
      <c r="F271" s="10"/>
      <c r="G271" s="10">
        <f>+E271*F271</f>
        <v>0</v>
      </c>
      <c r="H271" s="12"/>
      <c r="I271" s="11"/>
      <c r="J271" s="10"/>
      <c r="K271" s="10">
        <f>+I271*J271</f>
        <v>0</v>
      </c>
      <c r="L271" s="12"/>
      <c r="M271" s="11"/>
      <c r="N271" s="10"/>
      <c r="O271" s="10">
        <f>+M271*N271</f>
        <v>0</v>
      </c>
      <c r="P271" s="12"/>
      <c r="Q271" s="46"/>
    </row>
    <row r="272" spans="1:17" x14ac:dyDescent="0.25">
      <c r="A272" s="15"/>
      <c r="B272" s="14"/>
      <c r="C272" s="13"/>
      <c r="D272" s="12"/>
      <c r="E272" s="11"/>
      <c r="F272" s="10"/>
      <c r="G272" s="10">
        <f>+E272*F272</f>
        <v>0</v>
      </c>
      <c r="H272" s="12"/>
      <c r="I272" s="11"/>
      <c r="J272" s="10"/>
      <c r="K272" s="10">
        <f>+I272*J272</f>
        <v>0</v>
      </c>
      <c r="L272" s="12"/>
      <c r="M272" s="11"/>
      <c r="N272" s="10"/>
      <c r="O272" s="10">
        <f>+M272*N272</f>
        <v>0</v>
      </c>
      <c r="P272" s="12"/>
      <c r="Q272" s="46"/>
    </row>
    <row r="273" spans="1:17" ht="15.75" thickBot="1" x14ac:dyDescent="0.3">
      <c r="Q273" s="46"/>
    </row>
    <row r="274" spans="1:17" ht="21" thickBot="1" x14ac:dyDescent="0.3">
      <c r="A274" s="64" t="s">
        <v>1</v>
      </c>
      <c r="B274" s="65"/>
      <c r="C274" s="66"/>
      <c r="D274" s="5"/>
      <c r="E274" s="9"/>
      <c r="F274" s="8"/>
      <c r="G274" s="7">
        <f>SUM(G263:G273)</f>
        <v>3086.9607999999998</v>
      </c>
      <c r="H274" s="5"/>
      <c r="I274" s="9"/>
      <c r="J274" s="8"/>
      <c r="K274" s="7">
        <f>SUM(K261:K272)</f>
        <v>0</v>
      </c>
      <c r="L274" s="5"/>
      <c r="M274" s="9"/>
      <c r="N274" s="8"/>
      <c r="O274" s="7">
        <f>SUM(O261:O272)</f>
        <v>0</v>
      </c>
      <c r="P274" s="5"/>
      <c r="Q274" s="46"/>
    </row>
    <row r="275" spans="1:17" ht="21" thickBot="1" x14ac:dyDescent="0.3">
      <c r="A275" s="60" t="s">
        <v>0</v>
      </c>
      <c r="B275" s="61"/>
      <c r="C275" s="61"/>
      <c r="D275" s="5"/>
      <c r="E275" s="4"/>
      <c r="F275" s="3"/>
      <c r="G275" s="6">
        <f>+G274/E270</f>
        <v>3.92</v>
      </c>
      <c r="H275" s="5"/>
      <c r="I275" s="4"/>
      <c r="J275" s="3"/>
      <c r="K275" s="6" t="e">
        <f>+K274/I267</f>
        <v>#DIV/0!</v>
      </c>
      <c r="L275" s="5"/>
      <c r="M275" s="4"/>
      <c r="N275" s="3"/>
      <c r="O275" s="6" t="e">
        <f>+O274/M267</f>
        <v>#DIV/0!</v>
      </c>
      <c r="P275" s="5"/>
      <c r="Q275" s="46"/>
    </row>
    <row r="276" spans="1:17" x14ac:dyDescent="0.25">
      <c r="Q276" s="46"/>
    </row>
    <row r="277" spans="1: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46"/>
    </row>
    <row r="278" spans="1:17" ht="15.75" thickBot="1" x14ac:dyDescent="0.3">
      <c r="Q278" s="46"/>
    </row>
    <row r="279" spans="1:17" ht="16.5" thickBot="1" x14ac:dyDescent="0.3">
      <c r="A279" s="20" t="s">
        <v>428</v>
      </c>
      <c r="B279" s="19" t="s">
        <v>427</v>
      </c>
      <c r="C279" s="18" t="s">
        <v>88</v>
      </c>
      <c r="Q279" s="46"/>
    </row>
    <row r="280" spans="1:17" ht="15.75" thickBot="1" x14ac:dyDescent="0.3">
      <c r="Q280" s="46"/>
    </row>
    <row r="281" spans="1:17" ht="16.5" thickBot="1" x14ac:dyDescent="0.3">
      <c r="A281" s="62" t="s">
        <v>11</v>
      </c>
      <c r="B281" s="63"/>
      <c r="C281" s="63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17"/>
      <c r="Q281" s="46"/>
    </row>
    <row r="282" spans="1:17" x14ac:dyDescent="0.25">
      <c r="A282" s="15"/>
      <c r="B282" s="14"/>
      <c r="C282" s="13"/>
      <c r="D282" s="12"/>
      <c r="E282" s="11"/>
      <c r="F282" s="10"/>
      <c r="G282" s="10">
        <f>+E282*F282</f>
        <v>0</v>
      </c>
      <c r="H282" s="12"/>
      <c r="I282" s="11"/>
      <c r="J282" s="10"/>
      <c r="K282" s="10">
        <f>+I282*J282</f>
        <v>0</v>
      </c>
      <c r="L282" s="12"/>
      <c r="M282" s="11"/>
      <c r="N282" s="10"/>
      <c r="O282" s="10">
        <f>+M282*N282</f>
        <v>0</v>
      </c>
      <c r="P282" s="12"/>
      <c r="Q282" s="46"/>
    </row>
    <row r="283" spans="1:17" ht="15.75" thickBot="1" x14ac:dyDescent="0.3">
      <c r="A283" s="15"/>
      <c r="B283" s="14"/>
      <c r="C283" s="13"/>
      <c r="D283" s="12"/>
      <c r="E283" s="11"/>
      <c r="F283" s="10"/>
      <c r="G283" s="10">
        <f>+E283*F283</f>
        <v>0</v>
      </c>
      <c r="H283" s="12"/>
      <c r="I283" s="11"/>
      <c r="J283" s="10"/>
      <c r="K283" s="10">
        <f>+I283*J283</f>
        <v>0</v>
      </c>
      <c r="L283" s="12"/>
      <c r="M283" s="11"/>
      <c r="N283" s="10"/>
      <c r="O283" s="10">
        <f>+M283*N283</f>
        <v>0</v>
      </c>
      <c r="P283" s="12"/>
      <c r="Q283" s="46"/>
    </row>
    <row r="284" spans="1:17" ht="16.5" thickBot="1" x14ac:dyDescent="0.3">
      <c r="A284" s="62" t="s">
        <v>5</v>
      </c>
      <c r="B284" s="63"/>
      <c r="C284" s="63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17"/>
      <c r="Q284" s="46"/>
    </row>
    <row r="285" spans="1:17" x14ac:dyDescent="0.25">
      <c r="A285" s="15"/>
      <c r="B285" s="14"/>
      <c r="C285" s="13"/>
      <c r="D285" s="12"/>
      <c r="E285" s="11"/>
      <c r="F285" s="10"/>
      <c r="G285" s="10">
        <f>+E285*F285</f>
        <v>0</v>
      </c>
      <c r="H285" s="12"/>
      <c r="I285" s="11"/>
      <c r="J285" s="10"/>
      <c r="K285" s="10">
        <f>+I285*J285</f>
        <v>0</v>
      </c>
      <c r="L285" s="12"/>
      <c r="M285" s="11"/>
      <c r="N285" s="10"/>
      <c r="O285" s="10">
        <f>+M285*N285</f>
        <v>0</v>
      </c>
      <c r="P285" s="12"/>
      <c r="Q285" s="46"/>
    </row>
    <row r="286" spans="1:17" ht="15.75" thickBot="1" x14ac:dyDescent="0.3">
      <c r="A286" s="15"/>
      <c r="B286" s="14"/>
      <c r="C286" s="13"/>
      <c r="D286" s="12"/>
      <c r="E286" s="11"/>
      <c r="F286" s="10"/>
      <c r="G286" s="10">
        <f>+E286*F286</f>
        <v>0</v>
      </c>
      <c r="H286" s="12"/>
      <c r="I286" s="11"/>
      <c r="J286" s="10"/>
      <c r="K286" s="10">
        <f>+I286*J286</f>
        <v>0</v>
      </c>
      <c r="L286" s="12"/>
      <c r="M286" s="11"/>
      <c r="N286" s="10"/>
      <c r="O286" s="10">
        <f>+M286*N286</f>
        <v>0</v>
      </c>
      <c r="P286" s="12"/>
      <c r="Q286" s="46"/>
    </row>
    <row r="287" spans="1:17" ht="16.5" thickBot="1" x14ac:dyDescent="0.3">
      <c r="A287" s="62" t="s">
        <v>2</v>
      </c>
      <c r="B287" s="63"/>
      <c r="C287" s="63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17"/>
      <c r="Q287" s="46"/>
    </row>
    <row r="288" spans="1:17" x14ac:dyDescent="0.25">
      <c r="A288" s="15"/>
      <c r="B288" s="14" t="s">
        <v>303</v>
      </c>
      <c r="C288" s="13" t="s">
        <v>88</v>
      </c>
      <c r="D288" s="12"/>
      <c r="E288" s="11">
        <v>1</v>
      </c>
      <c r="F288" s="42">
        <v>350</v>
      </c>
      <c r="G288" s="10">
        <f>+E288*F288</f>
        <v>350</v>
      </c>
      <c r="H288" s="12"/>
      <c r="I288" s="11">
        <v>1</v>
      </c>
      <c r="J288" s="10">
        <v>350</v>
      </c>
      <c r="K288" s="10">
        <f>+I288*J288</f>
        <v>350</v>
      </c>
      <c r="L288" s="12"/>
      <c r="M288" s="11">
        <v>1</v>
      </c>
      <c r="N288" s="10">
        <v>500</v>
      </c>
      <c r="O288" s="10">
        <f>+M288*N288</f>
        <v>500</v>
      </c>
      <c r="P288" s="12"/>
      <c r="Q288" s="46"/>
    </row>
    <row r="289" spans="1:17" x14ac:dyDescent="0.25">
      <c r="A289" s="15"/>
      <c r="B289" s="14"/>
      <c r="C289" s="13"/>
      <c r="D289" s="12"/>
      <c r="E289" s="11"/>
      <c r="F289" s="10"/>
      <c r="G289" s="10">
        <f>+E289*F289</f>
        <v>0</v>
      </c>
      <c r="H289" s="12"/>
      <c r="I289" s="11"/>
      <c r="J289" s="10"/>
      <c r="K289" s="10">
        <f>+I289*J289</f>
        <v>0</v>
      </c>
      <c r="L289" s="12"/>
      <c r="M289" s="11"/>
      <c r="N289" s="10"/>
      <c r="O289" s="10">
        <f>+M289*N289</f>
        <v>0</v>
      </c>
      <c r="P289" s="12"/>
      <c r="Q289" s="46"/>
    </row>
    <row r="290" spans="1:17" x14ac:dyDescent="0.25">
      <c r="A290" s="15"/>
      <c r="B290" s="14"/>
      <c r="C290" s="13"/>
      <c r="D290" s="12"/>
      <c r="E290" s="11"/>
      <c r="F290" s="10"/>
      <c r="G290" s="10">
        <f>+E290*F290</f>
        <v>0</v>
      </c>
      <c r="H290" s="12"/>
      <c r="I290" s="11"/>
      <c r="J290" s="10"/>
      <c r="K290" s="10">
        <f>+I290*J290</f>
        <v>0</v>
      </c>
      <c r="L290" s="12"/>
      <c r="M290" s="11"/>
      <c r="N290" s="10"/>
      <c r="O290" s="10">
        <f>+M290*N290</f>
        <v>0</v>
      </c>
      <c r="P290" s="12"/>
      <c r="Q290" s="46"/>
    </row>
    <row r="291" spans="1:17" ht="15.75" thickBot="1" x14ac:dyDescent="0.3">
      <c r="Q291" s="46"/>
    </row>
    <row r="292" spans="1:17" ht="21" thickBot="1" x14ac:dyDescent="0.3">
      <c r="A292" s="64" t="s">
        <v>1</v>
      </c>
      <c r="B292" s="65"/>
      <c r="C292" s="66"/>
      <c r="D292" s="5"/>
      <c r="E292" s="9"/>
      <c r="F292" s="8"/>
      <c r="G292" s="7">
        <f>SUM(G281:G291)</f>
        <v>350</v>
      </c>
      <c r="H292" s="5"/>
      <c r="I292" s="9"/>
      <c r="J292" s="8"/>
      <c r="K292" s="7">
        <f>SUM(K279:K290)</f>
        <v>350</v>
      </c>
      <c r="L292" s="5"/>
      <c r="M292" s="9"/>
      <c r="N292" s="8"/>
      <c r="O292" s="7">
        <f>SUM(O279:O290)</f>
        <v>500</v>
      </c>
      <c r="P292" s="5"/>
      <c r="Q292" s="46"/>
    </row>
    <row r="293" spans="1:17" ht="21" thickBot="1" x14ac:dyDescent="0.3">
      <c r="A293" s="60" t="s">
        <v>0</v>
      </c>
      <c r="B293" s="61"/>
      <c r="C293" s="61"/>
      <c r="D293" s="5"/>
      <c r="E293" s="4"/>
      <c r="F293" s="3"/>
      <c r="G293" s="6">
        <f>+G292/E288</f>
        <v>350</v>
      </c>
      <c r="H293" s="5"/>
      <c r="I293" s="4"/>
      <c r="J293" s="3"/>
      <c r="K293" s="6">
        <f>+K292/I288</f>
        <v>350</v>
      </c>
      <c r="L293" s="5"/>
      <c r="M293" s="4"/>
      <c r="N293" s="3"/>
      <c r="O293" s="6">
        <f>+O292/M288</f>
        <v>500</v>
      </c>
      <c r="P293" s="5"/>
      <c r="Q293" s="46"/>
    </row>
    <row r="294" spans="1:17" x14ac:dyDescent="0.25">
      <c r="Q294" s="46"/>
    </row>
    <row r="295" spans="1:1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46"/>
    </row>
    <row r="296" spans="1:17" ht="15.75" thickBot="1" x14ac:dyDescent="0.3">
      <c r="Q296" s="46"/>
    </row>
    <row r="297" spans="1:17" ht="24" thickBot="1" x14ac:dyDescent="0.3">
      <c r="A297" s="22" t="s">
        <v>426</v>
      </c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3"/>
      <c r="N297" s="22"/>
      <c r="O297" s="22"/>
      <c r="P297" s="22"/>
      <c r="Q297" s="46"/>
    </row>
    <row r="298" spans="1:17" ht="15.75" thickBot="1" x14ac:dyDescent="0.3">
      <c r="Q298" s="46"/>
    </row>
    <row r="299" spans="1:17" ht="32.25" thickBot="1" x14ac:dyDescent="0.3">
      <c r="A299" s="20" t="s">
        <v>425</v>
      </c>
      <c r="B299" s="19" t="s">
        <v>424</v>
      </c>
      <c r="C299" s="18" t="s">
        <v>3</v>
      </c>
      <c r="Q299" s="46"/>
    </row>
    <row r="300" spans="1:17" ht="15.75" thickBot="1" x14ac:dyDescent="0.3">
      <c r="Q300" s="46"/>
    </row>
    <row r="301" spans="1:17" ht="16.5" thickBot="1" x14ac:dyDescent="0.3">
      <c r="A301" s="62" t="s">
        <v>11</v>
      </c>
      <c r="B301" s="63"/>
      <c r="C301" s="63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17"/>
      <c r="Q301" s="46"/>
    </row>
    <row r="302" spans="1:17" x14ac:dyDescent="0.25">
      <c r="A302" s="15"/>
      <c r="B302" s="14"/>
      <c r="C302" s="13"/>
      <c r="D302" s="12"/>
      <c r="E302" s="11"/>
      <c r="F302" s="10"/>
      <c r="G302" s="10">
        <f>+E302*F302</f>
        <v>0</v>
      </c>
      <c r="H302" s="12"/>
      <c r="I302" s="11"/>
      <c r="J302" s="10"/>
      <c r="K302" s="10">
        <f>+I302*J302</f>
        <v>0</v>
      </c>
      <c r="L302" s="12"/>
      <c r="M302" s="11"/>
      <c r="N302" s="10"/>
      <c r="O302" s="10">
        <f>+M302*N302</f>
        <v>0</v>
      </c>
      <c r="P302" s="12"/>
      <c r="Q302" s="46"/>
    </row>
    <row r="303" spans="1:17" ht="15.75" thickBot="1" x14ac:dyDescent="0.3">
      <c r="A303" s="15"/>
      <c r="B303" s="14"/>
      <c r="C303" s="13"/>
      <c r="D303" s="12"/>
      <c r="E303" s="11"/>
      <c r="F303" s="10"/>
      <c r="G303" s="10">
        <f>+E303*F303</f>
        <v>0</v>
      </c>
      <c r="H303" s="12"/>
      <c r="I303" s="11"/>
      <c r="J303" s="10"/>
      <c r="K303" s="10">
        <f>+I303*J303</f>
        <v>0</v>
      </c>
      <c r="L303" s="12"/>
      <c r="M303" s="11"/>
      <c r="N303" s="10"/>
      <c r="O303" s="10">
        <f>+M303*N303</f>
        <v>0</v>
      </c>
      <c r="P303" s="12"/>
      <c r="Q303" s="46"/>
    </row>
    <row r="304" spans="1:17" ht="16.5" thickBot="1" x14ac:dyDescent="0.3">
      <c r="A304" s="62" t="s">
        <v>5</v>
      </c>
      <c r="B304" s="63"/>
      <c r="C304" s="63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17"/>
      <c r="Q304" s="46"/>
    </row>
    <row r="305" spans="1:17" ht="30" x14ac:dyDescent="0.25">
      <c r="A305" s="15"/>
      <c r="B305" s="14" t="s">
        <v>423</v>
      </c>
      <c r="C305" s="13" t="s">
        <v>3</v>
      </c>
      <c r="D305" s="12"/>
      <c r="E305" s="11"/>
      <c r="F305" s="10"/>
      <c r="G305" s="10">
        <f>+E305*F305</f>
        <v>0</v>
      </c>
      <c r="H305" s="12"/>
      <c r="I305" s="11">
        <v>37</v>
      </c>
      <c r="J305" s="42">
        <v>3.9</v>
      </c>
      <c r="K305" s="10">
        <f>+I305*J305</f>
        <v>144.29999999999998</v>
      </c>
      <c r="L305" s="12"/>
      <c r="M305" s="11">
        <v>34.94</v>
      </c>
      <c r="N305" s="10">
        <v>3.9</v>
      </c>
      <c r="O305" s="10">
        <f>+M305*N305</f>
        <v>136.26599999999999</v>
      </c>
      <c r="P305" s="12"/>
      <c r="Q305" s="46"/>
    </row>
    <row r="306" spans="1:17" ht="15.75" thickBot="1" x14ac:dyDescent="0.3">
      <c r="A306" s="15"/>
      <c r="B306" s="14"/>
      <c r="C306" s="13"/>
      <c r="D306" s="12"/>
      <c r="E306" s="11"/>
      <c r="F306" s="10"/>
      <c r="G306" s="10">
        <f>+E306*F306</f>
        <v>0</v>
      </c>
      <c r="H306" s="12"/>
      <c r="I306" s="11"/>
      <c r="J306" s="10"/>
      <c r="K306" s="10">
        <f>+I306*J306</f>
        <v>0</v>
      </c>
      <c r="L306" s="12"/>
      <c r="M306" s="11"/>
      <c r="N306" s="10"/>
      <c r="O306" s="10">
        <f>+M306*N306</f>
        <v>0</v>
      </c>
      <c r="P306" s="12"/>
      <c r="Q306" s="46"/>
    </row>
    <row r="307" spans="1:17" ht="16.5" thickBot="1" x14ac:dyDescent="0.3">
      <c r="A307" s="62" t="s">
        <v>2</v>
      </c>
      <c r="B307" s="63"/>
      <c r="C307" s="63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17"/>
      <c r="Q307" s="46"/>
    </row>
    <row r="308" spans="1:17" x14ac:dyDescent="0.25">
      <c r="A308" s="15"/>
      <c r="B308" s="14"/>
      <c r="C308" s="13"/>
      <c r="D308" s="12"/>
      <c r="E308" s="11"/>
      <c r="F308" s="10"/>
      <c r="G308" s="10">
        <f>+E308*F308</f>
        <v>0</v>
      </c>
      <c r="H308" s="12"/>
      <c r="I308" s="11"/>
      <c r="J308" s="10"/>
      <c r="K308" s="10">
        <f>+I308*J308</f>
        <v>0</v>
      </c>
      <c r="L308" s="12"/>
      <c r="M308" s="11"/>
      <c r="N308" s="10"/>
      <c r="O308" s="10">
        <f>+M308*N308</f>
        <v>0</v>
      </c>
      <c r="P308" s="12"/>
      <c r="Q308" s="46"/>
    </row>
    <row r="309" spans="1:17" x14ac:dyDescent="0.25">
      <c r="A309" s="15"/>
      <c r="B309" s="14"/>
      <c r="C309" s="13"/>
      <c r="D309" s="12"/>
      <c r="E309" s="11"/>
      <c r="F309" s="10"/>
      <c r="G309" s="10">
        <f>+E309*F309</f>
        <v>0</v>
      </c>
      <c r="H309" s="12"/>
      <c r="I309" s="11"/>
      <c r="J309" s="10"/>
      <c r="K309" s="10">
        <f>+I309*J309</f>
        <v>0</v>
      </c>
      <c r="L309" s="12"/>
      <c r="M309" s="11"/>
      <c r="N309" s="10"/>
      <c r="O309" s="10">
        <f>+M309*N309</f>
        <v>0</v>
      </c>
      <c r="P309" s="12"/>
      <c r="Q309" s="46"/>
    </row>
    <row r="310" spans="1:17" ht="15.75" thickBot="1" x14ac:dyDescent="0.3">
      <c r="Q310" s="46"/>
    </row>
    <row r="311" spans="1:17" ht="21" thickBot="1" x14ac:dyDescent="0.3">
      <c r="A311" s="64" t="s">
        <v>1</v>
      </c>
      <c r="B311" s="65"/>
      <c r="C311" s="66"/>
      <c r="D311" s="5"/>
      <c r="E311" s="9"/>
      <c r="F311" s="8"/>
      <c r="G311" s="7">
        <f>SUM(G301:G310)</f>
        <v>0</v>
      </c>
      <c r="H311" s="5"/>
      <c r="I311" s="9"/>
      <c r="J311" s="8"/>
      <c r="K311" s="7">
        <f>SUM(K299:K309)</f>
        <v>144.29999999999998</v>
      </c>
      <c r="L311" s="5"/>
      <c r="M311" s="9"/>
      <c r="N311" s="8"/>
      <c r="O311" s="7">
        <f>SUM(O299:O309)</f>
        <v>136.26599999999999</v>
      </c>
      <c r="P311" s="5"/>
      <c r="Q311" s="46"/>
    </row>
    <row r="312" spans="1:17" ht="21" thickBot="1" x14ac:dyDescent="0.3">
      <c r="A312" s="60" t="s">
        <v>0</v>
      </c>
      <c r="B312" s="61"/>
      <c r="C312" s="61"/>
      <c r="D312" s="5"/>
      <c r="E312" s="4"/>
      <c r="F312" s="3"/>
      <c r="G312" s="6" t="e">
        <f>+G311/E305</f>
        <v>#DIV/0!</v>
      </c>
      <c r="H312" s="5"/>
      <c r="I312" s="4"/>
      <c r="J312" s="3"/>
      <c r="K312" s="6">
        <f>+K311/I305</f>
        <v>3.8999999999999995</v>
      </c>
      <c r="L312" s="5"/>
      <c r="M312" s="4"/>
      <c r="N312" s="3"/>
      <c r="O312" s="6">
        <f>+O311/M305</f>
        <v>3.9</v>
      </c>
      <c r="P312" s="5"/>
      <c r="Q312" s="46"/>
    </row>
    <row r="313" spans="1:17" x14ac:dyDescent="0.25">
      <c r="Q313" s="46"/>
    </row>
    <row r="314" spans="1:1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46"/>
    </row>
    <row r="315" spans="1:17" ht="15.75" thickBot="1" x14ac:dyDescent="0.3">
      <c r="Q315" s="46"/>
    </row>
    <row r="316" spans="1:17" ht="32.25" thickBot="1" x14ac:dyDescent="0.3">
      <c r="A316" s="20" t="s">
        <v>422</v>
      </c>
      <c r="B316" s="19" t="s">
        <v>421</v>
      </c>
      <c r="C316" s="18" t="s">
        <v>3</v>
      </c>
      <c r="Q316" s="46"/>
    </row>
    <row r="317" spans="1:17" ht="15.75" thickBot="1" x14ac:dyDescent="0.3">
      <c r="Q317" s="46"/>
    </row>
    <row r="318" spans="1:17" ht="16.5" thickBot="1" x14ac:dyDescent="0.3">
      <c r="A318" s="62" t="s">
        <v>11</v>
      </c>
      <c r="B318" s="63"/>
      <c r="C318" s="63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17"/>
      <c r="Q318" s="46"/>
    </row>
    <row r="319" spans="1:17" x14ac:dyDescent="0.25">
      <c r="A319" s="15"/>
      <c r="B319" s="14"/>
      <c r="C319" s="13"/>
      <c r="D319" s="12"/>
      <c r="E319" s="11"/>
      <c r="F319" s="10"/>
      <c r="G319" s="10">
        <f>+E319*F319</f>
        <v>0</v>
      </c>
      <c r="H319" s="12"/>
      <c r="I319" s="11"/>
      <c r="J319" s="10"/>
      <c r="K319" s="10">
        <f>+I319*J319</f>
        <v>0</v>
      </c>
      <c r="L319" s="12"/>
      <c r="M319" s="11"/>
      <c r="N319" s="10"/>
      <c r="O319" s="10">
        <f>+M319*N319</f>
        <v>0</v>
      </c>
      <c r="P319" s="12"/>
      <c r="Q319" s="46"/>
    </row>
    <row r="320" spans="1:17" ht="15.75" thickBot="1" x14ac:dyDescent="0.3">
      <c r="A320" s="15"/>
      <c r="B320" s="14"/>
      <c r="C320" s="13"/>
      <c r="D320" s="12"/>
      <c r="E320" s="11"/>
      <c r="F320" s="10"/>
      <c r="G320" s="10">
        <f>+E320*F320</f>
        <v>0</v>
      </c>
      <c r="H320" s="12"/>
      <c r="I320" s="11"/>
      <c r="J320" s="10"/>
      <c r="K320" s="10">
        <f>+I320*J320</f>
        <v>0</v>
      </c>
      <c r="L320" s="12"/>
      <c r="M320" s="11"/>
      <c r="N320" s="10"/>
      <c r="O320" s="10">
        <f>+M320*N320</f>
        <v>0</v>
      </c>
      <c r="P320" s="12"/>
      <c r="Q320" s="46"/>
    </row>
    <row r="321" spans="1:17" ht="16.5" thickBot="1" x14ac:dyDescent="0.3">
      <c r="A321" s="62" t="s">
        <v>5</v>
      </c>
      <c r="B321" s="63"/>
      <c r="C321" s="63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17"/>
      <c r="Q321" s="46"/>
    </row>
    <row r="322" spans="1:17" ht="30" x14ac:dyDescent="0.25">
      <c r="A322" s="15"/>
      <c r="B322" s="14" t="s">
        <v>420</v>
      </c>
      <c r="C322" s="13" t="s">
        <v>3</v>
      </c>
      <c r="D322" s="12"/>
      <c r="E322" s="11"/>
      <c r="F322" s="10"/>
      <c r="G322" s="10">
        <f>+E322*F322</f>
        <v>0</v>
      </c>
      <c r="H322" s="12"/>
      <c r="I322" s="11">
        <v>25</v>
      </c>
      <c r="J322" s="42">
        <v>3.9</v>
      </c>
      <c r="K322" s="10">
        <f>+I322*J322</f>
        <v>97.5</v>
      </c>
      <c r="L322" s="12"/>
      <c r="M322" s="11"/>
      <c r="N322" s="10"/>
      <c r="O322" s="10">
        <f>+M322*N322</f>
        <v>0</v>
      </c>
      <c r="P322" s="12"/>
      <c r="Q322" s="46"/>
    </row>
    <row r="323" spans="1:17" ht="15.75" thickBot="1" x14ac:dyDescent="0.3">
      <c r="A323" s="15"/>
      <c r="B323" s="14"/>
      <c r="C323" s="13"/>
      <c r="D323" s="12"/>
      <c r="E323" s="11"/>
      <c r="F323" s="10"/>
      <c r="G323" s="10">
        <f>+E323*F323</f>
        <v>0</v>
      </c>
      <c r="H323" s="12"/>
      <c r="I323" s="11"/>
      <c r="J323" s="10"/>
      <c r="K323" s="10">
        <f>+I323*J323</f>
        <v>0</v>
      </c>
      <c r="L323" s="12"/>
      <c r="M323" s="11"/>
      <c r="N323" s="10"/>
      <c r="O323" s="10">
        <f>+M323*N323</f>
        <v>0</v>
      </c>
      <c r="P323" s="12"/>
      <c r="Q323" s="46"/>
    </row>
    <row r="324" spans="1:17" ht="16.5" thickBot="1" x14ac:dyDescent="0.3">
      <c r="A324" s="62" t="s">
        <v>2</v>
      </c>
      <c r="B324" s="63"/>
      <c r="C324" s="63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17"/>
      <c r="Q324" s="46"/>
    </row>
    <row r="325" spans="1:17" x14ac:dyDescent="0.25">
      <c r="A325" s="15"/>
      <c r="B325" s="14"/>
      <c r="C325" s="13"/>
      <c r="D325" s="12"/>
      <c r="E325" s="11"/>
      <c r="F325" s="10"/>
      <c r="G325" s="10">
        <f>+E325*F325</f>
        <v>0</v>
      </c>
      <c r="H325" s="12"/>
      <c r="I325" s="11"/>
      <c r="J325" s="10"/>
      <c r="K325" s="10">
        <f>+I325*J325</f>
        <v>0</v>
      </c>
      <c r="L325" s="12"/>
      <c r="M325" s="11"/>
      <c r="N325" s="10"/>
      <c r="O325" s="10">
        <f>+M325*N325</f>
        <v>0</v>
      </c>
      <c r="P325" s="12"/>
      <c r="Q325" s="46"/>
    </row>
    <row r="326" spans="1:17" x14ac:dyDescent="0.25">
      <c r="A326" s="15"/>
      <c r="B326" s="14"/>
      <c r="C326" s="13"/>
      <c r="D326" s="12"/>
      <c r="E326" s="11"/>
      <c r="F326" s="10"/>
      <c r="G326" s="10">
        <f>+E326*F326</f>
        <v>0</v>
      </c>
      <c r="H326" s="12"/>
      <c r="I326" s="11"/>
      <c r="J326" s="10"/>
      <c r="K326" s="10">
        <f>+I326*J326</f>
        <v>0</v>
      </c>
      <c r="L326" s="12"/>
      <c r="M326" s="11"/>
      <c r="N326" s="10"/>
      <c r="O326" s="10">
        <f>+M326*N326</f>
        <v>0</v>
      </c>
      <c r="P326" s="12"/>
      <c r="Q326" s="46"/>
    </row>
    <row r="327" spans="1:17" ht="15.75" thickBot="1" x14ac:dyDescent="0.3">
      <c r="Q327" s="46"/>
    </row>
    <row r="328" spans="1:17" ht="21" thickBot="1" x14ac:dyDescent="0.3">
      <c r="A328" s="64" t="s">
        <v>1</v>
      </c>
      <c r="B328" s="65"/>
      <c r="C328" s="66"/>
      <c r="D328" s="5"/>
      <c r="E328" s="9"/>
      <c r="F328" s="8"/>
      <c r="G328" s="7">
        <f>SUM(G318:G327)</f>
        <v>0</v>
      </c>
      <c r="H328" s="5"/>
      <c r="I328" s="9"/>
      <c r="J328" s="8"/>
      <c r="K328" s="7">
        <f>SUM(K316:K326)</f>
        <v>97.5</v>
      </c>
      <c r="L328" s="5"/>
      <c r="M328" s="9"/>
      <c r="N328" s="8"/>
      <c r="O328" s="7">
        <f>SUM(O316:O326)</f>
        <v>0</v>
      </c>
      <c r="P328" s="5"/>
      <c r="Q328" s="46"/>
    </row>
    <row r="329" spans="1:17" ht="21" thickBot="1" x14ac:dyDescent="0.3">
      <c r="A329" s="60" t="s">
        <v>0</v>
      </c>
      <c r="B329" s="61"/>
      <c r="C329" s="61"/>
      <c r="D329" s="5"/>
      <c r="E329" s="4"/>
      <c r="F329" s="3"/>
      <c r="G329" s="6" t="e">
        <f>+G328/E322</f>
        <v>#DIV/0!</v>
      </c>
      <c r="H329" s="5"/>
      <c r="I329" s="4"/>
      <c r="J329" s="3"/>
      <c r="K329" s="6">
        <f>+K328/I322</f>
        <v>3.9</v>
      </c>
      <c r="L329" s="5"/>
      <c r="M329" s="4"/>
      <c r="N329" s="3"/>
      <c r="O329" s="6" t="e">
        <f>+O328/M322</f>
        <v>#DIV/0!</v>
      </c>
      <c r="P329" s="5"/>
      <c r="Q329" s="46"/>
    </row>
    <row r="330" spans="1:17" x14ac:dyDescent="0.25">
      <c r="Q330" s="46"/>
    </row>
    <row r="331" spans="1: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46"/>
    </row>
    <row r="332" spans="1:17" ht="15.75" thickBot="1" x14ac:dyDescent="0.3">
      <c r="Q332" s="46"/>
    </row>
    <row r="333" spans="1:17" ht="16.5" thickBot="1" x14ac:dyDescent="0.3">
      <c r="A333" s="20" t="s">
        <v>419</v>
      </c>
      <c r="B333" s="19" t="s">
        <v>418</v>
      </c>
      <c r="C333" s="18" t="s">
        <v>210</v>
      </c>
      <c r="Q333" s="46"/>
    </row>
    <row r="334" spans="1:17" ht="15.75" thickBot="1" x14ac:dyDescent="0.3">
      <c r="Q334" s="46"/>
    </row>
    <row r="335" spans="1:17" ht="16.5" thickBot="1" x14ac:dyDescent="0.3">
      <c r="A335" s="62" t="s">
        <v>11</v>
      </c>
      <c r="B335" s="63"/>
      <c r="C335" s="63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17"/>
      <c r="Q335" s="46"/>
    </row>
    <row r="336" spans="1:17" x14ac:dyDescent="0.25">
      <c r="A336" s="15"/>
      <c r="B336" s="14"/>
      <c r="C336" s="13"/>
      <c r="D336" s="12"/>
      <c r="E336" s="11"/>
      <c r="F336" s="10"/>
      <c r="G336" s="10">
        <f>+E336*F336</f>
        <v>0</v>
      </c>
      <c r="H336" s="12"/>
      <c r="I336" s="11"/>
      <c r="J336" s="10"/>
      <c r="K336" s="10">
        <f>+I336*J336</f>
        <v>0</v>
      </c>
      <c r="L336" s="12"/>
      <c r="M336" s="11"/>
      <c r="N336" s="10"/>
      <c r="O336" s="10">
        <f>+M336*N336</f>
        <v>0</v>
      </c>
      <c r="P336" s="12"/>
      <c r="Q336" s="46"/>
    </row>
    <row r="337" spans="1:17" ht="15.75" thickBot="1" x14ac:dyDescent="0.3">
      <c r="A337" s="15"/>
      <c r="B337" s="14"/>
      <c r="C337" s="13"/>
      <c r="D337" s="12"/>
      <c r="E337" s="11"/>
      <c r="F337" s="10"/>
      <c r="G337" s="10">
        <f>+E337*F337</f>
        <v>0</v>
      </c>
      <c r="H337" s="12"/>
      <c r="I337" s="11"/>
      <c r="J337" s="10"/>
      <c r="K337" s="10">
        <f>+I337*J337</f>
        <v>0</v>
      </c>
      <c r="L337" s="12"/>
      <c r="M337" s="11"/>
      <c r="N337" s="10"/>
      <c r="O337" s="10">
        <f>+M337*N337</f>
        <v>0</v>
      </c>
      <c r="P337" s="12"/>
      <c r="Q337" s="46"/>
    </row>
    <row r="338" spans="1:17" ht="16.5" thickBot="1" x14ac:dyDescent="0.3">
      <c r="A338" s="62" t="s">
        <v>5</v>
      </c>
      <c r="B338" s="63"/>
      <c r="C338" s="63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17"/>
      <c r="Q338" s="46"/>
    </row>
    <row r="339" spans="1:17" x14ac:dyDescent="0.25">
      <c r="A339" s="15"/>
      <c r="B339" s="14"/>
      <c r="C339" s="13"/>
      <c r="D339" s="12"/>
      <c r="E339" s="11"/>
      <c r="F339" s="10"/>
      <c r="G339" s="10">
        <f>+E339*F339</f>
        <v>0</v>
      </c>
      <c r="H339" s="12"/>
      <c r="I339" s="11"/>
      <c r="J339" s="10"/>
      <c r="K339" s="10">
        <f>+I339*J339</f>
        <v>0</v>
      </c>
      <c r="L339" s="12"/>
      <c r="M339" s="11"/>
      <c r="N339" s="10"/>
      <c r="O339" s="10">
        <f>+M339*N339</f>
        <v>0</v>
      </c>
      <c r="P339" s="12"/>
      <c r="Q339" s="46"/>
    </row>
    <row r="340" spans="1:17" ht="15.75" thickBot="1" x14ac:dyDescent="0.3">
      <c r="A340" s="15"/>
      <c r="B340" s="14"/>
      <c r="C340" s="13"/>
      <c r="D340" s="12"/>
      <c r="E340" s="11"/>
      <c r="F340" s="10"/>
      <c r="G340" s="10">
        <f>+E340*F340</f>
        <v>0</v>
      </c>
      <c r="H340" s="12"/>
      <c r="I340" s="11"/>
      <c r="J340" s="10"/>
      <c r="K340" s="10">
        <f>+I340*J340</f>
        <v>0</v>
      </c>
      <c r="L340" s="12"/>
      <c r="M340" s="11"/>
      <c r="N340" s="10"/>
      <c r="O340" s="10">
        <f>+M340*N340</f>
        <v>0</v>
      </c>
      <c r="P340" s="12"/>
      <c r="Q340" s="46"/>
    </row>
    <row r="341" spans="1:17" ht="16.5" thickBot="1" x14ac:dyDescent="0.3">
      <c r="A341" s="62" t="s">
        <v>2</v>
      </c>
      <c r="B341" s="63"/>
      <c r="C341" s="63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17"/>
      <c r="Q341" s="46"/>
    </row>
    <row r="342" spans="1:17" x14ac:dyDescent="0.25">
      <c r="A342" s="15"/>
      <c r="B342" s="14"/>
      <c r="C342" s="13"/>
      <c r="D342" s="12"/>
      <c r="E342" s="11"/>
      <c r="F342" s="10"/>
      <c r="G342" s="10">
        <f>+E342*F342</f>
        <v>0</v>
      </c>
      <c r="H342" s="12"/>
      <c r="I342" s="11"/>
      <c r="J342" s="10"/>
      <c r="K342" s="10">
        <f>+I342*J342</f>
        <v>0</v>
      </c>
      <c r="L342" s="12"/>
      <c r="M342" s="11"/>
      <c r="N342" s="10"/>
      <c r="O342" s="10">
        <f>+M342*N342</f>
        <v>0</v>
      </c>
      <c r="P342" s="12"/>
      <c r="Q342" s="46"/>
    </row>
    <row r="343" spans="1:17" x14ac:dyDescent="0.25">
      <c r="A343" s="15"/>
      <c r="B343" s="14"/>
      <c r="C343" s="13"/>
      <c r="D343" s="12"/>
      <c r="E343" s="11"/>
      <c r="F343" s="10"/>
      <c r="G343" s="10">
        <f>+E343*F343</f>
        <v>0</v>
      </c>
      <c r="H343" s="12"/>
      <c r="I343" s="11"/>
      <c r="J343" s="10"/>
      <c r="K343" s="10">
        <f>+I343*J343</f>
        <v>0</v>
      </c>
      <c r="L343" s="12"/>
      <c r="M343" s="11"/>
      <c r="N343" s="10"/>
      <c r="O343" s="10">
        <f>+M343*N343</f>
        <v>0</v>
      </c>
      <c r="P343" s="12"/>
      <c r="Q343" s="46"/>
    </row>
    <row r="344" spans="1:17" ht="15.75" thickBot="1" x14ac:dyDescent="0.3">
      <c r="Q344" s="46"/>
    </row>
    <row r="345" spans="1:17" ht="21" thickBot="1" x14ac:dyDescent="0.3">
      <c r="A345" s="64" t="s">
        <v>1</v>
      </c>
      <c r="B345" s="65"/>
      <c r="C345" s="66"/>
      <c r="D345" s="5"/>
      <c r="E345" s="9"/>
      <c r="F345" s="8"/>
      <c r="G345" s="7">
        <f>SUM(G335:G344)</f>
        <v>0</v>
      </c>
      <c r="H345" s="5"/>
      <c r="I345" s="9"/>
      <c r="J345" s="8"/>
      <c r="K345" s="7">
        <f>SUM(K333:K343)</f>
        <v>0</v>
      </c>
      <c r="L345" s="5"/>
      <c r="M345" s="9"/>
      <c r="N345" s="8"/>
      <c r="O345" s="7">
        <f>SUM(O333:O343)</f>
        <v>0</v>
      </c>
      <c r="P345" s="5"/>
      <c r="Q345" s="46"/>
    </row>
    <row r="346" spans="1:17" ht="21" thickBot="1" x14ac:dyDescent="0.3">
      <c r="A346" s="60" t="s">
        <v>0</v>
      </c>
      <c r="B346" s="61"/>
      <c r="C346" s="61"/>
      <c r="D346" s="5"/>
      <c r="E346" s="4"/>
      <c r="F346" s="3"/>
      <c r="G346" s="6" t="e">
        <f>+G345/E339</f>
        <v>#DIV/0!</v>
      </c>
      <c r="H346" s="5"/>
      <c r="I346" s="4"/>
      <c r="J346" s="3"/>
      <c r="K346" s="6" t="e">
        <f>+K345/I339</f>
        <v>#DIV/0!</v>
      </c>
      <c r="L346" s="5"/>
      <c r="M346" s="4"/>
      <c r="N346" s="3"/>
      <c r="O346" s="6" t="e">
        <f>+O345/M339</f>
        <v>#DIV/0!</v>
      </c>
      <c r="P346" s="5"/>
      <c r="Q346" s="46"/>
    </row>
    <row r="347" spans="1:17" x14ac:dyDescent="0.25">
      <c r="Q347" s="46"/>
    </row>
    <row r="348" spans="1:1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46"/>
    </row>
    <row r="349" spans="1:17" ht="15.75" thickBot="1" x14ac:dyDescent="0.3">
      <c r="Q349" s="46"/>
    </row>
    <row r="350" spans="1:17" ht="32.25" thickBot="1" x14ac:dyDescent="0.3">
      <c r="A350" s="20" t="s">
        <v>417</v>
      </c>
      <c r="B350" s="19" t="s">
        <v>416</v>
      </c>
      <c r="C350" s="18" t="s">
        <v>312</v>
      </c>
      <c r="Q350" s="46"/>
    </row>
    <row r="351" spans="1:17" ht="15.75" thickBot="1" x14ac:dyDescent="0.3">
      <c r="Q351" s="46"/>
    </row>
    <row r="352" spans="1:17" ht="16.5" thickBot="1" x14ac:dyDescent="0.3">
      <c r="A352" s="62" t="s">
        <v>11</v>
      </c>
      <c r="B352" s="63"/>
      <c r="C352" s="63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6"/>
      <c r="P352" s="17"/>
      <c r="Q352" s="46"/>
    </row>
    <row r="353" spans="1:17" x14ac:dyDescent="0.25">
      <c r="A353" s="15"/>
      <c r="B353" s="14"/>
      <c r="C353" s="13"/>
      <c r="D353" s="12"/>
      <c r="E353" s="11"/>
      <c r="F353" s="10"/>
      <c r="G353" s="10">
        <f>+E353*F353</f>
        <v>0</v>
      </c>
      <c r="H353" s="12"/>
      <c r="I353" s="11"/>
      <c r="J353" s="10"/>
      <c r="K353" s="10">
        <f>+I353*J353</f>
        <v>0</v>
      </c>
      <c r="L353" s="12"/>
      <c r="M353" s="11"/>
      <c r="N353" s="10"/>
      <c r="O353" s="10">
        <f>+M353*N353</f>
        <v>0</v>
      </c>
      <c r="P353" s="12"/>
      <c r="Q353" s="46"/>
    </row>
    <row r="354" spans="1:17" ht="15.75" thickBot="1" x14ac:dyDescent="0.3">
      <c r="A354" s="15"/>
      <c r="B354" s="14"/>
      <c r="C354" s="13"/>
      <c r="D354" s="12"/>
      <c r="E354" s="11"/>
      <c r="F354" s="10"/>
      <c r="G354" s="10">
        <f>+E354*F354</f>
        <v>0</v>
      </c>
      <c r="H354" s="12"/>
      <c r="I354" s="11"/>
      <c r="J354" s="10"/>
      <c r="K354" s="10">
        <f>+I354*J354</f>
        <v>0</v>
      </c>
      <c r="L354" s="12"/>
      <c r="M354" s="11"/>
      <c r="N354" s="10"/>
      <c r="O354" s="10">
        <f>+M354*N354</f>
        <v>0</v>
      </c>
      <c r="P354" s="12"/>
      <c r="Q354" s="46"/>
    </row>
    <row r="355" spans="1:17" ht="16.5" thickBot="1" x14ac:dyDescent="0.3">
      <c r="A355" s="62" t="s">
        <v>5</v>
      </c>
      <c r="B355" s="63"/>
      <c r="C355" s="63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6"/>
      <c r="P355" s="17"/>
      <c r="Q355" s="46"/>
    </row>
    <row r="356" spans="1:17" ht="30" x14ac:dyDescent="0.25">
      <c r="A356" s="15"/>
      <c r="B356" s="14" t="s">
        <v>415</v>
      </c>
      <c r="C356" s="13" t="s">
        <v>42</v>
      </c>
      <c r="D356" s="12"/>
      <c r="E356" s="11">
        <v>76.569999999999993</v>
      </c>
      <c r="F356" s="42">
        <v>7.5</v>
      </c>
      <c r="G356" s="10">
        <f>+E356*F356</f>
        <v>574.27499999999998</v>
      </c>
      <c r="H356" s="12"/>
      <c r="I356" s="11">
        <v>61.92</v>
      </c>
      <c r="J356" s="10">
        <v>7.5</v>
      </c>
      <c r="K356" s="10">
        <f>+I356*J356</f>
        <v>464.40000000000003</v>
      </c>
      <c r="L356" s="12"/>
      <c r="M356" s="11">
        <v>253.39</v>
      </c>
      <c r="N356" s="10">
        <v>8.5</v>
      </c>
      <c r="O356" s="10">
        <f>+M356*N356</f>
        <v>2153.8150000000001</v>
      </c>
      <c r="P356" s="12"/>
      <c r="Q356" s="46"/>
    </row>
    <row r="357" spans="1:17" ht="15.75" thickBot="1" x14ac:dyDescent="0.3">
      <c r="A357" s="15"/>
      <c r="B357" s="14"/>
      <c r="C357" s="13"/>
      <c r="D357" s="12"/>
      <c r="E357" s="11"/>
      <c r="F357" s="10"/>
      <c r="G357" s="10">
        <f>+E357*F357</f>
        <v>0</v>
      </c>
      <c r="H357" s="12"/>
      <c r="I357" s="11"/>
      <c r="J357" s="10"/>
      <c r="K357" s="10">
        <f>+I357*J357</f>
        <v>0</v>
      </c>
      <c r="L357" s="12"/>
      <c r="M357" s="11"/>
      <c r="N357" s="10"/>
      <c r="O357" s="10">
        <f>+M357*N357</f>
        <v>0</v>
      </c>
      <c r="P357" s="12"/>
      <c r="Q357" s="46"/>
    </row>
    <row r="358" spans="1:17" ht="16.5" thickBot="1" x14ac:dyDescent="0.3">
      <c r="A358" s="62" t="s">
        <v>2</v>
      </c>
      <c r="B358" s="63"/>
      <c r="C358" s="63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6"/>
      <c r="P358" s="17"/>
      <c r="Q358" s="46"/>
    </row>
    <row r="359" spans="1:17" ht="30" x14ac:dyDescent="0.25">
      <c r="A359" s="15"/>
      <c r="B359" s="14" t="s">
        <v>328</v>
      </c>
      <c r="C359" s="13" t="s">
        <v>78</v>
      </c>
      <c r="D359" s="12"/>
      <c r="E359" s="11">
        <v>23.5</v>
      </c>
      <c r="F359" s="10">
        <v>22</v>
      </c>
      <c r="G359" s="10">
        <f>+E359*F359</f>
        <v>517</v>
      </c>
      <c r="H359" s="12"/>
      <c r="I359" s="11"/>
      <c r="J359" s="10"/>
      <c r="K359" s="10">
        <f>+I359*J359</f>
        <v>0</v>
      </c>
      <c r="L359" s="12"/>
      <c r="M359" s="11">
        <v>33</v>
      </c>
      <c r="N359" s="10">
        <v>22</v>
      </c>
      <c r="O359" s="10">
        <f>+M359*N359</f>
        <v>726</v>
      </c>
      <c r="P359" s="12"/>
      <c r="Q359" s="49">
        <f>+(E359+M359)/(E356+M356)</f>
        <v>0.17123287671232879</v>
      </c>
    </row>
    <row r="360" spans="1:17" x14ac:dyDescent="0.25">
      <c r="A360" s="15"/>
      <c r="B360" s="14"/>
      <c r="C360" s="13"/>
      <c r="D360" s="12"/>
      <c r="E360" s="11"/>
      <c r="F360" s="10"/>
      <c r="G360" s="10">
        <f>+E360*F360</f>
        <v>0</v>
      </c>
      <c r="H360" s="12"/>
      <c r="I360" s="11"/>
      <c r="J360" s="10"/>
      <c r="K360" s="10">
        <f>+I360*J360</f>
        <v>0</v>
      </c>
      <c r="L360" s="12"/>
      <c r="M360" s="11"/>
      <c r="N360" s="10"/>
      <c r="O360" s="10">
        <f>+M360*N360</f>
        <v>0</v>
      </c>
      <c r="P360" s="12"/>
      <c r="Q360" s="46"/>
    </row>
    <row r="361" spans="1:17" ht="15.75" thickBot="1" x14ac:dyDescent="0.3">
      <c r="Q361" s="46"/>
    </row>
    <row r="362" spans="1:17" ht="21" thickBot="1" x14ac:dyDescent="0.3">
      <c r="A362" s="64" t="s">
        <v>1</v>
      </c>
      <c r="B362" s="65"/>
      <c r="C362" s="66"/>
      <c r="D362" s="5"/>
      <c r="E362" s="9"/>
      <c r="F362" s="8"/>
      <c r="G362" s="7">
        <f>SUM(G352:G361)</f>
        <v>1091.2750000000001</v>
      </c>
      <c r="H362" s="5"/>
      <c r="I362" s="9"/>
      <c r="J362" s="8"/>
      <c r="K362" s="7">
        <f>SUM(K350:K360)</f>
        <v>464.40000000000003</v>
      </c>
      <c r="L362" s="5"/>
      <c r="M362" s="9"/>
      <c r="N362" s="8"/>
      <c r="O362" s="7">
        <f>SUM(O350:O360)</f>
        <v>2879.8150000000001</v>
      </c>
      <c r="P362" s="5"/>
      <c r="Q362" s="46"/>
    </row>
    <row r="363" spans="1:17" ht="21" thickBot="1" x14ac:dyDescent="0.3">
      <c r="A363" s="60" t="s">
        <v>0</v>
      </c>
      <c r="B363" s="61"/>
      <c r="C363" s="61"/>
      <c r="D363" s="5"/>
      <c r="E363" s="4"/>
      <c r="F363" s="3"/>
      <c r="G363" s="6">
        <f>+G362/E356</f>
        <v>14.251991641635108</v>
      </c>
      <c r="H363" s="5"/>
      <c r="I363" s="4"/>
      <c r="J363" s="3"/>
      <c r="K363" s="6">
        <f>+K362/I356</f>
        <v>7.5</v>
      </c>
      <c r="L363" s="5"/>
      <c r="M363" s="4"/>
      <c r="N363" s="3"/>
      <c r="O363" s="6">
        <f>+O362/M356</f>
        <v>11.365148585184894</v>
      </c>
      <c r="P363" s="5"/>
      <c r="Q363" s="46"/>
    </row>
    <row r="364" spans="1:17" x14ac:dyDescent="0.25">
      <c r="Q364" s="46"/>
    </row>
    <row r="365" spans="1:1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46"/>
    </row>
    <row r="366" spans="1:17" ht="15.75" thickBot="1" x14ac:dyDescent="0.3">
      <c r="Q366" s="46"/>
    </row>
    <row r="367" spans="1:17" ht="32.25" thickBot="1" x14ac:dyDescent="0.3">
      <c r="A367" s="20" t="s">
        <v>414</v>
      </c>
      <c r="B367" s="19" t="s">
        <v>413</v>
      </c>
      <c r="C367" s="18" t="s">
        <v>312</v>
      </c>
      <c r="Q367" s="46"/>
    </row>
    <row r="368" spans="1:17" ht="15.75" thickBot="1" x14ac:dyDescent="0.3">
      <c r="Q368" s="46"/>
    </row>
    <row r="369" spans="1:17" ht="16.5" thickBot="1" x14ac:dyDescent="0.3">
      <c r="A369" s="62" t="s">
        <v>11</v>
      </c>
      <c r="B369" s="63"/>
      <c r="C369" s="63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6"/>
      <c r="P369" s="17"/>
      <c r="Q369" s="46"/>
    </row>
    <row r="370" spans="1:17" x14ac:dyDescent="0.25">
      <c r="A370" s="15"/>
      <c r="B370" s="14" t="s">
        <v>412</v>
      </c>
      <c r="C370" s="13" t="s">
        <v>23</v>
      </c>
      <c r="D370" s="12"/>
      <c r="E370" s="11">
        <v>17.25</v>
      </c>
      <c r="F370" s="10">
        <v>2.14</v>
      </c>
      <c r="G370" s="10">
        <f>+E370*F370</f>
        <v>36.914999999999999</v>
      </c>
      <c r="H370" s="12"/>
      <c r="I370" s="11">
        <v>12</v>
      </c>
      <c r="J370" s="10">
        <v>2.14</v>
      </c>
      <c r="K370" s="10">
        <f>+I370*J370</f>
        <v>25.68</v>
      </c>
      <c r="L370" s="12"/>
      <c r="M370" s="11">
        <v>20.48</v>
      </c>
      <c r="N370" s="10">
        <v>2.14</v>
      </c>
      <c r="O370" s="10">
        <f>+M370*N370</f>
        <v>43.827200000000005</v>
      </c>
      <c r="P370" s="12"/>
      <c r="Q370" s="47">
        <f>+(E370+I370+M370)/(E373+I373+M373)</f>
        <v>0.21762723732002978</v>
      </c>
    </row>
    <row r="371" spans="1:17" ht="15.75" thickBot="1" x14ac:dyDescent="0.3">
      <c r="A371" s="15"/>
      <c r="B371" s="14"/>
      <c r="C371" s="13"/>
      <c r="D371" s="12"/>
      <c r="E371" s="11"/>
      <c r="F371" s="10"/>
      <c r="G371" s="10">
        <f>+E371*F371</f>
        <v>0</v>
      </c>
      <c r="H371" s="12"/>
      <c r="I371" s="11"/>
      <c r="J371" s="10"/>
      <c r="K371" s="10">
        <f>+I371*J371</f>
        <v>0</v>
      </c>
      <c r="L371" s="12"/>
      <c r="M371" s="11"/>
      <c r="N371" s="10"/>
      <c r="O371" s="10">
        <f>+M371*N371</f>
        <v>0</v>
      </c>
      <c r="P371" s="12"/>
      <c r="Q371" s="46"/>
    </row>
    <row r="372" spans="1:17" ht="16.5" thickBot="1" x14ac:dyDescent="0.3">
      <c r="A372" s="62" t="s">
        <v>5</v>
      </c>
      <c r="B372" s="63"/>
      <c r="C372" s="63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6"/>
      <c r="P372" s="17"/>
      <c r="Q372" s="46"/>
    </row>
    <row r="373" spans="1:17" ht="30" x14ac:dyDescent="0.25">
      <c r="A373" s="15"/>
      <c r="B373" s="14" t="s">
        <v>411</v>
      </c>
      <c r="C373" s="13" t="s">
        <v>42</v>
      </c>
      <c r="D373" s="12"/>
      <c r="E373" s="11">
        <v>55.43</v>
      </c>
      <c r="F373" s="42">
        <v>4.29</v>
      </c>
      <c r="G373" s="10">
        <f>+E373*F373</f>
        <v>237.79470000000001</v>
      </c>
      <c r="H373" s="12"/>
      <c r="I373" s="11">
        <v>28.2</v>
      </c>
      <c r="J373" s="10">
        <v>4.29</v>
      </c>
      <c r="K373" s="10">
        <f>+I373*J373</f>
        <v>120.97799999999999</v>
      </c>
      <c r="L373" s="12"/>
      <c r="M373" s="11">
        <v>144.88</v>
      </c>
      <c r="N373" s="10">
        <v>4.29</v>
      </c>
      <c r="O373" s="10">
        <f>+M373*N373</f>
        <v>621.53520000000003</v>
      </c>
      <c r="P373" s="12"/>
      <c r="Q373" s="46"/>
    </row>
    <row r="374" spans="1:17" ht="15.75" thickBot="1" x14ac:dyDescent="0.3">
      <c r="A374" s="15"/>
      <c r="B374" s="14"/>
      <c r="C374" s="13"/>
      <c r="D374" s="12"/>
      <c r="E374" s="11"/>
      <c r="F374" s="10"/>
      <c r="G374" s="10">
        <f>+E374*F374</f>
        <v>0</v>
      </c>
      <c r="H374" s="12"/>
      <c r="I374" s="11"/>
      <c r="J374" s="10"/>
      <c r="K374" s="10">
        <f>+I374*J374</f>
        <v>0</v>
      </c>
      <c r="L374" s="12"/>
      <c r="M374" s="11"/>
      <c r="N374" s="10"/>
      <c r="O374" s="10">
        <f>+M374*N374</f>
        <v>0</v>
      </c>
      <c r="P374" s="12"/>
      <c r="Q374" s="46"/>
    </row>
    <row r="375" spans="1:17" ht="16.5" thickBot="1" x14ac:dyDescent="0.3">
      <c r="A375" s="62" t="s">
        <v>2</v>
      </c>
      <c r="B375" s="63"/>
      <c r="C375" s="63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6"/>
      <c r="P375" s="17"/>
      <c r="Q375" s="46"/>
    </row>
    <row r="376" spans="1:17" x14ac:dyDescent="0.25">
      <c r="A376" s="15"/>
      <c r="B376" s="14" t="s">
        <v>358</v>
      </c>
      <c r="C376" s="13" t="s">
        <v>410</v>
      </c>
      <c r="D376" s="12"/>
      <c r="E376" s="11">
        <v>23</v>
      </c>
      <c r="F376" s="10">
        <v>25</v>
      </c>
      <c r="G376" s="10">
        <f>+E376*F376</f>
        <v>575</v>
      </c>
      <c r="H376" s="12"/>
      <c r="I376" s="11">
        <v>9.5</v>
      </c>
      <c r="J376" s="10">
        <v>25</v>
      </c>
      <c r="K376" s="10">
        <f>+I376*J376</f>
        <v>237.5</v>
      </c>
      <c r="L376" s="12"/>
      <c r="M376" s="11">
        <v>32.25</v>
      </c>
      <c r="N376" s="10">
        <v>25</v>
      </c>
      <c r="O376" s="10">
        <f>+M376*N376</f>
        <v>806.25</v>
      </c>
      <c r="P376" s="12"/>
      <c r="Q376" s="47">
        <f>+(E376+I376+M376)/(E373+I373+M373)</f>
        <v>0.28335740230186862</v>
      </c>
    </row>
    <row r="377" spans="1:17" x14ac:dyDescent="0.25">
      <c r="A377" s="15"/>
      <c r="B377" s="14"/>
      <c r="C377" s="13"/>
      <c r="D377" s="12"/>
      <c r="E377" s="11"/>
      <c r="F377" s="10"/>
      <c r="G377" s="10">
        <f>+E377*F377</f>
        <v>0</v>
      </c>
      <c r="H377" s="12"/>
      <c r="I377" s="11"/>
      <c r="J377" s="10"/>
      <c r="K377" s="10">
        <f>+I377*J377</f>
        <v>0</v>
      </c>
      <c r="L377" s="12"/>
      <c r="M377" s="11"/>
      <c r="N377" s="10"/>
      <c r="O377" s="10">
        <f>+M377*N377</f>
        <v>0</v>
      </c>
      <c r="P377" s="12"/>
      <c r="Q377" s="46"/>
    </row>
    <row r="378" spans="1:17" ht="15.75" thickBot="1" x14ac:dyDescent="0.3">
      <c r="Q378" s="46"/>
    </row>
    <row r="379" spans="1:17" ht="21" thickBot="1" x14ac:dyDescent="0.3">
      <c r="A379" s="64" t="s">
        <v>1</v>
      </c>
      <c r="B379" s="65"/>
      <c r="C379" s="66"/>
      <c r="D379" s="5"/>
      <c r="E379" s="9"/>
      <c r="F379" s="8"/>
      <c r="G379" s="7">
        <f>SUM(G369:G378)</f>
        <v>849.7097</v>
      </c>
      <c r="H379" s="5"/>
      <c r="I379" s="9"/>
      <c r="J379" s="8"/>
      <c r="K379" s="7">
        <f>SUM(K367:K377)</f>
        <v>384.15800000000002</v>
      </c>
      <c r="L379" s="5"/>
      <c r="M379" s="9"/>
      <c r="N379" s="8"/>
      <c r="O379" s="7">
        <f>SUM(O367:O377)</f>
        <v>1471.6124</v>
      </c>
      <c r="P379" s="5"/>
      <c r="Q379" s="46"/>
    </row>
    <row r="380" spans="1:17" ht="21" thickBot="1" x14ac:dyDescent="0.3">
      <c r="A380" s="60" t="s">
        <v>0</v>
      </c>
      <c r="B380" s="61"/>
      <c r="C380" s="61"/>
      <c r="D380" s="5"/>
      <c r="E380" s="4"/>
      <c r="F380" s="3"/>
      <c r="G380" s="6">
        <f>+G379/E373</f>
        <v>15.32941908713693</v>
      </c>
      <c r="H380" s="5"/>
      <c r="I380" s="4"/>
      <c r="J380" s="3"/>
      <c r="K380" s="6">
        <f>+K379/I373</f>
        <v>13.622624113475178</v>
      </c>
      <c r="L380" s="5"/>
      <c r="M380" s="4"/>
      <c r="N380" s="3"/>
      <c r="O380" s="6">
        <f>+O379/M373</f>
        <v>10.157457205963556</v>
      </c>
      <c r="P380" s="5"/>
      <c r="Q380" s="46"/>
    </row>
    <row r="381" spans="1:17" x14ac:dyDescent="0.25">
      <c r="Q381" s="46"/>
    </row>
    <row r="382" spans="1: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46"/>
    </row>
    <row r="383" spans="1:17" ht="15.75" thickBot="1" x14ac:dyDescent="0.3">
      <c r="Q383" s="46"/>
    </row>
    <row r="384" spans="1:17" ht="32.25" thickBot="1" x14ac:dyDescent="0.3">
      <c r="A384" s="20" t="s">
        <v>409</v>
      </c>
      <c r="B384" s="19" t="s">
        <v>408</v>
      </c>
      <c r="C384" s="18" t="s">
        <v>366</v>
      </c>
      <c r="Q384" s="46"/>
    </row>
    <row r="385" spans="1:17" ht="15.75" thickBot="1" x14ac:dyDescent="0.3">
      <c r="Q385" s="46"/>
    </row>
    <row r="386" spans="1:17" ht="16.5" thickBot="1" x14ac:dyDescent="0.3">
      <c r="A386" s="62" t="s">
        <v>11</v>
      </c>
      <c r="B386" s="63"/>
      <c r="C386" s="63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6"/>
      <c r="P386" s="17"/>
      <c r="Q386" s="46"/>
    </row>
    <row r="387" spans="1:17" x14ac:dyDescent="0.25">
      <c r="A387" s="15"/>
      <c r="B387" s="14" t="s">
        <v>32</v>
      </c>
      <c r="C387" s="13" t="s">
        <v>30</v>
      </c>
      <c r="D387" s="12"/>
      <c r="E387" s="11"/>
      <c r="F387" s="10"/>
      <c r="G387" s="10">
        <f>+E387*F387</f>
        <v>0</v>
      </c>
      <c r="H387" s="12"/>
      <c r="I387" s="11"/>
      <c r="J387" s="10"/>
      <c r="K387" s="10">
        <f>+I387*J387</f>
        <v>0</v>
      </c>
      <c r="L387" s="12"/>
      <c r="M387" s="11">
        <v>1.75</v>
      </c>
      <c r="N387" s="10">
        <v>2.02</v>
      </c>
      <c r="O387" s="10">
        <f>+M387*N387</f>
        <v>3.5350000000000001</v>
      </c>
      <c r="P387" s="12"/>
      <c r="Q387" s="49">
        <f>+M387/$M$392</f>
        <v>8.270321361058602E-3</v>
      </c>
    </row>
    <row r="388" spans="1:17" x14ac:dyDescent="0.25">
      <c r="A388" s="15"/>
      <c r="B388" s="14" t="s">
        <v>31</v>
      </c>
      <c r="C388" s="13" t="s">
        <v>30</v>
      </c>
      <c r="D388" s="12"/>
      <c r="E388" s="11"/>
      <c r="F388" s="10"/>
      <c r="G388" s="10">
        <f>+E388*F388</f>
        <v>0</v>
      </c>
      <c r="H388" s="12"/>
      <c r="I388" s="11"/>
      <c r="J388" s="10"/>
      <c r="K388" s="10">
        <f>+I388*J388</f>
        <v>0</v>
      </c>
      <c r="L388" s="12"/>
      <c r="M388" s="11">
        <v>0.5</v>
      </c>
      <c r="N388" s="10">
        <v>2.16</v>
      </c>
      <c r="O388" s="10">
        <f>+M388*N388</f>
        <v>1.08</v>
      </c>
      <c r="P388" s="12"/>
      <c r="Q388" s="49">
        <f>+M388/$M$392</f>
        <v>2.3629489603024575E-3</v>
      </c>
    </row>
    <row r="389" spans="1:17" ht="30" x14ac:dyDescent="0.25">
      <c r="A389" s="15"/>
      <c r="B389" s="14" t="s">
        <v>370</v>
      </c>
      <c r="C389" s="13" t="s">
        <v>144</v>
      </c>
      <c r="D389" s="12"/>
      <c r="E389" s="11"/>
      <c r="F389" s="10"/>
      <c r="G389" s="10">
        <f>+E389*F389</f>
        <v>0</v>
      </c>
      <c r="H389" s="12"/>
      <c r="I389" s="11"/>
      <c r="J389" s="10"/>
      <c r="K389" s="10">
        <f>+I389*J389</f>
        <v>0</v>
      </c>
      <c r="L389" s="12"/>
      <c r="M389" s="11">
        <v>3.19</v>
      </c>
      <c r="N389" s="10">
        <v>72.849999999999994</v>
      </c>
      <c r="O389" s="10">
        <f>+M389*N389</f>
        <v>232.39149999999998</v>
      </c>
      <c r="P389" s="12"/>
      <c r="Q389" s="49">
        <f>+M389/$M$392</f>
        <v>1.5075614366729679E-2</v>
      </c>
    </row>
    <row r="390" spans="1:17" ht="15.75" thickBot="1" x14ac:dyDescent="0.3">
      <c r="A390" s="15"/>
      <c r="B390" s="14"/>
      <c r="C390" s="13"/>
      <c r="D390" s="12"/>
      <c r="E390" s="11"/>
      <c r="F390" s="10"/>
      <c r="G390" s="10">
        <f>+E390*F390</f>
        <v>0</v>
      </c>
      <c r="H390" s="12"/>
      <c r="I390" s="11"/>
      <c r="J390" s="10"/>
      <c r="K390" s="10">
        <f>+I390*J390</f>
        <v>0</v>
      </c>
      <c r="L390" s="12"/>
      <c r="M390" s="11"/>
      <c r="N390" s="10"/>
      <c r="O390" s="10">
        <f>+M390*N390</f>
        <v>0</v>
      </c>
      <c r="P390" s="12"/>
      <c r="Q390" s="46"/>
    </row>
    <row r="391" spans="1:17" ht="16.5" thickBot="1" x14ac:dyDescent="0.3">
      <c r="A391" s="62" t="s">
        <v>5</v>
      </c>
      <c r="B391" s="63"/>
      <c r="C391" s="63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6"/>
      <c r="P391" s="17"/>
      <c r="Q391" s="46"/>
    </row>
    <row r="392" spans="1:17" x14ac:dyDescent="0.25">
      <c r="A392" s="15"/>
      <c r="B392" s="14" t="s">
        <v>406</v>
      </c>
      <c r="C392" s="13" t="s">
        <v>130</v>
      </c>
      <c r="D392" s="12"/>
      <c r="E392" s="11"/>
      <c r="F392" s="10"/>
      <c r="G392" s="10">
        <f>+E392*F392</f>
        <v>0</v>
      </c>
      <c r="H392" s="12"/>
      <c r="I392" s="11"/>
      <c r="J392" s="10"/>
      <c r="K392" s="10">
        <f>+I392*J392</f>
        <v>0</v>
      </c>
      <c r="L392" s="12"/>
      <c r="M392" s="11">
        <v>211.6</v>
      </c>
      <c r="N392" s="42">
        <v>1.86</v>
      </c>
      <c r="O392" s="10">
        <f>+M392*N392</f>
        <v>393.57600000000002</v>
      </c>
      <c r="P392" s="12"/>
      <c r="Q392" s="46"/>
    </row>
    <row r="393" spans="1:17" ht="15.75" thickBot="1" x14ac:dyDescent="0.3">
      <c r="A393" s="15"/>
      <c r="B393" s="14"/>
      <c r="C393" s="13"/>
      <c r="D393" s="12"/>
      <c r="E393" s="11"/>
      <c r="F393" s="10"/>
      <c r="G393" s="10">
        <f>+E393*F393</f>
        <v>0</v>
      </c>
      <c r="H393" s="12"/>
      <c r="I393" s="11"/>
      <c r="J393" s="10"/>
      <c r="K393" s="10">
        <f>+I393*J393</f>
        <v>0</v>
      </c>
      <c r="L393" s="12"/>
      <c r="M393" s="11"/>
      <c r="N393" s="10"/>
      <c r="O393" s="10">
        <f>+M393*N393</f>
        <v>0</v>
      </c>
      <c r="P393" s="12"/>
      <c r="Q393" s="46"/>
    </row>
    <row r="394" spans="1:17" ht="16.5" thickBot="1" x14ac:dyDescent="0.3">
      <c r="A394" s="62" t="s">
        <v>2</v>
      </c>
      <c r="B394" s="63"/>
      <c r="C394" s="63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6"/>
      <c r="P394" s="17"/>
      <c r="Q394" s="46"/>
    </row>
    <row r="395" spans="1:17" ht="30" x14ac:dyDescent="0.25">
      <c r="A395" s="15"/>
      <c r="B395" s="14" t="s">
        <v>328</v>
      </c>
      <c r="C395" s="13" t="s">
        <v>78</v>
      </c>
      <c r="D395" s="12"/>
      <c r="E395" s="11"/>
      <c r="F395" s="10"/>
      <c r="G395" s="10">
        <f>+E395*F395</f>
        <v>0</v>
      </c>
      <c r="H395" s="12"/>
      <c r="I395" s="11"/>
      <c r="J395" s="10"/>
      <c r="K395" s="10">
        <f>+I395*J395</f>
        <v>0</v>
      </c>
      <c r="L395" s="12"/>
      <c r="M395" s="11">
        <v>5</v>
      </c>
      <c r="N395" s="10">
        <v>22</v>
      </c>
      <c r="O395" s="10">
        <f>+M395*N395</f>
        <v>110</v>
      </c>
      <c r="P395" s="12"/>
      <c r="Q395" s="49">
        <f>+M395/$M$392</f>
        <v>2.3629489603024575E-2</v>
      </c>
    </row>
    <row r="396" spans="1:17" x14ac:dyDescent="0.25">
      <c r="A396" s="15"/>
      <c r="B396" s="14"/>
      <c r="C396" s="13"/>
      <c r="D396" s="12"/>
      <c r="E396" s="11"/>
      <c r="F396" s="10"/>
      <c r="G396" s="10">
        <f>+E396*F396</f>
        <v>0</v>
      </c>
      <c r="H396" s="12"/>
      <c r="I396" s="11"/>
      <c r="J396" s="10"/>
      <c r="K396" s="10">
        <f>+I396*J396</f>
        <v>0</v>
      </c>
      <c r="L396" s="12"/>
      <c r="M396" s="11"/>
      <c r="N396" s="10"/>
      <c r="O396" s="10">
        <f>+M396*N396</f>
        <v>0</v>
      </c>
      <c r="P396" s="12"/>
      <c r="Q396" s="46"/>
    </row>
    <row r="397" spans="1:17" ht="15.75" thickBot="1" x14ac:dyDescent="0.3">
      <c r="Q397" s="46"/>
    </row>
    <row r="398" spans="1:17" ht="21" thickBot="1" x14ac:dyDescent="0.3">
      <c r="A398" s="64" t="s">
        <v>1</v>
      </c>
      <c r="B398" s="65"/>
      <c r="C398" s="66"/>
      <c r="D398" s="5"/>
      <c r="E398" s="9"/>
      <c r="F398" s="8"/>
      <c r="G398" s="7">
        <f>SUM(G386:G397)</f>
        <v>0</v>
      </c>
      <c r="H398" s="5"/>
      <c r="I398" s="9"/>
      <c r="J398" s="8"/>
      <c r="K398" s="7">
        <f>SUM(K384:K396)</f>
        <v>0</v>
      </c>
      <c r="L398" s="5"/>
      <c r="M398" s="9"/>
      <c r="N398" s="8"/>
      <c r="O398" s="7">
        <f>SUM(O384:O396)</f>
        <v>740.58249999999998</v>
      </c>
      <c r="P398" s="5"/>
      <c r="Q398" s="46"/>
    </row>
    <row r="399" spans="1:17" ht="21" thickBot="1" x14ac:dyDescent="0.3">
      <c r="A399" s="60" t="s">
        <v>0</v>
      </c>
      <c r="B399" s="61"/>
      <c r="C399" s="61"/>
      <c r="D399" s="5"/>
      <c r="E399" s="4"/>
      <c r="F399" s="3"/>
      <c r="G399" s="6" t="e">
        <f>+G398/E392</f>
        <v>#DIV/0!</v>
      </c>
      <c r="H399" s="5"/>
      <c r="I399" s="4"/>
      <c r="J399" s="3"/>
      <c r="K399" s="6" t="e">
        <f>+K398/I392</f>
        <v>#DIV/0!</v>
      </c>
      <c r="L399" s="5"/>
      <c r="M399" s="4"/>
      <c r="N399" s="3"/>
      <c r="O399" s="6">
        <f>+O398/M392</f>
        <v>3.4999172967863896</v>
      </c>
      <c r="P399" s="5"/>
      <c r="Q399" s="46"/>
    </row>
    <row r="400" spans="1:17" x14ac:dyDescent="0.25">
      <c r="Q400" s="46"/>
    </row>
    <row r="401" spans="1: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46"/>
    </row>
    <row r="402" spans="1:17" ht="15.75" thickBot="1" x14ac:dyDescent="0.3">
      <c r="Q402" s="46"/>
    </row>
    <row r="403" spans="1:17" ht="24" thickBot="1" x14ac:dyDescent="0.3">
      <c r="A403" s="22" t="s">
        <v>405</v>
      </c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3"/>
      <c r="N403" s="22"/>
      <c r="O403" s="22"/>
      <c r="P403" s="22"/>
      <c r="Q403" s="46"/>
    </row>
    <row r="404" spans="1:17" ht="24" thickBot="1" x14ac:dyDescent="0.3">
      <c r="A404" s="22" t="s">
        <v>404</v>
      </c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3"/>
      <c r="N404" s="22"/>
      <c r="O404" s="22"/>
      <c r="P404" s="22"/>
      <c r="Q404" s="46"/>
    </row>
    <row r="405" spans="1:17" ht="15.75" thickBot="1" x14ac:dyDescent="0.3">
      <c r="Q405" s="46"/>
    </row>
    <row r="406" spans="1:17" ht="19.5" thickBot="1" x14ac:dyDescent="0.3">
      <c r="A406" s="20" t="s">
        <v>403</v>
      </c>
      <c r="B406" s="19" t="s">
        <v>402</v>
      </c>
      <c r="C406" s="18" t="s">
        <v>366</v>
      </c>
      <c r="Q406" s="46"/>
    </row>
    <row r="407" spans="1:17" ht="15.75" thickBot="1" x14ac:dyDescent="0.3">
      <c r="Q407" s="46"/>
    </row>
    <row r="408" spans="1:17" ht="16.5" thickBot="1" x14ac:dyDescent="0.3">
      <c r="A408" s="62" t="s">
        <v>11</v>
      </c>
      <c r="B408" s="63"/>
      <c r="C408" s="63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6"/>
      <c r="P408" s="17"/>
      <c r="Q408" s="46"/>
    </row>
    <row r="409" spans="1:17" x14ac:dyDescent="0.25">
      <c r="A409" s="15"/>
      <c r="B409" s="14" t="s">
        <v>249</v>
      </c>
      <c r="C409" s="13" t="s">
        <v>15</v>
      </c>
      <c r="D409" s="12"/>
      <c r="E409" s="11">
        <v>2</v>
      </c>
      <c r="F409" s="10">
        <v>2.54</v>
      </c>
      <c r="G409" s="10">
        <f>+E409*F409</f>
        <v>5.08</v>
      </c>
      <c r="H409" s="12"/>
      <c r="I409" s="11">
        <v>1</v>
      </c>
      <c r="J409" s="10">
        <v>2.61</v>
      </c>
      <c r="K409" s="10">
        <f>+I409*J409</f>
        <v>2.61</v>
      </c>
      <c r="L409" s="12"/>
      <c r="M409" s="11">
        <v>3</v>
      </c>
      <c r="N409" s="10">
        <v>2.61</v>
      </c>
      <c r="O409" s="10">
        <f>+M409*N409</f>
        <v>7.83</v>
      </c>
      <c r="P409" s="12"/>
      <c r="Q409" s="47">
        <f>+(E409+I409+M409)/($E$414+$I$414+M414)</f>
        <v>1.3314367756151794E-3</v>
      </c>
    </row>
    <row r="410" spans="1:17" ht="30" x14ac:dyDescent="0.25">
      <c r="A410" s="15"/>
      <c r="B410" s="14" t="s">
        <v>64</v>
      </c>
      <c r="C410" s="13" t="s">
        <v>15</v>
      </c>
      <c r="D410" s="12"/>
      <c r="E410" s="11">
        <v>42</v>
      </c>
      <c r="F410" s="10">
        <v>46.04</v>
      </c>
      <c r="G410" s="10">
        <f>+E410*F410</f>
        <v>1933.68</v>
      </c>
      <c r="H410" s="12"/>
      <c r="I410" s="11">
        <v>34</v>
      </c>
      <c r="J410" s="10">
        <v>51.95</v>
      </c>
      <c r="K410" s="10">
        <f>+I410*J410</f>
        <v>1766.3000000000002</v>
      </c>
      <c r="L410" s="12"/>
      <c r="M410" s="11">
        <v>85</v>
      </c>
      <c r="N410" s="10">
        <v>55.26</v>
      </c>
      <c r="O410" s="10">
        <f>+M410*N410</f>
        <v>4697.0999999999995</v>
      </c>
      <c r="P410" s="12"/>
      <c r="Q410" s="49">
        <f>+(E410+I410+M410)/($E$414+$I$414+M415)</f>
        <v>9.0939900587437866E-2</v>
      </c>
    </row>
    <row r="411" spans="1:17" x14ac:dyDescent="0.25">
      <c r="A411" s="15"/>
      <c r="B411" s="14" t="s">
        <v>238</v>
      </c>
      <c r="C411" s="13" t="s">
        <v>15</v>
      </c>
      <c r="D411" s="12"/>
      <c r="E411" s="11">
        <v>1</v>
      </c>
      <c r="F411" s="10">
        <v>0.11</v>
      </c>
      <c r="G411" s="10">
        <f>+E411*F411</f>
        <v>0.11</v>
      </c>
      <c r="H411" s="12"/>
      <c r="I411" s="11"/>
      <c r="J411" s="10"/>
      <c r="K411" s="10">
        <f>+I411*J411</f>
        <v>0</v>
      </c>
      <c r="L411" s="12"/>
      <c r="M411" s="11"/>
      <c r="N411" s="10"/>
      <c r="O411" s="10">
        <f>+M411*N411</f>
        <v>0</v>
      </c>
      <c r="P411" s="12"/>
      <c r="Q411" s="47">
        <f>+E411/E414</f>
        <v>1.128528060850233E-3</v>
      </c>
    </row>
    <row r="412" spans="1:17" ht="15.75" thickBot="1" x14ac:dyDescent="0.3">
      <c r="A412" s="15"/>
      <c r="B412" s="14"/>
      <c r="C412" s="13"/>
      <c r="D412" s="12"/>
      <c r="E412" s="11"/>
      <c r="F412" s="10"/>
      <c r="G412" s="10">
        <f>+E412*F412</f>
        <v>0</v>
      </c>
      <c r="H412" s="12"/>
      <c r="I412" s="11"/>
      <c r="J412" s="10"/>
      <c r="K412" s="10">
        <f>+I412*J412</f>
        <v>0</v>
      </c>
      <c r="L412" s="12"/>
      <c r="M412" s="11"/>
      <c r="N412" s="10"/>
      <c r="O412" s="10">
        <f>+M412*N412</f>
        <v>0</v>
      </c>
      <c r="P412" s="12"/>
      <c r="Q412" s="46"/>
    </row>
    <row r="413" spans="1:17" ht="16.5" thickBot="1" x14ac:dyDescent="0.3">
      <c r="A413" s="62" t="s">
        <v>5</v>
      </c>
      <c r="B413" s="63"/>
      <c r="C413" s="63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6"/>
      <c r="P413" s="17"/>
      <c r="Q413" s="46"/>
    </row>
    <row r="414" spans="1:17" ht="18" x14ac:dyDescent="0.25">
      <c r="A414" s="15"/>
      <c r="B414" s="14" t="s">
        <v>401</v>
      </c>
      <c r="C414" s="13" t="s">
        <v>13</v>
      </c>
      <c r="D414" s="12"/>
      <c r="E414" s="11">
        <v>886.11</v>
      </c>
      <c r="F414" s="42">
        <v>1.04</v>
      </c>
      <c r="G414" s="10">
        <f>+E414*F414</f>
        <v>921.5544000000001</v>
      </c>
      <c r="H414" s="12"/>
      <c r="I414" s="11">
        <f>811.69+72.6</f>
        <v>884.29000000000008</v>
      </c>
      <c r="J414" s="10">
        <v>1.04</v>
      </c>
      <c r="K414" s="10">
        <f>+I414*J414</f>
        <v>919.66160000000013</v>
      </c>
      <c r="L414" s="12"/>
      <c r="M414" s="11">
        <v>2736.01</v>
      </c>
      <c r="N414" s="10">
        <v>1.04</v>
      </c>
      <c r="O414" s="10">
        <f>+M414*N414</f>
        <v>2845.4504000000002</v>
      </c>
      <c r="P414" s="12"/>
      <c r="Q414" s="46"/>
    </row>
    <row r="415" spans="1:17" ht="15.75" thickBot="1" x14ac:dyDescent="0.3">
      <c r="A415" s="15"/>
      <c r="B415" s="14"/>
      <c r="C415" s="13"/>
      <c r="D415" s="12"/>
      <c r="E415" s="11"/>
      <c r="F415" s="10"/>
      <c r="G415" s="10">
        <f>+E415*F415</f>
        <v>0</v>
      </c>
      <c r="H415" s="12"/>
      <c r="I415" s="11"/>
      <c r="J415" s="10"/>
      <c r="K415" s="10">
        <f>+I415*J415</f>
        <v>0</v>
      </c>
      <c r="L415" s="12"/>
      <c r="M415" s="11"/>
      <c r="N415" s="10"/>
      <c r="O415" s="10">
        <f>+M415*N415</f>
        <v>0</v>
      </c>
      <c r="P415" s="12"/>
      <c r="Q415" s="46"/>
    </row>
    <row r="416" spans="1:17" ht="16.5" thickBot="1" x14ac:dyDescent="0.3">
      <c r="A416" s="62" t="s">
        <v>2</v>
      </c>
      <c r="B416" s="63"/>
      <c r="C416" s="63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6"/>
      <c r="P416" s="17"/>
      <c r="Q416" s="46"/>
    </row>
    <row r="417" spans="1:17" ht="30" x14ac:dyDescent="0.25">
      <c r="A417" s="15"/>
      <c r="B417" s="14" t="s">
        <v>400</v>
      </c>
      <c r="C417" s="13" t="s">
        <v>15</v>
      </c>
      <c r="D417" s="12"/>
      <c r="E417" s="11"/>
      <c r="F417" s="10"/>
      <c r="G417" s="10">
        <f>+E417*F417</f>
        <v>0</v>
      </c>
      <c r="H417" s="12"/>
      <c r="I417" s="11"/>
      <c r="J417" s="10"/>
      <c r="K417" s="10">
        <f>+I417*J417</f>
        <v>0</v>
      </c>
      <c r="L417" s="12"/>
      <c r="M417" s="11">
        <v>1</v>
      </c>
      <c r="N417" s="10">
        <v>70</v>
      </c>
      <c r="O417" s="10">
        <f>+M417*N417</f>
        <v>70</v>
      </c>
      <c r="P417" s="12"/>
      <c r="Q417" s="49">
        <f>+M417/I414</f>
        <v>1.1308507390109578E-3</v>
      </c>
    </row>
    <row r="418" spans="1:17" x14ac:dyDescent="0.25">
      <c r="A418" s="15"/>
      <c r="B418" s="14"/>
      <c r="C418" s="13"/>
      <c r="D418" s="12"/>
      <c r="E418" s="11"/>
      <c r="F418" s="10"/>
      <c r="G418" s="10">
        <f>+E418*F418</f>
        <v>0</v>
      </c>
      <c r="H418" s="12"/>
      <c r="I418" s="11"/>
      <c r="J418" s="10"/>
      <c r="K418" s="10">
        <f>+I418*J418</f>
        <v>0</v>
      </c>
      <c r="L418" s="12"/>
      <c r="M418" s="11"/>
      <c r="N418" s="10"/>
      <c r="O418" s="10">
        <f>+M418*N418</f>
        <v>0</v>
      </c>
      <c r="P418" s="12"/>
      <c r="Q418" s="46"/>
    </row>
    <row r="419" spans="1:17" ht="15.75" thickBot="1" x14ac:dyDescent="0.3">
      <c r="Q419" s="46"/>
    </row>
    <row r="420" spans="1:17" ht="21" thickBot="1" x14ac:dyDescent="0.3">
      <c r="A420" s="64" t="s">
        <v>1</v>
      </c>
      <c r="B420" s="65"/>
      <c r="C420" s="66"/>
      <c r="D420" s="5"/>
      <c r="E420" s="9"/>
      <c r="F420" s="8"/>
      <c r="G420" s="7">
        <f>SUM(G408:G419)</f>
        <v>2860.4243999999999</v>
      </c>
      <c r="H420" s="5"/>
      <c r="I420" s="9"/>
      <c r="J420" s="8"/>
      <c r="K420" s="7">
        <f>SUM(K408:K418)</f>
        <v>2688.5716000000002</v>
      </c>
      <c r="L420" s="5"/>
      <c r="M420" s="9"/>
      <c r="N420" s="8"/>
      <c r="O420" s="7">
        <f>SUM(O408:O418)</f>
        <v>7620.3804</v>
      </c>
      <c r="P420" s="5"/>
      <c r="Q420" s="46"/>
    </row>
    <row r="421" spans="1:17" ht="21" thickBot="1" x14ac:dyDescent="0.3">
      <c r="A421" s="60" t="s">
        <v>0</v>
      </c>
      <c r="B421" s="61"/>
      <c r="C421" s="61"/>
      <c r="D421" s="5"/>
      <c r="E421" s="4"/>
      <c r="F421" s="3"/>
      <c r="G421" s="6">
        <f>+G420/E414</f>
        <v>3.2280692013406913</v>
      </c>
      <c r="H421" s="5"/>
      <c r="I421" s="4"/>
      <c r="J421" s="3"/>
      <c r="K421" s="6">
        <f>+K420/I414</f>
        <v>3.0403731807438734</v>
      </c>
      <c r="L421" s="5"/>
      <c r="M421" s="4"/>
      <c r="N421" s="3"/>
      <c r="O421" s="6">
        <f>+O420/M414</f>
        <v>2.7852165745008239</v>
      </c>
      <c r="P421" s="5"/>
      <c r="Q421" s="46"/>
    </row>
    <row r="422" spans="1:17" x14ac:dyDescent="0.25">
      <c r="Q422" s="46"/>
    </row>
    <row r="423" spans="1: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46"/>
    </row>
    <row r="424" spans="1:17" ht="15.75" thickBot="1" x14ac:dyDescent="0.3">
      <c r="Q424" s="46"/>
    </row>
    <row r="425" spans="1:17" ht="16.5" thickBot="1" x14ac:dyDescent="0.3">
      <c r="A425" s="20" t="s">
        <v>399</v>
      </c>
      <c r="B425" s="19" t="s">
        <v>398</v>
      </c>
      <c r="C425" s="18" t="s">
        <v>30</v>
      </c>
      <c r="Q425" s="46"/>
    </row>
    <row r="426" spans="1:17" ht="15.75" thickBot="1" x14ac:dyDescent="0.3">
      <c r="Q426" s="46"/>
    </row>
    <row r="427" spans="1:17" ht="16.5" thickBot="1" x14ac:dyDescent="0.3">
      <c r="A427" s="62" t="s">
        <v>11</v>
      </c>
      <c r="B427" s="63"/>
      <c r="C427" s="63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6"/>
      <c r="P427" s="17"/>
      <c r="Q427" s="46"/>
    </row>
    <row r="428" spans="1:17" ht="30" x14ac:dyDescent="0.25">
      <c r="A428" s="15"/>
      <c r="B428" s="14" t="s">
        <v>397</v>
      </c>
      <c r="C428" s="13" t="s">
        <v>15</v>
      </c>
      <c r="D428" s="12"/>
      <c r="E428" s="11">
        <v>19</v>
      </c>
      <c r="F428" s="10">
        <v>5.0599999999999996</v>
      </c>
      <c r="G428" s="10">
        <f>+E428*F428</f>
        <v>96.139999999999986</v>
      </c>
      <c r="H428" s="12"/>
      <c r="I428" s="11"/>
      <c r="J428" s="10"/>
      <c r="K428" s="10">
        <f>+I428*J428</f>
        <v>0</v>
      </c>
      <c r="L428" s="12"/>
      <c r="M428" s="11"/>
      <c r="N428" s="10"/>
      <c r="O428" s="10">
        <f>+M428*N428</f>
        <v>0</v>
      </c>
      <c r="P428" s="12"/>
      <c r="Q428" s="49">
        <f>1/(12*0.395)</f>
        <v>0.21097046413502107</v>
      </c>
    </row>
    <row r="429" spans="1:17" ht="15.75" thickBot="1" x14ac:dyDescent="0.3">
      <c r="A429" s="15"/>
      <c r="B429" s="14"/>
      <c r="C429" s="13"/>
      <c r="D429" s="12"/>
      <c r="E429" s="11"/>
      <c r="F429" s="10"/>
      <c r="G429" s="10">
        <f>+E429*F429</f>
        <v>0</v>
      </c>
      <c r="H429" s="12"/>
      <c r="I429" s="11"/>
      <c r="J429" s="10"/>
      <c r="K429" s="10">
        <f>+I429*J429</f>
        <v>0</v>
      </c>
      <c r="L429" s="12"/>
      <c r="M429" s="11"/>
      <c r="N429" s="10"/>
      <c r="O429" s="10">
        <f>+M429*N429</f>
        <v>0</v>
      </c>
      <c r="P429" s="12"/>
      <c r="Q429" s="46"/>
    </row>
    <row r="430" spans="1:17" ht="16.5" thickBot="1" x14ac:dyDescent="0.3">
      <c r="A430" s="62" t="s">
        <v>5</v>
      </c>
      <c r="B430" s="63"/>
      <c r="C430" s="63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6"/>
      <c r="P430" s="17"/>
      <c r="Q430" s="46"/>
    </row>
    <row r="431" spans="1:17" x14ac:dyDescent="0.25">
      <c r="A431" s="15"/>
      <c r="B431" s="14" t="s">
        <v>396</v>
      </c>
      <c r="C431" s="13" t="s">
        <v>30</v>
      </c>
      <c r="D431" s="12"/>
      <c r="E431" s="11">
        <v>90.06</v>
      </c>
      <c r="F431" s="42">
        <v>0.32</v>
      </c>
      <c r="G431" s="10">
        <f>+E431*F431</f>
        <v>28.819200000000002</v>
      </c>
      <c r="H431" s="12"/>
      <c r="I431" s="11"/>
      <c r="J431" s="10"/>
      <c r="K431" s="10">
        <f>+I431*J431</f>
        <v>0</v>
      </c>
      <c r="L431" s="12"/>
      <c r="M431" s="11"/>
      <c r="N431" s="10"/>
      <c r="O431" s="10">
        <f>+M431*N431</f>
        <v>0</v>
      </c>
      <c r="P431" s="12"/>
    </row>
    <row r="432" spans="1:17" ht="15.75" thickBot="1" x14ac:dyDescent="0.3">
      <c r="A432" s="15"/>
      <c r="B432" s="14"/>
      <c r="C432" s="13"/>
      <c r="D432" s="12"/>
      <c r="E432" s="11"/>
      <c r="F432" s="10"/>
      <c r="G432" s="10">
        <f>+E432*F432</f>
        <v>0</v>
      </c>
      <c r="H432" s="12"/>
      <c r="I432" s="11"/>
      <c r="J432" s="10"/>
      <c r="K432" s="10">
        <f>+I432*J432</f>
        <v>0</v>
      </c>
      <c r="L432" s="12"/>
      <c r="M432" s="11"/>
      <c r="N432" s="10"/>
      <c r="O432" s="10">
        <f>+M432*N432</f>
        <v>0</v>
      </c>
      <c r="P432" s="12"/>
      <c r="Q432" s="46"/>
    </row>
    <row r="433" spans="1:20" ht="16.5" thickBot="1" x14ac:dyDescent="0.3">
      <c r="A433" s="62" t="s">
        <v>2</v>
      </c>
      <c r="B433" s="63"/>
      <c r="C433" s="63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6"/>
      <c r="P433" s="17"/>
      <c r="Q433" s="46"/>
    </row>
    <row r="434" spans="1:20" x14ac:dyDescent="0.25">
      <c r="A434" s="15"/>
      <c r="B434" s="14"/>
      <c r="C434" s="13"/>
      <c r="D434" s="12"/>
      <c r="E434" s="11"/>
      <c r="F434" s="10"/>
      <c r="G434" s="10">
        <f>+E434*F434</f>
        <v>0</v>
      </c>
      <c r="H434" s="12"/>
      <c r="I434" s="11"/>
      <c r="J434" s="10"/>
      <c r="K434" s="10">
        <f>+I434*J434</f>
        <v>0</v>
      </c>
      <c r="L434" s="12"/>
      <c r="M434" s="11"/>
      <c r="N434" s="10"/>
      <c r="O434" s="10">
        <f>+M434*N434</f>
        <v>0</v>
      </c>
      <c r="P434" s="12"/>
      <c r="Q434" s="46"/>
    </row>
    <row r="435" spans="1:20" x14ac:dyDescent="0.25">
      <c r="A435" s="15"/>
      <c r="B435" s="14"/>
      <c r="C435" s="13"/>
      <c r="D435" s="12"/>
      <c r="E435" s="11"/>
      <c r="F435" s="10"/>
      <c r="G435" s="10">
        <f>+E435*F435</f>
        <v>0</v>
      </c>
      <c r="H435" s="12"/>
      <c r="I435" s="11"/>
      <c r="J435" s="10"/>
      <c r="K435" s="10">
        <f>+I435*J435</f>
        <v>0</v>
      </c>
      <c r="L435" s="12"/>
      <c r="M435" s="11"/>
      <c r="N435" s="10"/>
      <c r="O435" s="10">
        <f>+M435*N435</f>
        <v>0</v>
      </c>
      <c r="P435" s="12"/>
      <c r="Q435" s="46"/>
    </row>
    <row r="436" spans="1:20" ht="15.75" thickBot="1" x14ac:dyDescent="0.3">
      <c r="Q436" s="46"/>
    </row>
    <row r="437" spans="1:20" ht="21" thickBot="1" x14ac:dyDescent="0.3">
      <c r="A437" s="64" t="s">
        <v>1</v>
      </c>
      <c r="B437" s="65"/>
      <c r="C437" s="66"/>
      <c r="D437" s="5"/>
      <c r="E437" s="9"/>
      <c r="F437" s="8"/>
      <c r="G437" s="7">
        <f>SUM(G427:G436)</f>
        <v>124.95919999999998</v>
      </c>
      <c r="H437" s="5"/>
      <c r="I437" s="9"/>
      <c r="J437" s="8"/>
      <c r="K437" s="7">
        <f>SUM(K425:K435)</f>
        <v>0</v>
      </c>
      <c r="L437" s="5"/>
      <c r="M437" s="9"/>
      <c r="N437" s="8"/>
      <c r="O437" s="7">
        <f>SUM(O425:O435)</f>
        <v>0</v>
      </c>
      <c r="P437" s="5"/>
      <c r="Q437" s="46"/>
    </row>
    <row r="438" spans="1:20" ht="21" thickBot="1" x14ac:dyDescent="0.3">
      <c r="A438" s="60" t="s">
        <v>0</v>
      </c>
      <c r="B438" s="61"/>
      <c r="C438" s="61"/>
      <c r="D438" s="5"/>
      <c r="E438" s="4"/>
      <c r="F438" s="3"/>
      <c r="G438" s="6">
        <f>+G437/E431</f>
        <v>1.3875105485232064</v>
      </c>
      <c r="H438" s="5"/>
      <c r="I438" s="4"/>
      <c r="J438" s="3"/>
      <c r="K438" s="6" t="e">
        <f>+K437/I431</f>
        <v>#DIV/0!</v>
      </c>
      <c r="L438" s="5"/>
      <c r="M438" s="4"/>
      <c r="N438" s="3"/>
      <c r="O438" s="6" t="e">
        <f>+O437/M431</f>
        <v>#DIV/0!</v>
      </c>
      <c r="P438" s="5"/>
      <c r="Q438" s="46"/>
    </row>
    <row r="439" spans="1:20" x14ac:dyDescent="0.25">
      <c r="Q439" s="46"/>
    </row>
    <row r="440" spans="1:2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46"/>
    </row>
    <row r="441" spans="1:20" ht="15.75" thickBot="1" x14ac:dyDescent="0.3">
      <c r="Q441" s="46"/>
    </row>
    <row r="442" spans="1:20" ht="16.5" thickBot="1" x14ac:dyDescent="0.3">
      <c r="A442" s="20" t="s">
        <v>395</v>
      </c>
      <c r="B442" s="19" t="s">
        <v>394</v>
      </c>
      <c r="C442" s="18" t="s">
        <v>30</v>
      </c>
      <c r="Q442" s="46"/>
    </row>
    <row r="443" spans="1:20" ht="15.75" thickBot="1" x14ac:dyDescent="0.3">
      <c r="Q443" s="46"/>
    </row>
    <row r="444" spans="1:20" ht="16.5" thickBot="1" x14ac:dyDescent="0.3">
      <c r="A444" s="62" t="s">
        <v>11</v>
      </c>
      <c r="B444" s="63"/>
      <c r="C444" s="63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6"/>
      <c r="P444" s="17"/>
      <c r="Q444" s="46"/>
      <c r="R444" s="45" t="s">
        <v>594</v>
      </c>
      <c r="S444" s="45" t="s">
        <v>595</v>
      </c>
      <c r="T444" s="45" t="s">
        <v>596</v>
      </c>
    </row>
    <row r="445" spans="1:20" ht="30" x14ac:dyDescent="0.25">
      <c r="A445" s="15"/>
      <c r="B445" s="14" t="s">
        <v>383</v>
      </c>
      <c r="C445" s="13" t="s">
        <v>382</v>
      </c>
      <c r="D445" s="12"/>
      <c r="E445" s="11">
        <v>2</v>
      </c>
      <c r="F445" s="10">
        <v>29.65</v>
      </c>
      <c r="G445" s="10">
        <f t="shared" ref="G445:G450" si="9">+E445*F445</f>
        <v>59.3</v>
      </c>
      <c r="H445" s="12"/>
      <c r="I445" s="11">
        <v>2</v>
      </c>
      <c r="J445" s="10">
        <v>34.53</v>
      </c>
      <c r="K445" s="10">
        <f t="shared" ref="K445:K450" si="10">+I445*J445</f>
        <v>69.06</v>
      </c>
      <c r="L445" s="12"/>
      <c r="M445" s="11">
        <v>1</v>
      </c>
      <c r="N445" s="10">
        <v>33.49</v>
      </c>
      <c r="O445" s="10">
        <f t="shared" ref="O445:O450" si="11">+M445*N445</f>
        <v>33.49</v>
      </c>
      <c r="P445" s="12"/>
      <c r="Q445" s="46"/>
      <c r="R445" s="51">
        <f>+(E445+E467+E489+E511)/($E$452+$E$474+$E$496+$E$518)</f>
        <v>8.8133836518783967E-4</v>
      </c>
      <c r="S445" s="50">
        <f>+(I445+I467+I489+I511)/($I$452+$I$474+$I$496+$I$518)</f>
        <v>1.2204826276502781E-3</v>
      </c>
      <c r="T445" s="50">
        <f>+(M445+M467+M489+M511)/($M$452+$M$474+$M$496+$M$518)</f>
        <v>4.570699544851167E-4</v>
      </c>
    </row>
    <row r="446" spans="1:20" x14ac:dyDescent="0.25">
      <c r="A446" s="15"/>
      <c r="B446" s="14" t="s">
        <v>249</v>
      </c>
      <c r="C446" s="13" t="s">
        <v>15</v>
      </c>
      <c r="D446" s="12"/>
      <c r="E446" s="11">
        <v>23</v>
      </c>
      <c r="F446" s="10">
        <v>2.37</v>
      </c>
      <c r="G446" s="10">
        <f t="shared" si="9"/>
        <v>54.510000000000005</v>
      </c>
      <c r="H446" s="12"/>
      <c r="I446" s="11">
        <v>18</v>
      </c>
      <c r="J446" s="10">
        <v>2.61</v>
      </c>
      <c r="K446" s="10">
        <f t="shared" si="10"/>
        <v>46.98</v>
      </c>
      <c r="L446" s="12"/>
      <c r="M446" s="11">
        <v>6</v>
      </c>
      <c r="N446" s="10">
        <v>2.54</v>
      </c>
      <c r="O446" s="10">
        <f t="shared" si="11"/>
        <v>15.24</v>
      </c>
      <c r="P446" s="12"/>
      <c r="Q446" s="46"/>
      <c r="R446" s="51">
        <f>+(E446+E468+E490+E512)/($E$452+$E$474+$E$496+$E$518)</f>
        <v>3.8191329158139718E-3</v>
      </c>
      <c r="S446" s="50">
        <f>+(I446+I468+I490+I512)/($I$452+$I$474+$I$496+$I$518)</f>
        <v>3.9055444084808897E-3</v>
      </c>
      <c r="T446" s="50">
        <f>+(M446+M468+M490+M512)/($M$452+$M$474+$M$496+$M$518)</f>
        <v>1.8282798179404668E-3</v>
      </c>
    </row>
    <row r="447" spans="1:20" x14ac:dyDescent="0.25">
      <c r="A447" s="15"/>
      <c r="B447" s="14" t="s">
        <v>248</v>
      </c>
      <c r="C447" s="13" t="s">
        <v>15</v>
      </c>
      <c r="D447" s="12"/>
      <c r="E447" s="11">
        <v>1</v>
      </c>
      <c r="F447" s="10">
        <v>0.88</v>
      </c>
      <c r="G447" s="10">
        <f t="shared" si="9"/>
        <v>0.88</v>
      </c>
      <c r="H447" s="12"/>
      <c r="I447" s="11">
        <v>3</v>
      </c>
      <c r="J447" s="10">
        <v>0.94</v>
      </c>
      <c r="K447" s="10">
        <f t="shared" si="10"/>
        <v>2.82</v>
      </c>
      <c r="L447" s="12"/>
      <c r="M447" s="11">
        <v>3</v>
      </c>
      <c r="N447" s="10">
        <v>0.96</v>
      </c>
      <c r="O447" s="10">
        <f t="shared" si="11"/>
        <v>2.88</v>
      </c>
      <c r="P447" s="12"/>
      <c r="Q447" s="46"/>
      <c r="R447" s="50">
        <f>+(E447+E469)/($E$452+$E$474)</f>
        <v>1.8051616793058069E-4</v>
      </c>
      <c r="S447" s="50">
        <f>+(I447+I469+I513)/($I$452+$I$474+$I$518)</f>
        <v>6.4744614866658467E-4</v>
      </c>
      <c r="T447" s="51">
        <f>+(M447+M469+M491)/($M$452+$M$474+$M$496)</f>
        <v>4.6821408006065711E-4</v>
      </c>
    </row>
    <row r="448" spans="1:20" x14ac:dyDescent="0.25">
      <c r="A448" s="15"/>
      <c r="B448" s="14" t="s">
        <v>238</v>
      </c>
      <c r="C448" s="13" t="s">
        <v>15</v>
      </c>
      <c r="D448" s="12"/>
      <c r="E448" s="11">
        <v>10</v>
      </c>
      <c r="F448" s="10">
        <v>0.11600000000000001</v>
      </c>
      <c r="G448" s="10">
        <f t="shared" si="9"/>
        <v>1.1600000000000001</v>
      </c>
      <c r="H448" s="12"/>
      <c r="I448" s="11">
        <v>8</v>
      </c>
      <c r="J448" s="10">
        <v>0.12</v>
      </c>
      <c r="K448" s="10">
        <f t="shared" si="10"/>
        <v>0.96</v>
      </c>
      <c r="L448" s="12"/>
      <c r="M448" s="11">
        <v>3</v>
      </c>
      <c r="N448" s="10">
        <v>0.11</v>
      </c>
      <c r="O448" s="10">
        <f t="shared" si="11"/>
        <v>0.33</v>
      </c>
      <c r="P448" s="12"/>
      <c r="Q448" s="46"/>
      <c r="R448" s="50">
        <f>+(E448+E470+E492)/($E$452+$E$474+$E$496)</f>
        <v>2.2009654901950322E-3</v>
      </c>
      <c r="S448" s="50">
        <f>+(I448+I470+I492+I514)/($I$452+$I$474+$I$496+$I$518)</f>
        <v>3.8241788999708714E-3</v>
      </c>
      <c r="T448" s="51">
        <f>+(M448+M470)/($M$452+$M$474)</f>
        <v>3.3036931159419834E-3</v>
      </c>
    </row>
    <row r="449" spans="1:17" ht="30" x14ac:dyDescent="0.25">
      <c r="A449" s="15"/>
      <c r="B449" s="14" t="s">
        <v>63</v>
      </c>
      <c r="C449" s="13" t="s">
        <v>15</v>
      </c>
      <c r="D449" s="12"/>
      <c r="E449" s="11">
        <v>902.66763000000003</v>
      </c>
      <c r="F449" s="10">
        <v>7.9329999999999998</v>
      </c>
      <c r="G449" s="10">
        <f t="shared" si="9"/>
        <v>7160.8623087900005</v>
      </c>
      <c r="H449" s="12"/>
      <c r="I449" s="11">
        <v>539</v>
      </c>
      <c r="J449" s="10">
        <v>8.16</v>
      </c>
      <c r="K449" s="10">
        <f t="shared" si="10"/>
        <v>4398.24</v>
      </c>
      <c r="L449" s="12"/>
      <c r="M449" s="11">
        <v>518</v>
      </c>
      <c r="N449" s="10">
        <v>8.34</v>
      </c>
      <c r="O449" s="10">
        <f t="shared" si="11"/>
        <v>4320.12</v>
      </c>
      <c r="P449" s="12"/>
      <c r="Q449" s="49">
        <f>1/(12*0.617)</f>
        <v>0.1350621285791464</v>
      </c>
    </row>
    <row r="450" spans="1:17" ht="15.75" thickBot="1" x14ac:dyDescent="0.3">
      <c r="A450" s="15"/>
      <c r="B450" s="14"/>
      <c r="C450" s="13"/>
      <c r="D450" s="12"/>
      <c r="E450" s="11"/>
      <c r="F450" s="10"/>
      <c r="G450" s="10">
        <f t="shared" si="9"/>
        <v>0</v>
      </c>
      <c r="H450" s="12"/>
      <c r="I450" s="11"/>
      <c r="J450" s="10"/>
      <c r="K450" s="10">
        <f t="shared" si="10"/>
        <v>0</v>
      </c>
      <c r="L450" s="12"/>
      <c r="M450" s="11"/>
      <c r="N450" s="10"/>
      <c r="O450" s="10">
        <f t="shared" si="11"/>
        <v>0</v>
      </c>
      <c r="P450" s="12"/>
      <c r="Q450" s="46"/>
    </row>
    <row r="451" spans="1:17" ht="16.5" thickBot="1" x14ac:dyDescent="0.3">
      <c r="A451" s="62" t="s">
        <v>5</v>
      </c>
      <c r="B451" s="63"/>
      <c r="C451" s="63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6"/>
      <c r="P451" s="17"/>
      <c r="Q451" s="46"/>
    </row>
    <row r="452" spans="1:17" x14ac:dyDescent="0.25">
      <c r="A452" s="15"/>
      <c r="B452" s="14" t="s">
        <v>393</v>
      </c>
      <c r="C452" s="13" t="s">
        <v>30</v>
      </c>
      <c r="D452" s="12"/>
      <c r="E452" s="11">
        <v>6771.14</v>
      </c>
      <c r="F452" s="42">
        <v>0.32</v>
      </c>
      <c r="G452" s="10">
        <f>+E452*F452</f>
        <v>2166.7647999999999</v>
      </c>
      <c r="H452" s="12"/>
      <c r="I452" s="11">
        <v>5242.74</v>
      </c>
      <c r="J452" s="10">
        <v>0.32</v>
      </c>
      <c r="K452" s="10">
        <f>+I452*J452</f>
        <v>1677.6768</v>
      </c>
      <c r="L452" s="12"/>
      <c r="M452" s="11">
        <v>5432.2112500000003</v>
      </c>
      <c r="N452" s="10">
        <v>0.32</v>
      </c>
      <c r="O452" s="10">
        <f>+M452*N452</f>
        <v>1738.3076000000001</v>
      </c>
      <c r="P452" s="12"/>
    </row>
    <row r="453" spans="1:17" ht="15.75" thickBot="1" x14ac:dyDescent="0.3">
      <c r="A453" s="15"/>
      <c r="B453" s="14"/>
      <c r="C453" s="13"/>
      <c r="D453" s="12"/>
      <c r="E453" s="11"/>
      <c r="F453" s="10"/>
      <c r="G453" s="10">
        <f>+E453*F453</f>
        <v>0</v>
      </c>
      <c r="H453" s="12"/>
      <c r="I453" s="11"/>
      <c r="J453" s="10"/>
      <c r="K453" s="10">
        <f>+I453*J453</f>
        <v>0</v>
      </c>
      <c r="L453" s="12"/>
      <c r="M453" s="11"/>
      <c r="N453" s="10"/>
      <c r="O453" s="10">
        <f>+M453*N453</f>
        <v>0</v>
      </c>
      <c r="P453" s="12"/>
      <c r="Q453" s="46"/>
    </row>
    <row r="454" spans="1:17" ht="16.5" thickBot="1" x14ac:dyDescent="0.3">
      <c r="A454" s="62" t="s">
        <v>2</v>
      </c>
      <c r="B454" s="63"/>
      <c r="C454" s="63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6"/>
      <c r="P454" s="17"/>
      <c r="Q454" s="46"/>
    </row>
    <row r="455" spans="1:17" x14ac:dyDescent="0.25">
      <c r="A455" s="15"/>
      <c r="B455" s="14" t="s">
        <v>234</v>
      </c>
      <c r="C455" s="13" t="s">
        <v>15</v>
      </c>
      <c r="D455" s="12"/>
      <c r="E455" s="11"/>
      <c r="F455" s="10"/>
      <c r="G455" s="10">
        <f>+E455*F455</f>
        <v>0</v>
      </c>
      <c r="H455" s="12"/>
      <c r="I455" s="11"/>
      <c r="J455" s="10"/>
      <c r="K455" s="10">
        <f>+I455*J455</f>
        <v>0</v>
      </c>
      <c r="L455" s="12"/>
      <c r="M455" s="11">
        <v>20</v>
      </c>
      <c r="N455" s="10">
        <v>0.36</v>
      </c>
      <c r="O455" s="10">
        <f>+M455*N455</f>
        <v>7.1999999999999993</v>
      </c>
      <c r="P455" s="12"/>
      <c r="Q455" s="46"/>
    </row>
    <row r="456" spans="1:17" x14ac:dyDescent="0.25">
      <c r="A456" s="15"/>
      <c r="B456" s="14" t="s">
        <v>233</v>
      </c>
      <c r="C456" s="13" t="s">
        <v>15</v>
      </c>
      <c r="D456" s="12"/>
      <c r="E456" s="11"/>
      <c r="F456" s="10"/>
      <c r="G456" s="10">
        <f>+E456*F456</f>
        <v>0</v>
      </c>
      <c r="H456" s="12"/>
      <c r="I456" s="11"/>
      <c r="J456" s="10"/>
      <c r="K456" s="10">
        <f>+I456*J456</f>
        <v>0</v>
      </c>
      <c r="L456" s="12"/>
      <c r="M456" s="11">
        <v>20</v>
      </c>
      <c r="N456" s="10">
        <v>0.09</v>
      </c>
      <c r="O456" s="10">
        <f>+M456*N456</f>
        <v>1.7999999999999998</v>
      </c>
      <c r="P456" s="12"/>
      <c r="Q456" s="46"/>
    </row>
    <row r="457" spans="1:17" x14ac:dyDescent="0.25">
      <c r="A457" s="15"/>
      <c r="B457" s="14"/>
      <c r="C457" s="13"/>
      <c r="D457" s="12"/>
      <c r="E457" s="11"/>
      <c r="F457" s="10"/>
      <c r="G457" s="10">
        <f>+E457*F457</f>
        <v>0</v>
      </c>
      <c r="H457" s="12"/>
      <c r="I457" s="11"/>
      <c r="J457" s="10"/>
      <c r="K457" s="10">
        <f>+I457*J457</f>
        <v>0</v>
      </c>
      <c r="L457" s="12"/>
      <c r="M457" s="11"/>
      <c r="N457" s="10"/>
      <c r="O457" s="10">
        <f>+M457*N457</f>
        <v>0</v>
      </c>
      <c r="P457" s="12"/>
      <c r="Q457" s="46"/>
    </row>
    <row r="458" spans="1:17" ht="15.75" thickBot="1" x14ac:dyDescent="0.3">
      <c r="Q458" s="46"/>
    </row>
    <row r="459" spans="1:17" ht="21" thickBot="1" x14ac:dyDescent="0.3">
      <c r="A459" s="64" t="s">
        <v>1</v>
      </c>
      <c r="B459" s="65"/>
      <c r="C459" s="66"/>
      <c r="D459" s="5"/>
      <c r="E459" s="9"/>
      <c r="F459" s="8"/>
      <c r="G459" s="7">
        <f>SUM(G444:G458)</f>
        <v>9443.4771087900008</v>
      </c>
      <c r="H459" s="5"/>
      <c r="I459" s="9"/>
      <c r="J459" s="8"/>
      <c r="K459" s="7">
        <f>SUM(K442:K457)</f>
        <v>6195.7367999999997</v>
      </c>
      <c r="L459" s="5"/>
      <c r="M459" s="9"/>
      <c r="N459" s="8"/>
      <c r="O459" s="7">
        <f>SUM(O442:O457)</f>
        <v>6119.3675999999996</v>
      </c>
      <c r="P459" s="5"/>
      <c r="Q459" s="46"/>
    </row>
    <row r="460" spans="1:17" ht="21" thickBot="1" x14ac:dyDescent="0.3">
      <c r="A460" s="60" t="s">
        <v>0</v>
      </c>
      <c r="B460" s="61"/>
      <c r="C460" s="61"/>
      <c r="D460" s="5"/>
      <c r="E460" s="4"/>
      <c r="F460" s="3"/>
      <c r="G460" s="6">
        <f>+G459/E452</f>
        <v>1.394665759205983</v>
      </c>
      <c r="H460" s="5"/>
      <c r="I460" s="4"/>
      <c r="J460" s="3"/>
      <c r="K460" s="6">
        <f>+K459/I452</f>
        <v>1.1817745682601082</v>
      </c>
      <c r="L460" s="5"/>
      <c r="M460" s="4"/>
      <c r="N460" s="3"/>
      <c r="O460" s="6">
        <f>+O459/M452</f>
        <v>1.1264966177447535</v>
      </c>
      <c r="P460" s="5"/>
      <c r="Q460" s="46"/>
    </row>
    <row r="461" spans="1:17" x14ac:dyDescent="0.25">
      <c r="Q461" s="46"/>
    </row>
    <row r="462" spans="1:1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46"/>
    </row>
    <row r="463" spans="1:17" ht="15.75" thickBot="1" x14ac:dyDescent="0.3">
      <c r="Q463" s="46"/>
    </row>
    <row r="464" spans="1:17" ht="16.5" thickBot="1" x14ac:dyDescent="0.3">
      <c r="A464" s="20" t="s">
        <v>392</v>
      </c>
      <c r="B464" s="19" t="s">
        <v>391</v>
      </c>
      <c r="C464" s="18" t="s">
        <v>30</v>
      </c>
      <c r="Q464" s="46"/>
    </row>
    <row r="465" spans="1:20" ht="15.75" thickBot="1" x14ac:dyDescent="0.3">
      <c r="Q465" s="46"/>
    </row>
    <row r="466" spans="1:20" ht="16.5" thickBot="1" x14ac:dyDescent="0.3">
      <c r="A466" s="62" t="s">
        <v>11</v>
      </c>
      <c r="B466" s="63"/>
      <c r="C466" s="63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6"/>
      <c r="P466" s="17"/>
      <c r="Q466" s="46"/>
    </row>
    <row r="467" spans="1:20" ht="30" x14ac:dyDescent="0.25">
      <c r="A467" s="15"/>
      <c r="B467" s="14" t="s">
        <v>383</v>
      </c>
      <c r="C467" s="13" t="s">
        <v>382</v>
      </c>
      <c r="D467" s="12"/>
      <c r="E467" s="11">
        <v>9</v>
      </c>
      <c r="F467" s="10">
        <v>29.39</v>
      </c>
      <c r="G467" s="10">
        <f t="shared" ref="G467:G472" si="12">+E467*F467</f>
        <v>264.51</v>
      </c>
      <c r="H467" s="12"/>
      <c r="I467" s="11">
        <v>6</v>
      </c>
      <c r="J467" s="10">
        <v>34.5</v>
      </c>
      <c r="K467" s="10">
        <f t="shared" ref="K467:K472" si="13">+I467*J467</f>
        <v>207</v>
      </c>
      <c r="L467" s="12"/>
      <c r="M467" s="11">
        <v>5</v>
      </c>
      <c r="N467" s="10">
        <v>33.49</v>
      </c>
      <c r="O467" s="10">
        <f t="shared" ref="O467:O472" si="14">+M467*N467</f>
        <v>167.45000000000002</v>
      </c>
      <c r="P467" s="12"/>
      <c r="Q467" s="46"/>
    </row>
    <row r="468" spans="1:20" x14ac:dyDescent="0.25">
      <c r="A468" s="15"/>
      <c r="B468" s="14" t="s">
        <v>249</v>
      </c>
      <c r="C468" s="13" t="s">
        <v>15</v>
      </c>
      <c r="D468" s="12"/>
      <c r="E468" s="11">
        <v>25</v>
      </c>
      <c r="F468" s="10">
        <v>2.38</v>
      </c>
      <c r="G468" s="10">
        <f t="shared" si="12"/>
        <v>59.5</v>
      </c>
      <c r="H468" s="12"/>
      <c r="I468" s="11">
        <v>22</v>
      </c>
      <c r="J468" s="10">
        <v>2.61</v>
      </c>
      <c r="K468" s="10">
        <f t="shared" si="13"/>
        <v>57.419999999999995</v>
      </c>
      <c r="L468" s="12"/>
      <c r="M468" s="11">
        <v>22</v>
      </c>
      <c r="N468" s="10">
        <v>2.56</v>
      </c>
      <c r="O468" s="10">
        <f t="shared" si="14"/>
        <v>56.32</v>
      </c>
      <c r="P468" s="12"/>
      <c r="Q468" s="46"/>
    </row>
    <row r="469" spans="1:20" x14ac:dyDescent="0.25">
      <c r="A469" s="15"/>
      <c r="B469" s="14" t="s">
        <v>248</v>
      </c>
      <c r="C469" s="13" t="s">
        <v>15</v>
      </c>
      <c r="D469" s="12"/>
      <c r="E469" s="11">
        <v>1</v>
      </c>
      <c r="F469" s="10">
        <v>0.88</v>
      </c>
      <c r="G469" s="10">
        <f t="shared" si="12"/>
        <v>0.88</v>
      </c>
      <c r="H469" s="12"/>
      <c r="I469" s="11">
        <v>2</v>
      </c>
      <c r="J469" s="10">
        <v>0.94</v>
      </c>
      <c r="K469" s="10">
        <f t="shared" si="13"/>
        <v>1.88</v>
      </c>
      <c r="L469" s="12"/>
      <c r="M469" s="11">
        <v>3</v>
      </c>
      <c r="N469" s="10">
        <v>0.93</v>
      </c>
      <c r="O469" s="10">
        <f t="shared" si="14"/>
        <v>2.79</v>
      </c>
      <c r="P469" s="12"/>
      <c r="Q469" s="46"/>
    </row>
    <row r="470" spans="1:20" x14ac:dyDescent="0.25">
      <c r="A470" s="15"/>
      <c r="B470" s="14" t="s">
        <v>238</v>
      </c>
      <c r="C470" s="13" t="s">
        <v>15</v>
      </c>
      <c r="D470" s="12"/>
      <c r="E470" s="11">
        <v>15</v>
      </c>
      <c r="F470" s="10">
        <v>0.11</v>
      </c>
      <c r="G470" s="10">
        <f t="shared" si="12"/>
        <v>1.65</v>
      </c>
      <c r="H470" s="12"/>
      <c r="I470" s="11">
        <v>29</v>
      </c>
      <c r="J470" s="10">
        <v>0.12</v>
      </c>
      <c r="K470" s="10">
        <f t="shared" si="13"/>
        <v>3.48</v>
      </c>
      <c r="L470" s="12"/>
      <c r="M470" s="11">
        <v>30</v>
      </c>
      <c r="N470" s="10">
        <v>0.12</v>
      </c>
      <c r="O470" s="10">
        <f t="shared" si="14"/>
        <v>3.5999999999999996</v>
      </c>
      <c r="P470" s="12"/>
      <c r="Q470" s="46"/>
    </row>
    <row r="471" spans="1:20" ht="30" x14ac:dyDescent="0.25">
      <c r="A471" s="15"/>
      <c r="B471" s="14" t="s">
        <v>237</v>
      </c>
      <c r="C471" s="13" t="s">
        <v>15</v>
      </c>
      <c r="D471" s="12"/>
      <c r="E471" s="11">
        <v>430</v>
      </c>
      <c r="F471" s="10">
        <v>11.59</v>
      </c>
      <c r="G471" s="10">
        <f t="shared" si="12"/>
        <v>4983.7</v>
      </c>
      <c r="H471" s="12"/>
      <c r="I471" s="11">
        <f>174+75</f>
        <v>249</v>
      </c>
      <c r="J471" s="10">
        <v>11.74</v>
      </c>
      <c r="K471" s="10">
        <f t="shared" si="13"/>
        <v>2923.26</v>
      </c>
      <c r="L471" s="12"/>
      <c r="M471" s="11">
        <v>550</v>
      </c>
      <c r="N471" s="10">
        <v>12.02</v>
      </c>
      <c r="O471" s="10">
        <f t="shared" si="14"/>
        <v>6611</v>
      </c>
      <c r="P471" s="12"/>
      <c r="Q471" s="49">
        <f>1/(12*0.888)</f>
        <v>9.3843843843843838E-2</v>
      </c>
    </row>
    <row r="472" spans="1:20" ht="15.75" thickBot="1" x14ac:dyDescent="0.3">
      <c r="A472" s="15"/>
      <c r="B472" s="14"/>
      <c r="C472" s="13"/>
      <c r="D472" s="12"/>
      <c r="E472" s="11"/>
      <c r="F472" s="10"/>
      <c r="G472" s="10">
        <f t="shared" si="12"/>
        <v>0</v>
      </c>
      <c r="H472" s="12"/>
      <c r="I472" s="11"/>
      <c r="J472" s="10"/>
      <c r="K472" s="10">
        <f t="shared" si="13"/>
        <v>0</v>
      </c>
      <c r="L472" s="12"/>
      <c r="M472" s="11"/>
      <c r="N472" s="10"/>
      <c r="O472" s="10">
        <f t="shared" si="14"/>
        <v>0</v>
      </c>
      <c r="P472" s="12"/>
      <c r="Q472" s="46"/>
    </row>
    <row r="473" spans="1:20" ht="16.5" thickBot="1" x14ac:dyDescent="0.3">
      <c r="A473" s="62" t="s">
        <v>5</v>
      </c>
      <c r="B473" s="63"/>
      <c r="C473" s="63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6"/>
      <c r="P473" s="17"/>
      <c r="Q473" s="46"/>
    </row>
    <row r="474" spans="1:20" x14ac:dyDescent="0.25">
      <c r="A474" s="15"/>
      <c r="B474" s="14" t="s">
        <v>390</v>
      </c>
      <c r="C474" s="13" t="s">
        <v>30</v>
      </c>
      <c r="D474" s="12"/>
      <c r="E474" s="11">
        <v>4308.2</v>
      </c>
      <c r="F474" s="42">
        <v>0.32</v>
      </c>
      <c r="G474" s="10">
        <f>+E474*F474</f>
        <v>1378.624</v>
      </c>
      <c r="H474" s="12"/>
      <c r="I474" s="11">
        <v>2778.47</v>
      </c>
      <c r="J474" s="10">
        <v>0.32</v>
      </c>
      <c r="K474" s="10">
        <f>+I474*J474</f>
        <v>889.11039999999991</v>
      </c>
      <c r="L474" s="12"/>
      <c r="M474" s="11">
        <v>4556.6099999999997</v>
      </c>
      <c r="N474" s="10">
        <v>0.32</v>
      </c>
      <c r="O474" s="10">
        <f>+M474*N474</f>
        <v>1458.1152</v>
      </c>
      <c r="P474" s="12"/>
    </row>
    <row r="475" spans="1:20" ht="15.75" thickBot="1" x14ac:dyDescent="0.3">
      <c r="A475" s="15"/>
      <c r="B475" s="14"/>
      <c r="C475" s="13"/>
      <c r="D475" s="12"/>
      <c r="E475" s="11"/>
      <c r="F475" s="10"/>
      <c r="G475" s="10">
        <f>+E475*F475</f>
        <v>0</v>
      </c>
      <c r="H475" s="12"/>
      <c r="I475" s="11"/>
      <c r="J475" s="10"/>
      <c r="K475" s="10">
        <f>+I475*J475</f>
        <v>0</v>
      </c>
      <c r="L475" s="12"/>
      <c r="M475" s="11"/>
      <c r="N475" s="10"/>
      <c r="O475" s="10">
        <f>+M475*N475</f>
        <v>0</v>
      </c>
      <c r="P475" s="12"/>
      <c r="Q475" s="46"/>
    </row>
    <row r="476" spans="1:20" ht="16.5" thickBot="1" x14ac:dyDescent="0.3">
      <c r="A476" s="62" t="s">
        <v>2</v>
      </c>
      <c r="B476" s="63"/>
      <c r="C476" s="63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6"/>
      <c r="P476" s="17"/>
      <c r="Q476" s="46"/>
    </row>
    <row r="477" spans="1:20" x14ac:dyDescent="0.25">
      <c r="A477" s="15"/>
      <c r="B477" s="14" t="s">
        <v>234</v>
      </c>
      <c r="C477" s="13" t="s">
        <v>15</v>
      </c>
      <c r="D477" s="12"/>
      <c r="E477" s="11"/>
      <c r="F477" s="10"/>
      <c r="G477" s="10">
        <f>+E477*F477</f>
        <v>0</v>
      </c>
      <c r="H477" s="12"/>
      <c r="I477" s="11"/>
      <c r="J477" s="10"/>
      <c r="K477" s="10">
        <f>+I477*J477</f>
        <v>0</v>
      </c>
      <c r="L477" s="12"/>
      <c r="M477" s="11">
        <v>80</v>
      </c>
      <c r="N477" s="10">
        <v>0.36</v>
      </c>
      <c r="O477" s="10">
        <f>+M477*N477</f>
        <v>28.799999999999997</v>
      </c>
      <c r="P477" s="12"/>
      <c r="Q477" s="46"/>
      <c r="S477" s="53">
        <f>+(M455+M477)/($M$452+$M$474+$M$496+$M$518+$M$535)</f>
        <v>5.5610204166608446E-3</v>
      </c>
      <c r="T477" s="48"/>
    </row>
    <row r="478" spans="1:20" x14ac:dyDescent="0.25">
      <c r="A478" s="15"/>
      <c r="B478" s="14" t="s">
        <v>233</v>
      </c>
      <c r="C478" s="13" t="s">
        <v>15</v>
      </c>
      <c r="D478" s="12"/>
      <c r="E478" s="11"/>
      <c r="F478" s="10"/>
      <c r="G478" s="10">
        <f>+E478*F478</f>
        <v>0</v>
      </c>
      <c r="H478" s="12"/>
      <c r="I478" s="11"/>
      <c r="J478" s="10"/>
      <c r="K478" s="10">
        <f>+I478*J478</f>
        <v>0</v>
      </c>
      <c r="L478" s="12"/>
      <c r="M478" s="11">
        <v>80</v>
      </c>
      <c r="N478" s="10">
        <v>0.09</v>
      </c>
      <c r="O478" s="10">
        <f>+M478*N478</f>
        <v>7.1999999999999993</v>
      </c>
      <c r="P478" s="12"/>
      <c r="Q478" s="46"/>
      <c r="S478" s="53">
        <f>+(M456+M478)/($M$452+$M$474+$M$496+$M$518+$M$535)</f>
        <v>5.5610204166608446E-3</v>
      </c>
    </row>
    <row r="479" spans="1:20" x14ac:dyDescent="0.25">
      <c r="A479" s="15"/>
      <c r="B479" s="14"/>
      <c r="C479" s="13"/>
      <c r="D479" s="12"/>
      <c r="E479" s="11"/>
      <c r="F479" s="10"/>
      <c r="G479" s="10">
        <f>+E479*F479</f>
        <v>0</v>
      </c>
      <c r="H479" s="12"/>
      <c r="I479" s="11"/>
      <c r="J479" s="10"/>
      <c r="K479" s="10">
        <f>+I479*J479</f>
        <v>0</v>
      </c>
      <c r="L479" s="12"/>
      <c r="M479" s="11"/>
      <c r="N479" s="10"/>
      <c r="O479" s="10">
        <f>+M479*N479</f>
        <v>0</v>
      </c>
      <c r="P479" s="12"/>
      <c r="Q479" s="46"/>
    </row>
    <row r="480" spans="1:20" ht="15.75" thickBot="1" x14ac:dyDescent="0.3">
      <c r="Q480" s="46"/>
    </row>
    <row r="481" spans="1:17" ht="21" thickBot="1" x14ac:dyDescent="0.3">
      <c r="A481" s="64" t="s">
        <v>1</v>
      </c>
      <c r="B481" s="65"/>
      <c r="C481" s="66"/>
      <c r="D481" s="5"/>
      <c r="E481" s="9"/>
      <c r="F481" s="8"/>
      <c r="G481" s="7">
        <f>SUM(G466:G480)</f>
        <v>6688.8639999999996</v>
      </c>
      <c r="H481" s="5"/>
      <c r="I481" s="9"/>
      <c r="J481" s="8"/>
      <c r="K481" s="7">
        <f>SUM(K464:K479)</f>
        <v>4082.1504000000004</v>
      </c>
      <c r="L481" s="5"/>
      <c r="M481" s="9"/>
      <c r="N481" s="8"/>
      <c r="O481" s="7">
        <f>SUM(O464:O479)</f>
        <v>8335.2752</v>
      </c>
      <c r="P481" s="5"/>
      <c r="Q481" s="46"/>
    </row>
    <row r="482" spans="1:17" ht="21" thickBot="1" x14ac:dyDescent="0.3">
      <c r="A482" s="60" t="s">
        <v>0</v>
      </c>
      <c r="B482" s="61"/>
      <c r="C482" s="61"/>
      <c r="D482" s="5"/>
      <c r="E482" s="4"/>
      <c r="F482" s="3"/>
      <c r="G482" s="6">
        <f>+G481/E474</f>
        <v>1.5525890162945082</v>
      </c>
      <c r="H482" s="5"/>
      <c r="I482" s="4"/>
      <c r="J482" s="3"/>
      <c r="K482" s="6">
        <f>+K481/I474</f>
        <v>1.4692080173620736</v>
      </c>
      <c r="L482" s="5"/>
      <c r="M482" s="4"/>
      <c r="N482" s="3"/>
      <c r="O482" s="6">
        <f>+O481/M474</f>
        <v>1.8292711467516423</v>
      </c>
      <c r="P482" s="5"/>
      <c r="Q482" s="46"/>
    </row>
    <row r="483" spans="1:17" x14ac:dyDescent="0.25">
      <c r="Q483" s="46"/>
    </row>
    <row r="484" spans="1:1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46"/>
    </row>
    <row r="485" spans="1:17" ht="15.75" thickBot="1" x14ac:dyDescent="0.3">
      <c r="Q485" s="46"/>
    </row>
    <row r="486" spans="1:17" ht="16.5" thickBot="1" x14ac:dyDescent="0.3">
      <c r="A486" s="20" t="s">
        <v>389</v>
      </c>
      <c r="B486" s="19" t="s">
        <v>388</v>
      </c>
      <c r="C486" s="18" t="s">
        <v>30</v>
      </c>
      <c r="G486" s="26"/>
      <c r="Q486" s="46"/>
    </row>
    <row r="487" spans="1:17" ht="15.75" thickBot="1" x14ac:dyDescent="0.3">
      <c r="Q487" s="46"/>
    </row>
    <row r="488" spans="1:17" ht="16.5" thickBot="1" x14ac:dyDescent="0.3">
      <c r="A488" s="62" t="s">
        <v>11</v>
      </c>
      <c r="B488" s="63"/>
      <c r="C488" s="63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6"/>
      <c r="P488" s="17"/>
      <c r="Q488" s="46"/>
    </row>
    <row r="489" spans="1:17" ht="30" x14ac:dyDescent="0.25">
      <c r="A489" s="15"/>
      <c r="B489" s="14" t="s">
        <v>383</v>
      </c>
      <c r="C489" s="13" t="s">
        <v>382</v>
      </c>
      <c r="D489" s="12"/>
      <c r="E489" s="11">
        <v>3</v>
      </c>
      <c r="F489" s="10">
        <v>29.48</v>
      </c>
      <c r="G489" s="10">
        <f t="shared" ref="G489:G494" si="15">+E489*F489</f>
        <v>88.44</v>
      </c>
      <c r="H489" s="12"/>
      <c r="I489" s="11">
        <v>2</v>
      </c>
      <c r="J489" s="10">
        <v>34.479999999999997</v>
      </c>
      <c r="K489" s="10">
        <f t="shared" ref="K489:K494" si="16">+I489*J489</f>
        <v>68.959999999999994</v>
      </c>
      <c r="L489" s="12"/>
      <c r="M489" s="11">
        <v>1</v>
      </c>
      <c r="N489" s="10">
        <v>34.979999999999997</v>
      </c>
      <c r="O489" s="10">
        <f t="shared" ref="O489:O494" si="17">+M489*N489</f>
        <v>34.979999999999997</v>
      </c>
      <c r="P489" s="12"/>
      <c r="Q489" s="46"/>
    </row>
    <row r="490" spans="1:17" x14ac:dyDescent="0.25">
      <c r="A490" s="15"/>
      <c r="B490" s="14" t="s">
        <v>249</v>
      </c>
      <c r="C490" s="13" t="s">
        <v>15</v>
      </c>
      <c r="D490" s="12"/>
      <c r="E490" s="11">
        <v>10</v>
      </c>
      <c r="F490" s="10">
        <v>2.5499999999999998</v>
      </c>
      <c r="G490" s="10">
        <f t="shared" si="15"/>
        <v>25.5</v>
      </c>
      <c r="H490" s="12"/>
      <c r="I490" s="11">
        <v>3</v>
      </c>
      <c r="J490" s="10">
        <v>2.61</v>
      </c>
      <c r="K490" s="10">
        <f t="shared" si="16"/>
        <v>7.83</v>
      </c>
      <c r="L490" s="12"/>
      <c r="M490" s="11">
        <v>2</v>
      </c>
      <c r="N490" s="10">
        <v>2.61</v>
      </c>
      <c r="O490" s="10">
        <f t="shared" si="17"/>
        <v>5.22</v>
      </c>
      <c r="P490" s="12"/>
      <c r="Q490" s="46"/>
    </row>
    <row r="491" spans="1:17" x14ac:dyDescent="0.25">
      <c r="A491" s="15"/>
      <c r="B491" s="14" t="s">
        <v>248</v>
      </c>
      <c r="C491" s="13" t="s">
        <v>15</v>
      </c>
      <c r="D491" s="12"/>
      <c r="E491" s="11"/>
      <c r="F491" s="10"/>
      <c r="G491" s="10">
        <f>+E491*F491</f>
        <v>0</v>
      </c>
      <c r="H491" s="12"/>
      <c r="I491" s="11"/>
      <c r="J491" s="10"/>
      <c r="K491" s="10">
        <f>+I491*J491</f>
        <v>0</v>
      </c>
      <c r="L491" s="12"/>
      <c r="M491" s="11">
        <v>2</v>
      </c>
      <c r="N491" s="10">
        <v>0.94</v>
      </c>
      <c r="O491" s="10">
        <f>+M491*N491</f>
        <v>1.88</v>
      </c>
      <c r="P491" s="12"/>
      <c r="Q491" s="46"/>
    </row>
    <row r="492" spans="1:17" x14ac:dyDescent="0.25">
      <c r="A492" s="15"/>
      <c r="B492" s="14" t="s">
        <v>238</v>
      </c>
      <c r="C492" s="13" t="s">
        <v>15</v>
      </c>
      <c r="D492" s="12"/>
      <c r="E492" s="11">
        <v>8</v>
      </c>
      <c r="F492" s="10">
        <v>0.12</v>
      </c>
      <c r="G492" s="10">
        <f t="shared" si="15"/>
        <v>0.96</v>
      </c>
      <c r="H492" s="12"/>
      <c r="I492" s="11">
        <v>5</v>
      </c>
      <c r="J492" s="10">
        <v>0.12</v>
      </c>
      <c r="K492" s="10">
        <f t="shared" si="16"/>
        <v>0.6</v>
      </c>
      <c r="L492" s="12"/>
      <c r="M492" s="11"/>
      <c r="N492" s="10"/>
      <c r="O492" s="10">
        <f t="shared" si="17"/>
        <v>0</v>
      </c>
      <c r="P492" s="12"/>
      <c r="Q492" s="46"/>
    </row>
    <row r="493" spans="1:17" ht="30" x14ac:dyDescent="0.25">
      <c r="A493" s="15"/>
      <c r="B493" s="14" t="s">
        <v>387</v>
      </c>
      <c r="C493" s="13" t="s">
        <v>15</v>
      </c>
      <c r="D493" s="12"/>
      <c r="E493" s="11">
        <v>215</v>
      </c>
      <c r="F493" s="10">
        <v>15.805</v>
      </c>
      <c r="G493" s="10">
        <f t="shared" si="15"/>
        <v>3398.0749999999998</v>
      </c>
      <c r="H493" s="12"/>
      <c r="I493" s="11">
        <v>81</v>
      </c>
      <c r="J493" s="10">
        <v>15.97</v>
      </c>
      <c r="K493" s="10">
        <f t="shared" si="16"/>
        <v>1293.5700000000002</v>
      </c>
      <c r="L493" s="12"/>
      <c r="M493" s="11">
        <v>38</v>
      </c>
      <c r="N493" s="10">
        <v>15.99</v>
      </c>
      <c r="O493" s="10">
        <f t="shared" si="17"/>
        <v>607.62</v>
      </c>
      <c r="P493" s="12"/>
      <c r="Q493" s="49">
        <f>1/(12*1.208)</f>
        <v>6.8984547461368659E-2</v>
      </c>
    </row>
    <row r="494" spans="1:17" ht="15.75" thickBot="1" x14ac:dyDescent="0.3">
      <c r="A494" s="15"/>
      <c r="B494" s="14"/>
      <c r="C494" s="13"/>
      <c r="D494" s="12"/>
      <c r="E494" s="11"/>
      <c r="F494" s="10"/>
      <c r="G494" s="10">
        <f t="shared" si="15"/>
        <v>0</v>
      </c>
      <c r="H494" s="12"/>
      <c r="I494" s="11"/>
      <c r="J494" s="10"/>
      <c r="K494" s="10">
        <f t="shared" si="16"/>
        <v>0</v>
      </c>
      <c r="L494" s="12"/>
      <c r="M494" s="11"/>
      <c r="N494" s="10"/>
      <c r="O494" s="10">
        <f t="shared" si="17"/>
        <v>0</v>
      </c>
      <c r="P494" s="12"/>
      <c r="Q494" s="46"/>
    </row>
    <row r="495" spans="1:17" ht="16.5" thickBot="1" x14ac:dyDescent="0.3">
      <c r="A495" s="62" t="s">
        <v>5</v>
      </c>
      <c r="B495" s="63"/>
      <c r="C495" s="63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6"/>
      <c r="P495" s="17"/>
      <c r="Q495" s="46"/>
    </row>
    <row r="496" spans="1:17" x14ac:dyDescent="0.25">
      <c r="A496" s="15"/>
      <c r="B496" s="14" t="s">
        <v>386</v>
      </c>
      <c r="C496" s="13" t="s">
        <v>30</v>
      </c>
      <c r="D496" s="12"/>
      <c r="E496" s="11">
        <v>3914.08</v>
      </c>
      <c r="F496" s="42">
        <v>0.32</v>
      </c>
      <c r="G496" s="10">
        <f>+E496*F496</f>
        <v>1252.5056</v>
      </c>
      <c r="H496" s="12"/>
      <c r="I496" s="11">
        <v>1478.51</v>
      </c>
      <c r="J496" s="10">
        <v>0.32</v>
      </c>
      <c r="K496" s="10">
        <f>+I496*J496</f>
        <v>473.1232</v>
      </c>
      <c r="L496" s="12"/>
      <c r="M496" s="11">
        <v>7097.38</v>
      </c>
      <c r="N496" s="10">
        <v>0.32</v>
      </c>
      <c r="O496" s="10">
        <f>+M496*N496</f>
        <v>2271.1615999999999</v>
      </c>
      <c r="P496" s="12"/>
      <c r="Q496" s="46"/>
    </row>
    <row r="497" spans="1:19" ht="15.75" thickBot="1" x14ac:dyDescent="0.3">
      <c r="A497" s="15"/>
      <c r="B497" s="14"/>
      <c r="C497" s="13"/>
      <c r="D497" s="12"/>
      <c r="E497" s="11"/>
      <c r="F497" s="10"/>
      <c r="G497" s="10">
        <f>+E497*F497</f>
        <v>0</v>
      </c>
      <c r="H497" s="12"/>
      <c r="I497" s="11"/>
      <c r="J497" s="10"/>
      <c r="K497" s="10">
        <f>+I497*J497</f>
        <v>0</v>
      </c>
      <c r="L497" s="12"/>
      <c r="M497" s="11"/>
      <c r="N497" s="10"/>
      <c r="O497" s="10">
        <f>+M497*N497</f>
        <v>0</v>
      </c>
      <c r="P497" s="12"/>
      <c r="Q497" s="46"/>
    </row>
    <row r="498" spans="1:19" ht="16.5" thickBot="1" x14ac:dyDescent="0.3">
      <c r="A498" s="62" t="s">
        <v>2</v>
      </c>
      <c r="B498" s="63"/>
      <c r="C498" s="63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6"/>
      <c r="P498" s="17"/>
      <c r="Q498" s="46"/>
    </row>
    <row r="499" spans="1:19" x14ac:dyDescent="0.25">
      <c r="A499" s="15"/>
      <c r="B499" s="14"/>
      <c r="C499" s="13"/>
      <c r="D499" s="12"/>
      <c r="E499" s="11"/>
      <c r="F499" s="10"/>
      <c r="G499" s="10">
        <f>+E499*F499</f>
        <v>0</v>
      </c>
      <c r="H499" s="12"/>
      <c r="I499" s="11"/>
      <c r="J499" s="10"/>
      <c r="K499" s="10">
        <f>+I499*J499</f>
        <v>0</v>
      </c>
      <c r="L499" s="12"/>
      <c r="M499" s="11"/>
      <c r="N499" s="10"/>
      <c r="O499" s="10">
        <f>+M499*N499</f>
        <v>0</v>
      </c>
      <c r="P499" s="12"/>
      <c r="Q499" s="46"/>
    </row>
    <row r="500" spans="1:19" x14ac:dyDescent="0.25">
      <c r="A500" s="15"/>
      <c r="B500" s="14"/>
      <c r="C500" s="13"/>
      <c r="D500" s="12"/>
      <c r="E500" s="11"/>
      <c r="F500" s="10"/>
      <c r="G500" s="10">
        <f>+E500*F500</f>
        <v>0</v>
      </c>
      <c r="H500" s="12"/>
      <c r="I500" s="11"/>
      <c r="J500" s="10"/>
      <c r="K500" s="10">
        <f>+I500*J500</f>
        <v>0</v>
      </c>
      <c r="L500" s="12"/>
      <c r="M500" s="11"/>
      <c r="N500" s="10"/>
      <c r="O500" s="10">
        <f>+M500*N500</f>
        <v>0</v>
      </c>
      <c r="P500" s="12"/>
      <c r="Q500" s="46"/>
    </row>
    <row r="501" spans="1:19" ht="15.75" thickBot="1" x14ac:dyDescent="0.3">
      <c r="Q501" s="46"/>
    </row>
    <row r="502" spans="1:19" ht="21" thickBot="1" x14ac:dyDescent="0.3">
      <c r="A502" s="64" t="s">
        <v>1</v>
      </c>
      <c r="B502" s="65"/>
      <c r="C502" s="66"/>
      <c r="D502" s="5"/>
      <c r="E502" s="9"/>
      <c r="F502" s="8"/>
      <c r="G502" s="7">
        <f>SUM(G488:G501)</f>
        <v>4765.4805999999999</v>
      </c>
      <c r="H502" s="5"/>
      <c r="I502" s="9"/>
      <c r="J502" s="8"/>
      <c r="K502" s="7">
        <f>SUM(K486:K500)</f>
        <v>1844.0832</v>
      </c>
      <c r="L502" s="5"/>
      <c r="M502" s="9"/>
      <c r="N502" s="8"/>
      <c r="O502" s="7">
        <f>SUM(O486:O500)</f>
        <v>2920.8616000000002</v>
      </c>
      <c r="P502" s="5"/>
      <c r="Q502" s="46"/>
    </row>
    <row r="503" spans="1:19" ht="21" thickBot="1" x14ac:dyDescent="0.3">
      <c r="A503" s="60" t="s">
        <v>0</v>
      </c>
      <c r="B503" s="61"/>
      <c r="C503" s="61"/>
      <c r="D503" s="5"/>
      <c r="E503" s="4"/>
      <c r="F503" s="3"/>
      <c r="G503" s="6">
        <f>+G502/E496</f>
        <v>1.2175225340309856</v>
      </c>
      <c r="H503" s="5"/>
      <c r="I503" s="4"/>
      <c r="J503" s="3"/>
      <c r="K503" s="6">
        <f>+K502/I496</f>
        <v>1.2472578474274776</v>
      </c>
      <c r="L503" s="5"/>
      <c r="M503" s="4"/>
      <c r="N503" s="3"/>
      <c r="O503" s="6">
        <f>+O502/M496</f>
        <v>0.4115408221061857</v>
      </c>
      <c r="P503" s="5"/>
      <c r="Q503" s="46"/>
    </row>
    <row r="504" spans="1:19" x14ac:dyDescent="0.25">
      <c r="Q504" s="46"/>
    </row>
    <row r="505" spans="1:1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46"/>
    </row>
    <row r="506" spans="1:19" ht="15.75" thickBot="1" x14ac:dyDescent="0.3">
      <c r="Q506" s="46"/>
    </row>
    <row r="507" spans="1:19" ht="16.5" thickBot="1" x14ac:dyDescent="0.3">
      <c r="A507" s="20" t="s">
        <v>385</v>
      </c>
      <c r="B507" s="19" t="s">
        <v>384</v>
      </c>
      <c r="C507" s="18" t="s">
        <v>30</v>
      </c>
      <c r="Q507" s="46"/>
    </row>
    <row r="508" spans="1:19" ht="15.75" thickBot="1" x14ac:dyDescent="0.3">
      <c r="Q508" s="46"/>
    </row>
    <row r="509" spans="1:19" ht="16.5" thickBot="1" x14ac:dyDescent="0.3">
      <c r="A509" s="62" t="s">
        <v>11</v>
      </c>
      <c r="B509" s="63"/>
      <c r="C509" s="63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6"/>
      <c r="P509" s="17"/>
      <c r="Q509" s="46"/>
    </row>
    <row r="510" spans="1:19" ht="30" x14ac:dyDescent="0.25">
      <c r="A510" s="15"/>
      <c r="B510" s="14" t="s">
        <v>274</v>
      </c>
      <c r="C510" s="13" t="s">
        <v>105</v>
      </c>
      <c r="D510" s="12"/>
      <c r="E510" s="11"/>
      <c r="F510" s="10"/>
      <c r="G510" s="10">
        <f>+E510*F510</f>
        <v>0</v>
      </c>
      <c r="H510" s="12"/>
      <c r="I510" s="11">
        <v>1</v>
      </c>
      <c r="J510" s="10">
        <v>96.23</v>
      </c>
      <c r="K510" s="10">
        <f>+I510*J510</f>
        <v>96.23</v>
      </c>
      <c r="L510" s="12"/>
      <c r="M510" s="11"/>
      <c r="N510" s="10"/>
      <c r="O510" s="10">
        <f>+M510*N510</f>
        <v>0</v>
      </c>
      <c r="P510" s="12"/>
      <c r="Q510" s="46"/>
      <c r="S510" s="52">
        <f>+J510/I518</f>
        <v>3.4484859344203547E-2</v>
      </c>
    </row>
    <row r="511" spans="1:19" ht="30" x14ac:dyDescent="0.25">
      <c r="A511" s="15"/>
      <c r="B511" s="14" t="s">
        <v>383</v>
      </c>
      <c r="C511" s="13" t="s">
        <v>382</v>
      </c>
      <c r="D511" s="12"/>
      <c r="E511" s="11">
        <v>1</v>
      </c>
      <c r="F511" s="10">
        <v>28.06</v>
      </c>
      <c r="G511" s="10">
        <f t="shared" ref="G511:G516" si="18">+E511*F511</f>
        <v>28.06</v>
      </c>
      <c r="H511" s="12"/>
      <c r="I511" s="11">
        <v>5</v>
      </c>
      <c r="J511" s="10">
        <v>34.47</v>
      </c>
      <c r="K511" s="10">
        <f t="shared" ref="K511:K516" si="19">+I511*J511</f>
        <v>172.35</v>
      </c>
      <c r="L511" s="12"/>
      <c r="M511" s="11">
        <v>1</v>
      </c>
      <c r="N511" s="10">
        <v>34.979999999999997</v>
      </c>
      <c r="O511" s="10">
        <f t="shared" ref="O511:O516" si="20">+M511*N511</f>
        <v>34.979999999999997</v>
      </c>
      <c r="P511" s="12"/>
      <c r="Q511" s="46"/>
    </row>
    <row r="512" spans="1:19" x14ac:dyDescent="0.25">
      <c r="A512" s="15"/>
      <c r="B512" s="14" t="s">
        <v>249</v>
      </c>
      <c r="C512" s="13" t="s">
        <v>15</v>
      </c>
      <c r="D512" s="12"/>
      <c r="E512" s="11">
        <v>7</v>
      </c>
      <c r="F512" s="10">
        <v>1.97</v>
      </c>
      <c r="G512" s="10">
        <f t="shared" si="18"/>
        <v>13.79</v>
      </c>
      <c r="H512" s="12"/>
      <c r="I512" s="11">
        <v>5</v>
      </c>
      <c r="J512" s="10">
        <v>2.61</v>
      </c>
      <c r="K512" s="10">
        <f t="shared" si="19"/>
        <v>13.049999999999999</v>
      </c>
      <c r="L512" s="12"/>
      <c r="M512" s="11">
        <v>2</v>
      </c>
      <c r="N512" s="10">
        <v>2.61</v>
      </c>
      <c r="O512" s="10">
        <f t="shared" si="20"/>
        <v>5.22</v>
      </c>
      <c r="P512" s="12"/>
      <c r="Q512" s="46"/>
    </row>
    <row r="513" spans="1:17" x14ac:dyDescent="0.25">
      <c r="A513" s="15"/>
      <c r="B513" s="14" t="s">
        <v>248</v>
      </c>
      <c r="C513" s="13" t="s">
        <v>15</v>
      </c>
      <c r="D513" s="12"/>
      <c r="E513" s="11"/>
      <c r="F513" s="10"/>
      <c r="G513" s="10">
        <f>+E513*F513</f>
        <v>0</v>
      </c>
      <c r="H513" s="12"/>
      <c r="I513" s="11">
        <v>2</v>
      </c>
      <c r="J513" s="10">
        <v>0.94</v>
      </c>
      <c r="K513" s="10">
        <f>+I513*J513</f>
        <v>1.88</v>
      </c>
      <c r="L513" s="12"/>
      <c r="M513" s="11"/>
      <c r="N513" s="10"/>
      <c r="O513" s="10">
        <f>+M513*N513</f>
        <v>0</v>
      </c>
      <c r="P513" s="12"/>
      <c r="Q513" s="46"/>
    </row>
    <row r="514" spans="1:17" x14ac:dyDescent="0.25">
      <c r="A514" s="15"/>
      <c r="B514" s="14" t="s">
        <v>238</v>
      </c>
      <c r="C514" s="13" t="s">
        <v>15</v>
      </c>
      <c r="D514" s="12"/>
      <c r="E514" s="11"/>
      <c r="F514" s="10"/>
      <c r="G514" s="10">
        <f>+E514*F514</f>
        <v>0</v>
      </c>
      <c r="H514" s="12"/>
      <c r="I514" s="11">
        <v>5</v>
      </c>
      <c r="J514" s="10">
        <v>0.12</v>
      </c>
      <c r="K514" s="10">
        <f>+I514*J514</f>
        <v>0.6</v>
      </c>
      <c r="L514" s="12"/>
      <c r="M514" s="11"/>
      <c r="N514" s="10"/>
      <c r="O514" s="10">
        <f>+M514*N514</f>
        <v>0</v>
      </c>
      <c r="P514" s="12"/>
      <c r="Q514" s="46"/>
    </row>
    <row r="515" spans="1:17" ht="30" x14ac:dyDescent="0.25">
      <c r="A515" s="15"/>
      <c r="B515" s="14" t="s">
        <v>381</v>
      </c>
      <c r="C515" s="13" t="s">
        <v>15</v>
      </c>
      <c r="D515" s="12"/>
      <c r="E515" s="11">
        <v>107</v>
      </c>
      <c r="F515" s="10">
        <v>20.327000000000002</v>
      </c>
      <c r="G515" s="10">
        <f t="shared" si="18"/>
        <v>2174.989</v>
      </c>
      <c r="H515" s="12"/>
      <c r="I515" s="11">
        <v>148</v>
      </c>
      <c r="J515" s="10">
        <v>20.87</v>
      </c>
      <c r="K515" s="10">
        <f t="shared" si="19"/>
        <v>3088.76</v>
      </c>
      <c r="L515" s="12"/>
      <c r="M515" s="11">
        <v>30</v>
      </c>
      <c r="N515" s="10">
        <v>20.89</v>
      </c>
      <c r="O515" s="10">
        <f t="shared" si="20"/>
        <v>626.70000000000005</v>
      </c>
      <c r="P515" s="12"/>
      <c r="Q515" s="49">
        <f>1/(12*1.578)</f>
        <v>5.2809463455851288E-2</v>
      </c>
    </row>
    <row r="516" spans="1:17" ht="15.75" thickBot="1" x14ac:dyDescent="0.3">
      <c r="A516" s="15"/>
      <c r="B516" s="14"/>
      <c r="C516" s="13"/>
      <c r="D516" s="12"/>
      <c r="E516" s="11"/>
      <c r="F516" s="10"/>
      <c r="G516" s="10">
        <f t="shared" si="18"/>
        <v>0</v>
      </c>
      <c r="H516" s="12"/>
      <c r="I516" s="11"/>
      <c r="J516" s="10"/>
      <c r="K516" s="10">
        <f t="shared" si="19"/>
        <v>0</v>
      </c>
      <c r="L516" s="12"/>
      <c r="M516" s="11"/>
      <c r="N516" s="10"/>
      <c r="O516" s="10">
        <f t="shared" si="20"/>
        <v>0</v>
      </c>
      <c r="P516" s="12"/>
      <c r="Q516" s="46"/>
    </row>
    <row r="517" spans="1:17" ht="16.5" thickBot="1" x14ac:dyDescent="0.3">
      <c r="A517" s="62" t="s">
        <v>5</v>
      </c>
      <c r="B517" s="63"/>
      <c r="C517" s="63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6"/>
      <c r="P517" s="17"/>
      <c r="Q517" s="46"/>
    </row>
    <row r="518" spans="1:17" x14ac:dyDescent="0.25">
      <c r="A518" s="15"/>
      <c r="B518" s="14" t="s">
        <v>380</v>
      </c>
      <c r="C518" s="13" t="s">
        <v>30</v>
      </c>
      <c r="D518" s="12"/>
      <c r="E518" s="11">
        <v>2026.15</v>
      </c>
      <c r="F518" s="42">
        <v>0.32</v>
      </c>
      <c r="G518" s="10">
        <f>+E518*F518</f>
        <v>648.36800000000005</v>
      </c>
      <c r="H518" s="12"/>
      <c r="I518" s="11">
        <v>2790.5</v>
      </c>
      <c r="J518" s="10">
        <v>0.32</v>
      </c>
      <c r="K518" s="10">
        <f>+I518*J518</f>
        <v>892.96</v>
      </c>
      <c r="L518" s="12"/>
      <c r="M518" s="11">
        <v>416.59</v>
      </c>
      <c r="N518" s="10">
        <v>0.32</v>
      </c>
      <c r="O518" s="10">
        <f>+M518*N518</f>
        <v>133.30879999999999</v>
      </c>
      <c r="P518" s="12"/>
      <c r="Q518" s="46"/>
    </row>
    <row r="519" spans="1:17" ht="15.75" thickBot="1" x14ac:dyDescent="0.3">
      <c r="A519" s="15"/>
      <c r="B519" s="14"/>
      <c r="C519" s="13"/>
      <c r="D519" s="12"/>
      <c r="E519" s="11"/>
      <c r="F519" s="10"/>
      <c r="G519" s="10">
        <f>+E519*F519</f>
        <v>0</v>
      </c>
      <c r="H519" s="12"/>
      <c r="I519" s="11"/>
      <c r="J519" s="10"/>
      <c r="K519" s="10">
        <f>+I519*J519</f>
        <v>0</v>
      </c>
      <c r="L519" s="12"/>
      <c r="M519" s="11"/>
      <c r="N519" s="10"/>
      <c r="O519" s="10">
        <f>+M519*N519</f>
        <v>0</v>
      </c>
      <c r="P519" s="12"/>
      <c r="Q519" s="46"/>
    </row>
    <row r="520" spans="1:17" ht="16.5" thickBot="1" x14ac:dyDescent="0.3">
      <c r="A520" s="62" t="s">
        <v>2</v>
      </c>
      <c r="B520" s="63"/>
      <c r="C520" s="63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6"/>
      <c r="P520" s="17"/>
      <c r="Q520" s="46"/>
    </row>
    <row r="521" spans="1:17" x14ac:dyDescent="0.25">
      <c r="A521" s="15"/>
      <c r="B521" s="14"/>
      <c r="C521" s="13"/>
      <c r="D521" s="12"/>
      <c r="E521" s="11"/>
      <c r="F521" s="10"/>
      <c r="G521" s="10">
        <f>+E521*F521</f>
        <v>0</v>
      </c>
      <c r="H521" s="12"/>
      <c r="I521" s="11"/>
      <c r="J521" s="10"/>
      <c r="K521" s="10">
        <f>+I521*J521</f>
        <v>0</v>
      </c>
      <c r="L521" s="12"/>
      <c r="M521" s="11"/>
      <c r="N521" s="10"/>
      <c r="O521" s="10">
        <f>+M521*N521</f>
        <v>0</v>
      </c>
      <c r="P521" s="12"/>
      <c r="Q521" s="46"/>
    </row>
    <row r="522" spans="1:17" x14ac:dyDescent="0.25">
      <c r="A522" s="15"/>
      <c r="B522" s="14"/>
      <c r="C522" s="13"/>
      <c r="D522" s="12"/>
      <c r="E522" s="11"/>
      <c r="F522" s="10"/>
      <c r="G522" s="10">
        <f>+E522*F522</f>
        <v>0</v>
      </c>
      <c r="H522" s="12"/>
      <c r="I522" s="11"/>
      <c r="J522" s="10"/>
      <c r="K522" s="10">
        <f>+I522*J522</f>
        <v>0</v>
      </c>
      <c r="L522" s="12"/>
      <c r="M522" s="11"/>
      <c r="N522" s="10"/>
      <c r="O522" s="10">
        <f>+M522*N522</f>
        <v>0</v>
      </c>
      <c r="P522" s="12"/>
      <c r="Q522" s="46"/>
    </row>
    <row r="523" spans="1:17" ht="15.75" thickBot="1" x14ac:dyDescent="0.3">
      <c r="Q523" s="46"/>
    </row>
    <row r="524" spans="1:17" ht="21" thickBot="1" x14ac:dyDescent="0.3">
      <c r="A524" s="64" t="s">
        <v>1</v>
      </c>
      <c r="B524" s="65"/>
      <c r="C524" s="66"/>
      <c r="D524" s="5"/>
      <c r="E524" s="9"/>
      <c r="F524" s="8"/>
      <c r="G524" s="7">
        <f>SUM(G509:G523)</f>
        <v>2865.2069999999999</v>
      </c>
      <c r="H524" s="5"/>
      <c r="I524" s="9"/>
      <c r="J524" s="8"/>
      <c r="K524" s="7">
        <f>SUM(K507:K522)</f>
        <v>4265.83</v>
      </c>
      <c r="L524" s="5"/>
      <c r="M524" s="9"/>
      <c r="N524" s="8"/>
      <c r="O524" s="7">
        <f>SUM(O507:O522)</f>
        <v>800.20880000000011</v>
      </c>
      <c r="P524" s="5"/>
      <c r="Q524" s="46"/>
    </row>
    <row r="525" spans="1:17" ht="21" thickBot="1" x14ac:dyDescent="0.3">
      <c r="A525" s="60" t="s">
        <v>0</v>
      </c>
      <c r="B525" s="61"/>
      <c r="C525" s="61"/>
      <c r="D525" s="5"/>
      <c r="E525" s="4"/>
      <c r="F525" s="3"/>
      <c r="G525" s="6">
        <f>+G524/E518</f>
        <v>1.4141139599733483</v>
      </c>
      <c r="H525" s="5"/>
      <c r="I525" s="4"/>
      <c r="J525" s="3"/>
      <c r="K525" s="6">
        <f>+K524/I518</f>
        <v>1.5286973660634295</v>
      </c>
      <c r="L525" s="5"/>
      <c r="M525" s="4"/>
      <c r="N525" s="3"/>
      <c r="O525" s="6">
        <f>+O524/M518</f>
        <v>1.9208545572385323</v>
      </c>
      <c r="P525" s="5"/>
      <c r="Q525" s="46"/>
    </row>
    <row r="526" spans="1:17" x14ac:dyDescent="0.25">
      <c r="Q526" s="46"/>
    </row>
    <row r="527" spans="1: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46"/>
    </row>
    <row r="528" spans="1:17" ht="15.75" thickBot="1" x14ac:dyDescent="0.3">
      <c r="Q528" s="46"/>
    </row>
    <row r="529" spans="1:17" ht="16.5" thickBot="1" x14ac:dyDescent="0.3">
      <c r="A529" s="20" t="s">
        <v>379</v>
      </c>
      <c r="B529" s="19" t="s">
        <v>378</v>
      </c>
      <c r="C529" s="18" t="s">
        <v>30</v>
      </c>
      <c r="Q529" s="46"/>
    </row>
    <row r="530" spans="1:17" ht="15.75" thickBot="1" x14ac:dyDescent="0.3">
      <c r="Q530" s="46"/>
    </row>
    <row r="531" spans="1:17" ht="16.5" thickBot="1" x14ac:dyDescent="0.3">
      <c r="A531" s="62" t="s">
        <v>11</v>
      </c>
      <c r="B531" s="63"/>
      <c r="C531" s="63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6"/>
      <c r="P531" s="17"/>
      <c r="Q531" s="46"/>
    </row>
    <row r="532" spans="1:17" ht="30" x14ac:dyDescent="0.25">
      <c r="A532" s="15"/>
      <c r="B532" s="14" t="s">
        <v>377</v>
      </c>
      <c r="C532" s="13" t="s">
        <v>15</v>
      </c>
      <c r="D532" s="12"/>
      <c r="E532" s="11"/>
      <c r="F532" s="10"/>
      <c r="G532" s="10">
        <f>+E532*F532</f>
        <v>0</v>
      </c>
      <c r="H532" s="12"/>
      <c r="I532" s="11">
        <v>24</v>
      </c>
      <c r="J532" s="10">
        <v>26.44</v>
      </c>
      <c r="K532" s="10">
        <f>+I532*J532</f>
        <v>634.56000000000006</v>
      </c>
      <c r="L532" s="12"/>
      <c r="M532" s="11">
        <v>20</v>
      </c>
      <c r="N532" s="10">
        <v>26.47</v>
      </c>
      <c r="O532" s="10">
        <f>+M532*N532</f>
        <v>529.4</v>
      </c>
      <c r="P532" s="12"/>
      <c r="Q532" s="49">
        <f>1/(12*1.998)</f>
        <v>4.1708375041708379E-2</v>
      </c>
    </row>
    <row r="533" spans="1:17" ht="15.75" thickBot="1" x14ac:dyDescent="0.3">
      <c r="A533" s="15"/>
      <c r="B533" s="14"/>
      <c r="C533" s="13"/>
      <c r="D533" s="12"/>
      <c r="E533" s="11"/>
      <c r="F533" s="10"/>
      <c r="G533" s="10">
        <f>+E533*F533</f>
        <v>0</v>
      </c>
      <c r="H533" s="12"/>
      <c r="I533" s="11"/>
      <c r="J533" s="10"/>
      <c r="K533" s="10">
        <f>+I533*J533</f>
        <v>0</v>
      </c>
      <c r="L533" s="12"/>
      <c r="M533" s="11"/>
      <c r="N533" s="10"/>
      <c r="O533" s="10">
        <f>+M533*N533</f>
        <v>0</v>
      </c>
      <c r="P533" s="12"/>
      <c r="Q533" s="46"/>
    </row>
    <row r="534" spans="1:17" ht="16.5" thickBot="1" x14ac:dyDescent="0.3">
      <c r="A534" s="62" t="s">
        <v>5</v>
      </c>
      <c r="B534" s="63"/>
      <c r="C534" s="63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6"/>
      <c r="P534" s="17"/>
      <c r="Q534" s="46"/>
    </row>
    <row r="535" spans="1:17" x14ac:dyDescent="0.25">
      <c r="A535" s="15"/>
      <c r="B535" s="14" t="s">
        <v>376</v>
      </c>
      <c r="C535" s="13" t="s">
        <v>30</v>
      </c>
      <c r="D535" s="12"/>
      <c r="E535" s="11"/>
      <c r="F535" s="10"/>
      <c r="G535" s="10">
        <f>+E535*F535</f>
        <v>0</v>
      </c>
      <c r="H535" s="12"/>
      <c r="I535" s="11">
        <v>583.04999999999995</v>
      </c>
      <c r="J535" s="42">
        <v>0.32</v>
      </c>
      <c r="K535" s="10">
        <f>+I535*J535</f>
        <v>186.57599999999999</v>
      </c>
      <c r="L535" s="12"/>
      <c r="M535" s="11">
        <v>479.52</v>
      </c>
      <c r="N535" s="10">
        <v>0.32</v>
      </c>
      <c r="O535" s="10">
        <f>+M535*N535</f>
        <v>153.44640000000001</v>
      </c>
      <c r="P535" s="12"/>
      <c r="Q535" s="46"/>
    </row>
    <row r="536" spans="1:17" ht="15.75" thickBot="1" x14ac:dyDescent="0.3">
      <c r="A536" s="15"/>
      <c r="B536" s="14"/>
      <c r="C536" s="13"/>
      <c r="D536" s="12"/>
      <c r="E536" s="11"/>
      <c r="F536" s="10"/>
      <c r="G536" s="10">
        <f>+E536*F536</f>
        <v>0</v>
      </c>
      <c r="H536" s="12"/>
      <c r="I536" s="11"/>
      <c r="J536" s="10"/>
      <c r="K536" s="10">
        <f>+I536*J536</f>
        <v>0</v>
      </c>
      <c r="L536" s="12"/>
      <c r="M536" s="11"/>
      <c r="N536" s="10"/>
      <c r="O536" s="10">
        <f>+M536*N536</f>
        <v>0</v>
      </c>
      <c r="P536" s="12"/>
      <c r="Q536" s="46"/>
    </row>
    <row r="537" spans="1:17" ht="16.5" thickBot="1" x14ac:dyDescent="0.3">
      <c r="A537" s="62" t="s">
        <v>2</v>
      </c>
      <c r="B537" s="63"/>
      <c r="C537" s="63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6"/>
      <c r="P537" s="17"/>
      <c r="Q537" s="46"/>
    </row>
    <row r="538" spans="1:17" x14ac:dyDescent="0.25">
      <c r="A538" s="15"/>
      <c r="B538" s="14"/>
      <c r="C538" s="13"/>
      <c r="D538" s="12"/>
      <c r="E538" s="11"/>
      <c r="F538" s="10"/>
      <c r="G538" s="10">
        <f>+E538*F538</f>
        <v>0</v>
      </c>
      <c r="H538" s="12"/>
      <c r="I538" s="11"/>
      <c r="J538" s="10"/>
      <c r="K538" s="10">
        <f>+I538*J538</f>
        <v>0</v>
      </c>
      <c r="L538" s="12"/>
      <c r="M538" s="11"/>
      <c r="N538" s="10"/>
      <c r="O538" s="10">
        <f>+M538*N538</f>
        <v>0</v>
      </c>
      <c r="P538" s="12"/>
      <c r="Q538" s="46"/>
    </row>
    <row r="539" spans="1:17" x14ac:dyDescent="0.25">
      <c r="A539" s="15"/>
      <c r="B539" s="14"/>
      <c r="C539" s="13"/>
      <c r="D539" s="12"/>
      <c r="E539" s="11"/>
      <c r="F539" s="10"/>
      <c r="G539" s="10">
        <f>+E539*F539</f>
        <v>0</v>
      </c>
      <c r="H539" s="12"/>
      <c r="I539" s="11"/>
      <c r="J539" s="10"/>
      <c r="K539" s="10">
        <f>+I539*J539</f>
        <v>0</v>
      </c>
      <c r="L539" s="12"/>
      <c r="M539" s="11"/>
      <c r="N539" s="10"/>
      <c r="O539" s="10">
        <f>+M539*N539</f>
        <v>0</v>
      </c>
      <c r="P539" s="12"/>
      <c r="Q539" s="46"/>
    </row>
    <row r="540" spans="1:17" ht="15.75" thickBot="1" x14ac:dyDescent="0.3">
      <c r="Q540" s="46"/>
    </row>
    <row r="541" spans="1:17" ht="21" thickBot="1" x14ac:dyDescent="0.3">
      <c r="A541" s="64" t="s">
        <v>1</v>
      </c>
      <c r="B541" s="65"/>
      <c r="C541" s="66"/>
      <c r="D541" s="5"/>
      <c r="E541" s="9"/>
      <c r="F541" s="8"/>
      <c r="G541" s="7">
        <f>SUM(G531:G540)</f>
        <v>0</v>
      </c>
      <c r="H541" s="5"/>
      <c r="I541" s="9"/>
      <c r="J541" s="8"/>
      <c r="K541" s="7">
        <f>SUM(K529:K539)</f>
        <v>821.13600000000008</v>
      </c>
      <c r="L541" s="5"/>
      <c r="M541" s="9"/>
      <c r="N541" s="8"/>
      <c r="O541" s="7">
        <f>SUM(O529:O539)</f>
        <v>682.84640000000002</v>
      </c>
      <c r="P541" s="5"/>
      <c r="Q541" s="46"/>
    </row>
    <row r="542" spans="1:17" ht="21" thickBot="1" x14ac:dyDescent="0.3">
      <c r="A542" s="60" t="s">
        <v>0</v>
      </c>
      <c r="B542" s="61"/>
      <c r="C542" s="61"/>
      <c r="D542" s="5"/>
      <c r="E542" s="4"/>
      <c r="F542" s="3"/>
      <c r="G542" s="2" t="e">
        <f>+G541/E535</f>
        <v>#DIV/0!</v>
      </c>
      <c r="H542" s="5"/>
      <c r="I542" s="4"/>
      <c r="J542" s="3"/>
      <c r="K542" s="6">
        <f>+K541/I535</f>
        <v>1.4083457679444304</v>
      </c>
      <c r="L542" s="5"/>
      <c r="M542" s="4"/>
      <c r="N542" s="3"/>
      <c r="O542" s="6">
        <f>+O541/M535</f>
        <v>1.4240206873540209</v>
      </c>
      <c r="P542" s="5"/>
      <c r="Q542" s="46"/>
    </row>
    <row r="543" spans="1:17" x14ac:dyDescent="0.25">
      <c r="Q543" s="46"/>
    </row>
    <row r="544" spans="1:1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46"/>
    </row>
    <row r="545" spans="1:19" ht="15.75" thickBot="1" x14ac:dyDescent="0.3">
      <c r="Q545" s="46"/>
    </row>
    <row r="546" spans="1:19" ht="24" thickBot="1" x14ac:dyDescent="0.3">
      <c r="A546" s="22" t="s">
        <v>375</v>
      </c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2"/>
      <c r="N546" s="22"/>
      <c r="O546" s="22"/>
      <c r="P546" s="23"/>
      <c r="Q546" s="46"/>
    </row>
    <row r="547" spans="1:19" ht="15.75" thickBot="1" x14ac:dyDescent="0.3">
      <c r="Q547" s="46"/>
    </row>
    <row r="548" spans="1:19" ht="19.5" thickBot="1" x14ac:dyDescent="0.3">
      <c r="A548" s="20" t="s">
        <v>374</v>
      </c>
      <c r="B548" s="19" t="s">
        <v>373</v>
      </c>
      <c r="C548" s="18" t="s">
        <v>366</v>
      </c>
      <c r="Q548" s="46"/>
    </row>
    <row r="549" spans="1:19" ht="15.75" thickBot="1" x14ac:dyDescent="0.3">
      <c r="Q549" s="46"/>
    </row>
    <row r="550" spans="1:19" ht="16.5" thickBot="1" x14ac:dyDescent="0.3">
      <c r="A550" s="62" t="s">
        <v>11</v>
      </c>
      <c r="B550" s="63"/>
      <c r="C550" s="63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6"/>
      <c r="P550" s="17"/>
      <c r="Q550" s="46"/>
    </row>
    <row r="551" spans="1:19" x14ac:dyDescent="0.25">
      <c r="A551" s="15"/>
      <c r="B551" s="14" t="s">
        <v>32</v>
      </c>
      <c r="C551" s="13" t="s">
        <v>30</v>
      </c>
      <c r="D551" s="12"/>
      <c r="E551" s="11"/>
      <c r="F551" s="10"/>
      <c r="G551" s="10">
        <f t="shared" ref="G551:G556" si="21">+E551*F551</f>
        <v>0</v>
      </c>
      <c r="H551" s="12"/>
      <c r="I551" s="11">
        <v>5</v>
      </c>
      <c r="J551" s="10">
        <v>1.94</v>
      </c>
      <c r="K551" s="10">
        <f t="shared" ref="K551:K556" si="22">+I551*J551</f>
        <v>9.6999999999999993</v>
      </c>
      <c r="L551" s="12"/>
      <c r="M551" s="11"/>
      <c r="N551" s="10"/>
      <c r="O551" s="10">
        <f t="shared" ref="O551:O556" si="23">+M551*N551</f>
        <v>0</v>
      </c>
      <c r="P551" s="12"/>
      <c r="Q551" s="46"/>
      <c r="S551" s="53">
        <f>+I551/$I$558</f>
        <v>1.4464244387873177E-2</v>
      </c>
    </row>
    <row r="552" spans="1:19" x14ac:dyDescent="0.25">
      <c r="A552" s="15"/>
      <c r="B552" s="14" t="s">
        <v>31</v>
      </c>
      <c r="C552" s="13" t="s">
        <v>30</v>
      </c>
      <c r="D552" s="12"/>
      <c r="E552" s="11"/>
      <c r="F552" s="10"/>
      <c r="G552" s="10">
        <f t="shared" si="21"/>
        <v>0</v>
      </c>
      <c r="H552" s="12"/>
      <c r="I552" s="11">
        <v>0.5</v>
      </c>
      <c r="J552" s="10">
        <v>2.06</v>
      </c>
      <c r="K552" s="10">
        <f t="shared" si="22"/>
        <v>1.03</v>
      </c>
      <c r="L552" s="12"/>
      <c r="M552" s="11"/>
      <c r="N552" s="10"/>
      <c r="O552" s="10">
        <f t="shared" si="23"/>
        <v>0</v>
      </c>
      <c r="P552" s="12"/>
      <c r="Q552" s="46"/>
      <c r="S552" s="53">
        <f>+I552/$I$558</f>
        <v>1.4464244387873177E-3</v>
      </c>
    </row>
    <row r="553" spans="1:19" x14ac:dyDescent="0.25">
      <c r="A553" s="15"/>
      <c r="B553" s="14" t="s">
        <v>371</v>
      </c>
      <c r="C553" s="13" t="s">
        <v>30</v>
      </c>
      <c r="D553" s="12"/>
      <c r="E553" s="11"/>
      <c r="F553" s="10"/>
      <c r="G553" s="10">
        <f t="shared" si="21"/>
        <v>0</v>
      </c>
      <c r="H553" s="12"/>
      <c r="I553" s="11">
        <v>2</v>
      </c>
      <c r="J553" s="10">
        <v>2.42</v>
      </c>
      <c r="K553" s="10">
        <f t="shared" si="22"/>
        <v>4.84</v>
      </c>
      <c r="L553" s="12"/>
      <c r="M553" s="11"/>
      <c r="N553" s="10"/>
      <c r="O553" s="10">
        <f t="shared" si="23"/>
        <v>0</v>
      </c>
      <c r="P553" s="12"/>
      <c r="Q553" s="46"/>
      <c r="S553" s="53">
        <f>+I553/$I$558</f>
        <v>5.7856977551492706E-3</v>
      </c>
    </row>
    <row r="554" spans="1:19" ht="30" x14ac:dyDescent="0.25">
      <c r="A554" s="15"/>
      <c r="B554" s="14" t="s">
        <v>145</v>
      </c>
      <c r="C554" s="13" t="s">
        <v>144</v>
      </c>
      <c r="D554" s="12"/>
      <c r="E554" s="11"/>
      <c r="F554" s="10"/>
      <c r="G554" s="10">
        <f t="shared" si="21"/>
        <v>0</v>
      </c>
      <c r="H554" s="12"/>
      <c r="I554" s="11">
        <v>2</v>
      </c>
      <c r="J554" s="10">
        <v>68.78</v>
      </c>
      <c r="K554" s="10">
        <f t="shared" si="22"/>
        <v>137.56</v>
      </c>
      <c r="L554" s="12"/>
      <c r="M554" s="11">
        <v>3.6</v>
      </c>
      <c r="N554" s="10">
        <v>70.540000000000006</v>
      </c>
      <c r="O554" s="10">
        <f t="shared" si="23"/>
        <v>253.94400000000002</v>
      </c>
      <c r="P554" s="12"/>
      <c r="Q554" s="46"/>
      <c r="S554" s="52">
        <v>6.6666666666666671E-3</v>
      </c>
    </row>
    <row r="555" spans="1:19" ht="30" x14ac:dyDescent="0.25">
      <c r="A555" s="15"/>
      <c r="B555" s="14" t="s">
        <v>372</v>
      </c>
      <c r="C555" s="13" t="s">
        <v>144</v>
      </c>
      <c r="D555" s="12"/>
      <c r="E555" s="11">
        <v>5.13</v>
      </c>
      <c r="F555" s="10">
        <v>61.87</v>
      </c>
      <c r="G555" s="10">
        <f>+E555*F555</f>
        <v>317.3931</v>
      </c>
      <c r="H555" s="12"/>
      <c r="I555" s="11"/>
      <c r="J555" s="10"/>
      <c r="K555" s="10">
        <f>+I555*J555</f>
        <v>0</v>
      </c>
      <c r="L555" s="12"/>
      <c r="M555" s="11"/>
      <c r="N555" s="10"/>
      <c r="O555" s="10">
        <f>+M555*N555</f>
        <v>0</v>
      </c>
      <c r="P555" s="12"/>
      <c r="Q555" s="46"/>
    </row>
    <row r="556" spans="1:19" ht="15.75" thickBot="1" x14ac:dyDescent="0.3">
      <c r="A556" s="15"/>
      <c r="B556" s="14"/>
      <c r="C556" s="13"/>
      <c r="D556" s="12"/>
      <c r="E556" s="11"/>
      <c r="F556" s="10"/>
      <c r="G556" s="10">
        <f t="shared" si="21"/>
        <v>0</v>
      </c>
      <c r="H556" s="12"/>
      <c r="I556" s="11"/>
      <c r="J556" s="10"/>
      <c r="K556" s="10">
        <f t="shared" si="22"/>
        <v>0</v>
      </c>
      <c r="L556" s="12"/>
      <c r="M556" s="11"/>
      <c r="N556" s="10"/>
      <c r="O556" s="10">
        <f t="shared" si="23"/>
        <v>0</v>
      </c>
      <c r="P556" s="12"/>
      <c r="Q556" s="46"/>
    </row>
    <row r="557" spans="1:19" ht="16.5" thickBot="1" x14ac:dyDescent="0.3">
      <c r="A557" s="62" t="s">
        <v>5</v>
      </c>
      <c r="B557" s="63"/>
      <c r="C557" s="63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6"/>
      <c r="P557" s="17"/>
      <c r="Q557" s="46"/>
    </row>
    <row r="558" spans="1:19" ht="18" x14ac:dyDescent="0.25">
      <c r="A558" s="15"/>
      <c r="B558" s="14" t="s">
        <v>369</v>
      </c>
      <c r="C558" s="13" t="s">
        <v>13</v>
      </c>
      <c r="D558" s="12"/>
      <c r="E558" s="11">
        <v>650.78</v>
      </c>
      <c r="F558" s="42">
        <v>0.36</v>
      </c>
      <c r="G558" s="10">
        <f>+E558*F558</f>
        <v>234.28079999999997</v>
      </c>
      <c r="H558" s="12"/>
      <c r="I558" s="11">
        <v>345.68</v>
      </c>
      <c r="J558" s="10">
        <v>0.36</v>
      </c>
      <c r="K558" s="10">
        <f>+I558*J558</f>
        <v>124.4448</v>
      </c>
      <c r="L558" s="12"/>
      <c r="M558" s="11">
        <v>1432.82</v>
      </c>
      <c r="N558" s="10">
        <v>0.36</v>
      </c>
      <c r="O558" s="10">
        <f>+M558*N558</f>
        <v>515.8152</v>
      </c>
      <c r="P558" s="12"/>
      <c r="Q558" s="46"/>
    </row>
    <row r="559" spans="1:19" ht="15.75" thickBot="1" x14ac:dyDescent="0.3">
      <c r="A559" s="15"/>
      <c r="B559" s="14"/>
      <c r="C559" s="13"/>
      <c r="D559" s="12"/>
      <c r="E559" s="11"/>
      <c r="F559" s="10"/>
      <c r="G559" s="10">
        <f>+E559*F559</f>
        <v>0</v>
      </c>
      <c r="H559" s="12"/>
      <c r="I559" s="11"/>
      <c r="J559" s="10"/>
      <c r="K559" s="10">
        <f>+I559*J559</f>
        <v>0</v>
      </c>
      <c r="L559" s="12"/>
      <c r="M559" s="11"/>
      <c r="N559" s="10"/>
      <c r="O559" s="10">
        <f>+M559*N559</f>
        <v>0</v>
      </c>
      <c r="P559" s="12"/>
      <c r="Q559" s="46"/>
    </row>
    <row r="560" spans="1:19" ht="16.5" thickBot="1" x14ac:dyDescent="0.3">
      <c r="A560" s="62" t="s">
        <v>2</v>
      </c>
      <c r="B560" s="63"/>
      <c r="C560" s="63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6"/>
      <c r="P560" s="17"/>
      <c r="Q560" s="46"/>
    </row>
    <row r="561" spans="1:17" x14ac:dyDescent="0.25">
      <c r="A561" s="15"/>
      <c r="B561" s="14"/>
      <c r="C561" s="13"/>
      <c r="D561" s="12"/>
      <c r="E561" s="11"/>
      <c r="F561" s="10"/>
      <c r="G561" s="10">
        <f>+E561*F561</f>
        <v>0</v>
      </c>
      <c r="H561" s="12"/>
      <c r="I561" s="11"/>
      <c r="J561" s="10"/>
      <c r="K561" s="10">
        <f>+I561*J561</f>
        <v>0</v>
      </c>
      <c r="L561" s="12"/>
      <c r="M561" s="11"/>
      <c r="N561" s="10"/>
      <c r="O561" s="10">
        <f>+M561*N561</f>
        <v>0</v>
      </c>
      <c r="P561" s="12"/>
      <c r="Q561" s="46"/>
    </row>
    <row r="562" spans="1:17" x14ac:dyDescent="0.25">
      <c r="A562" s="15"/>
      <c r="B562" s="14"/>
      <c r="C562" s="13"/>
      <c r="D562" s="12"/>
      <c r="E562" s="11"/>
      <c r="F562" s="10"/>
      <c r="G562" s="10">
        <f>+E562*F562</f>
        <v>0</v>
      </c>
      <c r="H562" s="12"/>
      <c r="I562" s="11"/>
      <c r="J562" s="10"/>
      <c r="K562" s="10">
        <f>+I562*J562</f>
        <v>0</v>
      </c>
      <c r="L562" s="12"/>
      <c r="M562" s="11"/>
      <c r="N562" s="10"/>
      <c r="O562" s="10">
        <f>+M562*N562</f>
        <v>0</v>
      </c>
      <c r="P562" s="12"/>
      <c r="Q562" s="46"/>
    </row>
    <row r="563" spans="1:17" ht="15.75" thickBot="1" x14ac:dyDescent="0.3">
      <c r="Q563" s="46"/>
    </row>
    <row r="564" spans="1:17" ht="21" thickBot="1" x14ac:dyDescent="0.3">
      <c r="A564" s="64" t="s">
        <v>1</v>
      </c>
      <c r="B564" s="65"/>
      <c r="C564" s="66"/>
      <c r="D564" s="5"/>
      <c r="E564" s="9"/>
      <c r="F564" s="8"/>
      <c r="G564" s="7">
        <f>SUM(G551:G563)</f>
        <v>551.6739</v>
      </c>
      <c r="H564" s="5"/>
      <c r="I564" s="9"/>
      <c r="J564" s="8"/>
      <c r="K564" s="7">
        <f>SUM(K551:K562)</f>
        <v>277.57479999999998</v>
      </c>
      <c r="L564" s="5"/>
      <c r="M564" s="9"/>
      <c r="N564" s="8"/>
      <c r="O564" s="7">
        <f>SUM(O551:O562)</f>
        <v>769.75919999999996</v>
      </c>
      <c r="P564" s="5"/>
      <c r="Q564" s="46"/>
    </row>
    <row r="565" spans="1:17" ht="21" thickBot="1" x14ac:dyDescent="0.3">
      <c r="A565" s="60" t="s">
        <v>0</v>
      </c>
      <c r="B565" s="61"/>
      <c r="C565" s="61"/>
      <c r="D565" s="5"/>
      <c r="E565" s="4"/>
      <c r="F565" s="3"/>
      <c r="G565" s="6">
        <f>+G564/E558</f>
        <v>0.84771182273579404</v>
      </c>
      <c r="H565" s="5"/>
      <c r="I565" s="4"/>
      <c r="J565" s="3"/>
      <c r="K565" s="6">
        <f>+K564/I558</f>
        <v>0.80298194862300387</v>
      </c>
      <c r="L565" s="5"/>
      <c r="M565" s="4"/>
      <c r="N565" s="3"/>
      <c r="O565" s="6">
        <f>+O564/M558</f>
        <v>0.53723370695551431</v>
      </c>
      <c r="P565" s="5"/>
      <c r="Q565" s="46"/>
    </row>
    <row r="566" spans="1:17" x14ac:dyDescent="0.25">
      <c r="Q566" s="46"/>
    </row>
    <row r="567" spans="1:1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46"/>
    </row>
    <row r="568" spans="1:17" ht="15.75" thickBot="1" x14ac:dyDescent="0.3">
      <c r="Q568" s="46"/>
    </row>
    <row r="569" spans="1:17" ht="32.25" thickBot="1" x14ac:dyDescent="0.3">
      <c r="A569" s="20" t="s">
        <v>368</v>
      </c>
      <c r="B569" s="19" t="s">
        <v>367</v>
      </c>
      <c r="C569" s="18" t="s">
        <v>366</v>
      </c>
      <c r="Q569" s="46"/>
    </row>
    <row r="570" spans="1:17" ht="15.75" thickBot="1" x14ac:dyDescent="0.3">
      <c r="Q570" s="46"/>
    </row>
    <row r="571" spans="1:17" ht="16.5" thickBot="1" x14ac:dyDescent="0.3">
      <c r="A571" s="62" t="s">
        <v>11</v>
      </c>
      <c r="B571" s="63"/>
      <c r="C571" s="63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6"/>
      <c r="P571" s="17"/>
      <c r="Q571" s="46"/>
    </row>
    <row r="572" spans="1:17" x14ac:dyDescent="0.25">
      <c r="A572" s="15"/>
      <c r="B572" s="14" t="s">
        <v>307</v>
      </c>
      <c r="C572" s="13" t="s">
        <v>8</v>
      </c>
      <c r="D572" s="12"/>
      <c r="E572" s="11">
        <v>3</v>
      </c>
      <c r="F572" s="10">
        <v>6.64</v>
      </c>
      <c r="G572" s="10">
        <f t="shared" ref="G572:G588" si="24">+E572*F572</f>
        <v>19.919999999999998</v>
      </c>
      <c r="H572" s="12"/>
      <c r="I572" s="11">
        <v>3</v>
      </c>
      <c r="J572" s="10">
        <v>1.9366666666666665</v>
      </c>
      <c r="K572" s="10">
        <f t="shared" ref="K572:K588" si="25">+I572*J572</f>
        <v>5.81</v>
      </c>
      <c r="L572" s="12"/>
      <c r="M572" s="11">
        <v>5</v>
      </c>
      <c r="N572" s="10">
        <v>6.71</v>
      </c>
      <c r="O572" s="10">
        <f t="shared" ref="O572:O588" si="26">+M572*N572</f>
        <v>33.549999999999997</v>
      </c>
      <c r="P572" s="12"/>
      <c r="Q572" s="55">
        <f>+(E572+I572+M572)/($E$590+$I$590+$M$590)</f>
        <v>1.097245912758975E-2</v>
      </c>
    </row>
    <row r="573" spans="1:17" x14ac:dyDescent="0.25">
      <c r="A573" s="15"/>
      <c r="B573" s="14" t="s">
        <v>364</v>
      </c>
      <c r="C573" s="13" t="s">
        <v>30</v>
      </c>
      <c r="D573" s="12"/>
      <c r="E573" s="11"/>
      <c r="F573" s="10"/>
      <c r="G573" s="10">
        <f>+E573*F573</f>
        <v>0</v>
      </c>
      <c r="H573" s="12"/>
      <c r="I573" s="11"/>
      <c r="J573" s="10"/>
      <c r="K573" s="10">
        <f>+I573*J573</f>
        <v>0</v>
      </c>
      <c r="L573" s="12"/>
      <c r="M573" s="11">
        <v>4</v>
      </c>
      <c r="N573" s="10">
        <v>3.94</v>
      </c>
      <c r="O573" s="10">
        <f>+M573*N573</f>
        <v>15.76</v>
      </c>
      <c r="P573" s="12"/>
      <c r="Q573" s="55">
        <f>+(M573)/($M$590)</f>
        <v>7.9321012136114866E-3</v>
      </c>
    </row>
    <row r="574" spans="1:17" x14ac:dyDescent="0.25">
      <c r="A574" s="15"/>
      <c r="B574" s="14" t="s">
        <v>57</v>
      </c>
      <c r="C574" s="13" t="s">
        <v>30</v>
      </c>
      <c r="D574" s="12"/>
      <c r="E574" s="11">
        <v>1.5</v>
      </c>
      <c r="F574" s="10">
        <v>1.49</v>
      </c>
      <c r="G574" s="10">
        <f t="shared" si="24"/>
        <v>2.2349999999999999</v>
      </c>
      <c r="H574" s="12"/>
      <c r="I574" s="11">
        <v>1.5</v>
      </c>
      <c r="J574" s="10">
        <v>2.0666666666666669</v>
      </c>
      <c r="K574" s="10">
        <f t="shared" si="25"/>
        <v>3.1000000000000005</v>
      </c>
      <c r="L574" s="12"/>
      <c r="M574" s="11">
        <v>4.5</v>
      </c>
      <c r="N574" s="10">
        <v>1.93</v>
      </c>
      <c r="O574" s="10">
        <f t="shared" si="26"/>
        <v>8.6850000000000005</v>
      </c>
      <c r="P574" s="12"/>
      <c r="Q574" s="55">
        <f>+(E574+I574+M574)/($E$590+$I$590+$M$590)</f>
        <v>7.4812221324475564E-3</v>
      </c>
    </row>
    <row r="575" spans="1:17" x14ac:dyDescent="0.25">
      <c r="A575" s="15"/>
      <c r="B575" s="14" t="s">
        <v>56</v>
      </c>
      <c r="C575" s="13" t="s">
        <v>30</v>
      </c>
      <c r="D575" s="12"/>
      <c r="E575" s="11">
        <v>25.5</v>
      </c>
      <c r="F575" s="10">
        <v>1.5089999999999999</v>
      </c>
      <c r="G575" s="10">
        <f t="shared" si="24"/>
        <v>38.479499999999994</v>
      </c>
      <c r="H575" s="12"/>
      <c r="I575" s="11"/>
      <c r="J575" s="10"/>
      <c r="K575" s="10">
        <f t="shared" si="25"/>
        <v>0</v>
      </c>
      <c r="L575" s="12"/>
      <c r="M575" s="11">
        <v>6.5</v>
      </c>
      <c r="N575" s="10">
        <v>1.9</v>
      </c>
      <c r="O575" s="10">
        <f t="shared" si="26"/>
        <v>12.35</v>
      </c>
      <c r="P575" s="12"/>
      <c r="Q575" s="55">
        <f>+(E575+M575)/($E$590+$M$590)</f>
        <v>3.8569551749490762E-2</v>
      </c>
    </row>
    <row r="576" spans="1:17" x14ac:dyDescent="0.25">
      <c r="A576" s="15"/>
      <c r="B576" s="14" t="s">
        <v>345</v>
      </c>
      <c r="C576" s="13" t="s">
        <v>15</v>
      </c>
      <c r="D576" s="12"/>
      <c r="E576" s="11"/>
      <c r="F576" s="10"/>
      <c r="G576" s="10">
        <f>+E576*F576</f>
        <v>0</v>
      </c>
      <c r="H576" s="12"/>
      <c r="I576" s="11"/>
      <c r="J576" s="10"/>
      <c r="K576" s="10">
        <f>+I576*J576</f>
        <v>0</v>
      </c>
      <c r="L576" s="12"/>
      <c r="M576" s="11">
        <v>70</v>
      </c>
      <c r="N576" s="10">
        <v>2.15</v>
      </c>
      <c r="O576" s="10">
        <f>+M576*N576</f>
        <v>150.5</v>
      </c>
      <c r="P576" s="12"/>
      <c r="Q576" s="55">
        <f>+(M576)/($M$590)</f>
        <v>0.13881177123820101</v>
      </c>
    </row>
    <row r="577" spans="1:17" x14ac:dyDescent="0.25">
      <c r="A577" s="15"/>
      <c r="B577" s="14" t="s">
        <v>54</v>
      </c>
      <c r="C577" s="13" t="s">
        <v>15</v>
      </c>
      <c r="D577" s="12"/>
      <c r="E577" s="11">
        <v>1</v>
      </c>
      <c r="F577" s="10">
        <v>12.13</v>
      </c>
      <c r="G577" s="10">
        <f t="shared" si="24"/>
        <v>12.13</v>
      </c>
      <c r="H577" s="12"/>
      <c r="I577" s="11"/>
      <c r="J577" s="10"/>
      <c r="K577" s="10">
        <f t="shared" si="25"/>
        <v>0</v>
      </c>
      <c r="L577" s="12"/>
      <c r="M577" s="11">
        <v>1</v>
      </c>
      <c r="N577" s="10">
        <v>7.4</v>
      </c>
      <c r="O577" s="10">
        <f t="shared" si="26"/>
        <v>7.4</v>
      </c>
      <c r="P577" s="12"/>
      <c r="Q577" s="55">
        <f>+(E577+M577)/($E$590+$M$590)</f>
        <v>2.4105969843431726E-3</v>
      </c>
    </row>
    <row r="578" spans="1:17" x14ac:dyDescent="0.25">
      <c r="A578" s="15"/>
      <c r="B578" s="14" t="s">
        <v>24</v>
      </c>
      <c r="C578" s="13" t="s">
        <v>23</v>
      </c>
      <c r="D578" s="12"/>
      <c r="E578" s="11"/>
      <c r="F578" s="10"/>
      <c r="G578" s="10">
        <f>+E578*F578</f>
        <v>0</v>
      </c>
      <c r="H578" s="12"/>
      <c r="I578" s="11">
        <v>5</v>
      </c>
      <c r="J578" s="10">
        <v>2.14</v>
      </c>
      <c r="K578" s="10">
        <f>+I578*J578</f>
        <v>10.700000000000001</v>
      </c>
      <c r="L578" s="12"/>
      <c r="M578" s="11">
        <v>2.13</v>
      </c>
      <c r="N578" s="10">
        <v>2.15</v>
      </c>
      <c r="O578" s="10">
        <f>+M578*N578</f>
        <v>4.5794999999999995</v>
      </c>
      <c r="P578" s="12"/>
      <c r="Q578" s="55">
        <f>+(I578+M578)/($I$590+$M$590)</f>
        <v>1.0529891304347826E-2</v>
      </c>
    </row>
    <row r="579" spans="1:17" ht="30" x14ac:dyDescent="0.25">
      <c r="A579" s="15"/>
      <c r="B579" s="14" t="s">
        <v>47</v>
      </c>
      <c r="C579" s="13" t="s">
        <v>42</v>
      </c>
      <c r="D579" s="12"/>
      <c r="E579" s="11">
        <v>24.5</v>
      </c>
      <c r="F579" s="10">
        <v>71</v>
      </c>
      <c r="G579" s="10">
        <f t="shared" si="24"/>
        <v>1739.5</v>
      </c>
      <c r="H579" s="12"/>
      <c r="I579" s="11">
        <v>16.579999999999998</v>
      </c>
      <c r="J579" s="10">
        <v>71</v>
      </c>
      <c r="K579" s="10">
        <f t="shared" si="25"/>
        <v>1177.1799999999998</v>
      </c>
      <c r="L579" s="12"/>
      <c r="M579" s="11">
        <v>32</v>
      </c>
      <c r="N579" s="10">
        <v>71</v>
      </c>
      <c r="O579" s="10">
        <f t="shared" si="26"/>
        <v>2272</v>
      </c>
      <c r="P579" s="12"/>
      <c r="Q579" s="56">
        <f>0.1*1.05</f>
        <v>0.10500000000000001</v>
      </c>
    </row>
    <row r="580" spans="1:17" ht="18" x14ac:dyDescent="0.25">
      <c r="A580" s="15"/>
      <c r="B580" s="14" t="s">
        <v>22</v>
      </c>
      <c r="C580" s="13" t="s">
        <v>42</v>
      </c>
      <c r="D580" s="12"/>
      <c r="E580" s="11">
        <v>36.979999999999997</v>
      </c>
      <c r="F580" s="10">
        <v>12.5</v>
      </c>
      <c r="G580" s="10">
        <f t="shared" si="24"/>
        <v>462.24999999999994</v>
      </c>
      <c r="H580" s="12"/>
      <c r="I580" s="11">
        <v>24.5</v>
      </c>
      <c r="J580" s="10">
        <v>12.5</v>
      </c>
      <c r="K580" s="10">
        <f t="shared" si="25"/>
        <v>306.25</v>
      </c>
      <c r="L580" s="12"/>
      <c r="M580" s="11">
        <v>72</v>
      </c>
      <c r="N580" s="10">
        <v>12.1</v>
      </c>
      <c r="O580" s="10">
        <f t="shared" si="26"/>
        <v>871.19999999999993</v>
      </c>
      <c r="P580" s="12"/>
      <c r="Q580" s="55">
        <f>+(E580+I580+M580)/($E$590+$I$590+$M$590)</f>
        <v>0.13314580403187998</v>
      </c>
    </row>
    <row r="581" spans="1:17" x14ac:dyDescent="0.25">
      <c r="A581" s="15"/>
      <c r="B581" s="14" t="s">
        <v>365</v>
      </c>
      <c r="C581" s="13" t="s">
        <v>15</v>
      </c>
      <c r="D581" s="12"/>
      <c r="E581" s="11">
        <v>9</v>
      </c>
      <c r="F581" s="10">
        <v>1.23</v>
      </c>
      <c r="G581" s="10">
        <f t="shared" si="24"/>
        <v>11.07</v>
      </c>
      <c r="H581" s="12"/>
      <c r="I581" s="11">
        <v>25</v>
      </c>
      <c r="J581" s="10">
        <v>1.1000000000000001</v>
      </c>
      <c r="K581" s="10">
        <f t="shared" si="25"/>
        <v>27.500000000000004</v>
      </c>
      <c r="L581" s="12"/>
      <c r="M581" s="11">
        <v>9</v>
      </c>
      <c r="N581" s="10">
        <v>1.1000000000000001</v>
      </c>
      <c r="O581" s="10">
        <f t="shared" si="26"/>
        <v>9.9</v>
      </c>
      <c r="P581" s="12"/>
      <c r="Q581" s="55">
        <f>+(E581+I581+M581)/($E$590+$I$590+$M$590)</f>
        <v>4.2892340226032659E-2</v>
      </c>
    </row>
    <row r="582" spans="1:17" x14ac:dyDescent="0.25">
      <c r="A582" s="15"/>
      <c r="B582" s="14" t="s">
        <v>362</v>
      </c>
      <c r="C582" s="13" t="s">
        <v>15</v>
      </c>
      <c r="D582" s="12"/>
      <c r="E582" s="11"/>
      <c r="F582" s="10"/>
      <c r="G582" s="10">
        <f>+E582*F582</f>
        <v>0</v>
      </c>
      <c r="H582" s="12"/>
      <c r="I582" s="11"/>
      <c r="J582" s="10"/>
      <c r="K582" s="10">
        <f>+I582*J582</f>
        <v>0</v>
      </c>
      <c r="L582" s="12"/>
      <c r="M582" s="11">
        <v>10</v>
      </c>
      <c r="N582" s="10">
        <v>1.2</v>
      </c>
      <c r="O582" s="10">
        <f>+M582*N582</f>
        <v>12</v>
      </c>
      <c r="P582" s="12"/>
      <c r="Q582" s="55">
        <f>+(M582)/($M$590)</f>
        <v>1.9830253034028716E-2</v>
      </c>
    </row>
    <row r="583" spans="1:17" ht="18" x14ac:dyDescent="0.25">
      <c r="A583" s="15"/>
      <c r="B583" s="14" t="s">
        <v>7</v>
      </c>
      <c r="C583" s="13" t="s">
        <v>42</v>
      </c>
      <c r="D583" s="12"/>
      <c r="E583" s="11">
        <v>0.08</v>
      </c>
      <c r="F583" s="10">
        <v>12.25</v>
      </c>
      <c r="G583" s="10">
        <f t="shared" si="24"/>
        <v>0.98</v>
      </c>
      <c r="H583" s="12"/>
      <c r="I583" s="11"/>
      <c r="J583" s="10"/>
      <c r="K583" s="10">
        <f t="shared" si="25"/>
        <v>0</v>
      </c>
      <c r="L583" s="12"/>
      <c r="M583" s="11">
        <v>0.48</v>
      </c>
      <c r="N583" s="10">
        <v>14.13</v>
      </c>
      <c r="O583" s="10">
        <f t="shared" si="26"/>
        <v>6.7824</v>
      </c>
      <c r="P583" s="12"/>
      <c r="Q583" s="55">
        <f>+(E583+M583)/($E$590+$M$590)</f>
        <v>6.7496715561608832E-4</v>
      </c>
    </row>
    <row r="584" spans="1:17" x14ac:dyDescent="0.25">
      <c r="A584" s="15"/>
      <c r="B584" s="14" t="s">
        <v>361</v>
      </c>
      <c r="C584" s="13" t="s">
        <v>15</v>
      </c>
      <c r="D584" s="12"/>
      <c r="E584" s="11"/>
      <c r="F584" s="10"/>
      <c r="G584" s="10">
        <f>+E584*F584</f>
        <v>0</v>
      </c>
      <c r="H584" s="12"/>
      <c r="I584" s="11"/>
      <c r="J584" s="10"/>
      <c r="K584" s="10">
        <f>+I584*J584</f>
        <v>0</v>
      </c>
      <c r="L584" s="12"/>
      <c r="M584" s="11">
        <v>15</v>
      </c>
      <c r="N584" s="10">
        <v>1.85</v>
      </c>
      <c r="O584" s="10">
        <f>+M584*N584</f>
        <v>27.75</v>
      </c>
      <c r="P584" s="12"/>
      <c r="Q584" s="55">
        <f>+(M584)/($M$590)</f>
        <v>2.9745379551043075E-2</v>
      </c>
    </row>
    <row r="585" spans="1:17" ht="18" x14ac:dyDescent="0.25">
      <c r="A585" s="15"/>
      <c r="B585" s="14" t="s">
        <v>212</v>
      </c>
      <c r="C585" s="13" t="s">
        <v>42</v>
      </c>
      <c r="D585" s="12"/>
      <c r="E585" s="11">
        <v>0.04</v>
      </c>
      <c r="F585" s="10">
        <v>13.75</v>
      </c>
      <c r="G585" s="10">
        <f t="shared" si="24"/>
        <v>0.55000000000000004</v>
      </c>
      <c r="H585" s="12"/>
      <c r="I585" s="11"/>
      <c r="J585" s="10"/>
      <c r="K585" s="10">
        <f t="shared" si="25"/>
        <v>0</v>
      </c>
      <c r="L585" s="12"/>
      <c r="M585" s="11">
        <v>0.56000000000000005</v>
      </c>
      <c r="N585" s="10">
        <v>15.77</v>
      </c>
      <c r="O585" s="10">
        <f t="shared" si="26"/>
        <v>8.8312000000000008</v>
      </c>
      <c r="P585" s="12"/>
      <c r="Q585" s="55">
        <f>+(E585+M585)/($E$590+$M$590)</f>
        <v>7.2317909530295195E-4</v>
      </c>
    </row>
    <row r="586" spans="1:17" x14ac:dyDescent="0.25">
      <c r="A586" s="15"/>
      <c r="B586" s="14" t="s">
        <v>360</v>
      </c>
      <c r="C586" s="13" t="s">
        <v>15</v>
      </c>
      <c r="D586" s="12"/>
      <c r="E586" s="11"/>
      <c r="F586" s="10"/>
      <c r="G586" s="10">
        <f>+E586*F586</f>
        <v>0</v>
      </c>
      <c r="H586" s="12"/>
      <c r="I586" s="11"/>
      <c r="J586" s="10"/>
      <c r="K586" s="10">
        <f>+I586*J586</f>
        <v>0</v>
      </c>
      <c r="L586" s="12"/>
      <c r="M586" s="11">
        <v>1</v>
      </c>
      <c r="N586" s="10">
        <v>69.349999999999994</v>
      </c>
      <c r="O586" s="10">
        <f>+M586*N586</f>
        <v>69.349999999999994</v>
      </c>
      <c r="P586" s="12"/>
      <c r="Q586" s="55">
        <f>+(M586)/($M$590)</f>
        <v>1.9830253034028716E-3</v>
      </c>
    </row>
    <row r="587" spans="1:17" x14ac:dyDescent="0.25">
      <c r="A587" s="15"/>
      <c r="B587" s="14" t="s">
        <v>53</v>
      </c>
      <c r="C587" s="13" t="s">
        <v>15</v>
      </c>
      <c r="D587" s="12"/>
      <c r="E587" s="11">
        <v>31</v>
      </c>
      <c r="F587" s="10">
        <v>2.34</v>
      </c>
      <c r="G587" s="10">
        <f t="shared" si="24"/>
        <v>72.539999999999992</v>
      </c>
      <c r="H587" s="12"/>
      <c r="I587" s="11">
        <v>55</v>
      </c>
      <c r="J587" s="10">
        <v>2.41</v>
      </c>
      <c r="K587" s="10">
        <f t="shared" si="25"/>
        <v>132.55000000000001</v>
      </c>
      <c r="L587" s="12"/>
      <c r="M587" s="11">
        <v>88</v>
      </c>
      <c r="N587" s="10">
        <v>2.38</v>
      </c>
      <c r="O587" s="10">
        <f t="shared" si="26"/>
        <v>209.44</v>
      </c>
      <c r="P587" s="12"/>
      <c r="Q587" s="55">
        <f>+(E587+I587+M587)/($E$590+$I$590+$M$590)</f>
        <v>0.17356435347278332</v>
      </c>
    </row>
    <row r="588" spans="1:17" ht="15.75" thickBot="1" x14ac:dyDescent="0.3">
      <c r="A588" s="15"/>
      <c r="B588" s="14"/>
      <c r="C588" s="13"/>
      <c r="D588" s="12"/>
      <c r="E588" s="11"/>
      <c r="F588" s="10"/>
      <c r="G588" s="10">
        <f t="shared" si="24"/>
        <v>0</v>
      </c>
      <c r="H588" s="12"/>
      <c r="I588" s="11"/>
      <c r="J588" s="10"/>
      <c r="K588" s="10">
        <f t="shared" si="25"/>
        <v>0</v>
      </c>
      <c r="L588" s="12"/>
      <c r="M588" s="11"/>
      <c r="N588" s="10"/>
      <c r="O588" s="10">
        <f t="shared" si="26"/>
        <v>0</v>
      </c>
      <c r="P588" s="12"/>
      <c r="Q588" s="46"/>
    </row>
    <row r="589" spans="1:17" ht="16.5" thickBot="1" x14ac:dyDescent="0.3">
      <c r="A589" s="62" t="s">
        <v>5</v>
      </c>
      <c r="B589" s="63"/>
      <c r="C589" s="63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6"/>
      <c r="P589" s="17"/>
      <c r="Q589" s="46"/>
    </row>
    <row r="590" spans="1:17" ht="30" x14ac:dyDescent="0.25">
      <c r="A590" s="15"/>
      <c r="B590" s="14" t="s">
        <v>348</v>
      </c>
      <c r="C590" s="13" t="s">
        <v>13</v>
      </c>
      <c r="D590" s="12"/>
      <c r="E590" s="11">
        <v>325.39</v>
      </c>
      <c r="F590" s="42">
        <v>8</v>
      </c>
      <c r="G590" s="10">
        <f>+E590*F590</f>
        <v>2603.12</v>
      </c>
      <c r="H590" s="12"/>
      <c r="I590" s="11">
        <v>172.84</v>
      </c>
      <c r="J590" s="10">
        <v>6.5</v>
      </c>
      <c r="K590" s="10">
        <f>+I590*J590</f>
        <v>1123.46</v>
      </c>
      <c r="L590" s="12"/>
      <c r="M590" s="11">
        <f>332.96+171.32</f>
        <v>504.28</v>
      </c>
      <c r="N590" s="10">
        <v>6.5</v>
      </c>
      <c r="O590" s="10">
        <f>+M590*N590</f>
        <v>3277.8199999999997</v>
      </c>
      <c r="P590" s="12"/>
      <c r="Q590" s="46"/>
    </row>
    <row r="591" spans="1:17" ht="15.75" thickBot="1" x14ac:dyDescent="0.3">
      <c r="A591" s="15"/>
      <c r="B591" s="14"/>
      <c r="C591" s="13"/>
      <c r="D591" s="12"/>
      <c r="E591" s="11"/>
      <c r="F591" s="10"/>
      <c r="G591" s="10">
        <f>+E591*F591</f>
        <v>0</v>
      </c>
      <c r="H591" s="12"/>
      <c r="I591" s="11"/>
      <c r="J591" s="10"/>
      <c r="K591" s="10">
        <f>+I591*J591</f>
        <v>0</v>
      </c>
      <c r="L591" s="12"/>
      <c r="M591" s="11"/>
      <c r="N591" s="10"/>
      <c r="O591" s="10">
        <f>+M591*N591</f>
        <v>0</v>
      </c>
      <c r="P591" s="12"/>
      <c r="Q591" s="46"/>
    </row>
    <row r="592" spans="1:17" ht="16.5" thickBot="1" x14ac:dyDescent="0.3">
      <c r="A592" s="62" t="s">
        <v>2</v>
      </c>
      <c r="B592" s="63"/>
      <c r="C592" s="63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6"/>
      <c r="P592" s="17"/>
      <c r="Q592" s="46"/>
    </row>
    <row r="593" spans="1:17" x14ac:dyDescent="0.25">
      <c r="A593" s="15"/>
      <c r="B593" s="14" t="s">
        <v>358</v>
      </c>
      <c r="C593" s="13" t="s">
        <v>15</v>
      </c>
      <c r="D593" s="12"/>
      <c r="E593" s="11"/>
      <c r="F593" s="10"/>
      <c r="G593" s="10">
        <f>+E593*F593</f>
        <v>0</v>
      </c>
      <c r="H593" s="12"/>
      <c r="I593" s="11">
        <v>15</v>
      </c>
      <c r="J593" s="10">
        <v>25</v>
      </c>
      <c r="K593" s="10">
        <f>+I593*J593</f>
        <v>375</v>
      </c>
      <c r="L593" s="12"/>
      <c r="M593" s="11">
        <v>19</v>
      </c>
      <c r="N593" s="10">
        <v>25</v>
      </c>
      <c r="O593" s="10">
        <f>+M593*N593</f>
        <v>475</v>
      </c>
      <c r="P593" s="12"/>
      <c r="Q593" s="55">
        <f>+(I593+M593)/($I$590+$M$590)</f>
        <v>5.0212665406427222E-2</v>
      </c>
    </row>
    <row r="594" spans="1:17" x14ac:dyDescent="0.25">
      <c r="A594" s="15"/>
      <c r="B594" s="14" t="s">
        <v>357</v>
      </c>
      <c r="C594" s="13" t="s">
        <v>356</v>
      </c>
      <c r="D594" s="12"/>
      <c r="E594" s="11"/>
      <c r="F594" s="10"/>
      <c r="G594" s="10">
        <f>+E594*F594</f>
        <v>0</v>
      </c>
      <c r="H594" s="12"/>
      <c r="I594" s="11"/>
      <c r="J594" s="10"/>
      <c r="K594" s="10">
        <f>+I594*J594</f>
        <v>0</v>
      </c>
      <c r="L594" s="12"/>
      <c r="M594" s="11">
        <v>2</v>
      </c>
      <c r="N594" s="10">
        <v>89.29</v>
      </c>
      <c r="O594" s="10">
        <f>+M594*N594</f>
        <v>178.58</v>
      </c>
      <c r="P594" s="12"/>
      <c r="Q594" s="55">
        <f>+(M594)/($M$590)</f>
        <v>3.9660506068057433E-3</v>
      </c>
    </row>
    <row r="595" spans="1:17" x14ac:dyDescent="0.25">
      <c r="A595" s="15"/>
      <c r="B595" s="14" t="s">
        <v>310</v>
      </c>
      <c r="C595" s="13" t="s">
        <v>15</v>
      </c>
      <c r="D595" s="12"/>
      <c r="E595" s="11">
        <v>2</v>
      </c>
      <c r="F595" s="10">
        <v>31.25</v>
      </c>
      <c r="G595" s="10">
        <f t="shared" ref="G595:G600" si="27">+E595*F595</f>
        <v>62.5</v>
      </c>
      <c r="H595" s="12"/>
      <c r="I595" s="11"/>
      <c r="J595" s="10"/>
      <c r="K595" s="10">
        <f t="shared" ref="K595:K600" si="28">+I595*J595</f>
        <v>0</v>
      </c>
      <c r="L595" s="12"/>
      <c r="M595" s="11">
        <v>3</v>
      </c>
      <c r="N595" s="10">
        <v>31.25</v>
      </c>
      <c r="O595" s="10">
        <f t="shared" ref="O595:O600" si="29">+M595*N595</f>
        <v>93.75</v>
      </c>
      <c r="P595" s="12"/>
      <c r="Q595" s="55">
        <f>+(E595+M595)/($E$590+$M$590)</f>
        <v>6.0264924608579322E-3</v>
      </c>
    </row>
    <row r="596" spans="1:17" x14ac:dyDescent="0.25">
      <c r="A596" s="15"/>
      <c r="B596" s="14" t="s">
        <v>41</v>
      </c>
      <c r="C596" s="13" t="s">
        <v>15</v>
      </c>
      <c r="D596" s="12"/>
      <c r="E596" s="11">
        <v>2</v>
      </c>
      <c r="F596" s="10">
        <v>17.86</v>
      </c>
      <c r="G596" s="10">
        <f t="shared" si="27"/>
        <v>35.72</v>
      </c>
      <c r="H596" s="12"/>
      <c r="I596" s="11">
        <v>1</v>
      </c>
      <c r="J596" s="10">
        <v>17.86</v>
      </c>
      <c r="K596" s="10">
        <f t="shared" si="28"/>
        <v>17.86</v>
      </c>
      <c r="L596" s="12"/>
      <c r="M596" s="11">
        <v>2.4</v>
      </c>
      <c r="N596" s="10">
        <v>17.86</v>
      </c>
      <c r="O596" s="10">
        <f t="shared" si="29"/>
        <v>42.863999999999997</v>
      </c>
      <c r="P596" s="12"/>
      <c r="Q596" s="56">
        <f>+(E596+I596+M596)/($E$590+$I$590+$M$590)</f>
        <v>5.3864799353622412E-3</v>
      </c>
    </row>
    <row r="597" spans="1:17" ht="18" x14ac:dyDescent="0.25">
      <c r="A597" s="15"/>
      <c r="B597" s="14" t="s">
        <v>315</v>
      </c>
      <c r="C597" s="13" t="s">
        <v>42</v>
      </c>
      <c r="D597" s="12"/>
      <c r="E597" s="11">
        <v>24.5</v>
      </c>
      <c r="F597" s="10">
        <v>8</v>
      </c>
      <c r="G597" s="10">
        <f t="shared" si="27"/>
        <v>196</v>
      </c>
      <c r="H597" s="12"/>
      <c r="I597" s="11">
        <v>16.579999999999998</v>
      </c>
      <c r="J597" s="10">
        <v>8</v>
      </c>
      <c r="K597" s="10">
        <f t="shared" si="28"/>
        <v>132.63999999999999</v>
      </c>
      <c r="L597" s="12"/>
      <c r="M597" s="11">
        <v>32</v>
      </c>
      <c r="N597" s="10">
        <v>8</v>
      </c>
      <c r="O597" s="10">
        <f t="shared" si="29"/>
        <v>256</v>
      </c>
      <c r="P597" s="12"/>
      <c r="Q597" s="56">
        <f>+Q579</f>
        <v>0.10500000000000001</v>
      </c>
    </row>
    <row r="598" spans="1:17" ht="30" x14ac:dyDescent="0.25">
      <c r="A598" s="15"/>
      <c r="B598" s="14" t="s">
        <v>359</v>
      </c>
      <c r="C598" s="13" t="s">
        <v>78</v>
      </c>
      <c r="D598" s="12"/>
      <c r="E598" s="11">
        <v>0.95920000000000005</v>
      </c>
      <c r="F598" s="10">
        <v>20</v>
      </c>
      <c r="G598" s="10">
        <f t="shared" si="27"/>
        <v>19.184000000000001</v>
      </c>
      <c r="H598" s="12"/>
      <c r="I598" s="11"/>
      <c r="J598" s="10"/>
      <c r="K598" s="10">
        <f t="shared" si="28"/>
        <v>0</v>
      </c>
      <c r="L598" s="12"/>
      <c r="M598" s="11">
        <v>2</v>
      </c>
      <c r="N598" s="10">
        <v>25</v>
      </c>
      <c r="O598" s="10">
        <f t="shared" si="29"/>
        <v>50</v>
      </c>
      <c r="P598" s="12"/>
      <c r="Q598" s="56">
        <f>+(E598+M598)/($E$590+$M$590)</f>
        <v>3.5667192980341584E-3</v>
      </c>
    </row>
    <row r="599" spans="1:17" ht="30" x14ac:dyDescent="0.25">
      <c r="A599" s="15"/>
      <c r="B599" s="14" t="s">
        <v>79</v>
      </c>
      <c r="C599" s="13" t="s">
        <v>78</v>
      </c>
      <c r="D599" s="12"/>
      <c r="E599" s="11">
        <v>11</v>
      </c>
      <c r="F599" s="10">
        <v>25</v>
      </c>
      <c r="G599" s="10">
        <f t="shared" si="27"/>
        <v>275</v>
      </c>
      <c r="H599" s="12"/>
      <c r="I599" s="11"/>
      <c r="J599" s="10"/>
      <c r="K599" s="10">
        <f t="shared" si="28"/>
        <v>0</v>
      </c>
      <c r="L599" s="12"/>
      <c r="M599" s="11">
        <v>40.5</v>
      </c>
      <c r="N599" s="10">
        <v>22</v>
      </c>
      <c r="O599" s="10">
        <f t="shared" si="29"/>
        <v>891</v>
      </c>
      <c r="P599" s="12"/>
      <c r="Q599" s="56">
        <f>+(E599+M599)/($E$590+$M$590)</f>
        <v>6.2072872346836699E-2</v>
      </c>
    </row>
    <row r="600" spans="1:17" x14ac:dyDescent="0.25">
      <c r="A600" s="15"/>
      <c r="B600" s="14"/>
      <c r="C600" s="13"/>
      <c r="D600" s="12"/>
      <c r="E600" s="11"/>
      <c r="F600" s="10"/>
      <c r="G600" s="10">
        <f t="shared" si="27"/>
        <v>0</v>
      </c>
      <c r="H600" s="12"/>
      <c r="I600" s="11"/>
      <c r="J600" s="10"/>
      <c r="K600" s="10">
        <f t="shared" si="28"/>
        <v>0</v>
      </c>
      <c r="L600" s="12"/>
      <c r="M600" s="11"/>
      <c r="N600" s="10"/>
      <c r="O600" s="10">
        <f t="shared" si="29"/>
        <v>0</v>
      </c>
      <c r="P600" s="12"/>
      <c r="Q600" s="46"/>
    </row>
    <row r="601" spans="1:17" ht="15.75" thickBot="1" x14ac:dyDescent="0.3">
      <c r="Q601" s="46"/>
    </row>
    <row r="602" spans="1:17" ht="21" thickBot="1" x14ac:dyDescent="0.3">
      <c r="A602" s="64" t="s">
        <v>1</v>
      </c>
      <c r="B602" s="65"/>
      <c r="C602" s="66"/>
      <c r="D602" s="5"/>
      <c r="E602" s="9"/>
      <c r="F602" s="8"/>
      <c r="G602" s="7">
        <f>SUM(G571:G601)</f>
        <v>5551.1785</v>
      </c>
      <c r="H602" s="5"/>
      <c r="I602" s="9"/>
      <c r="J602" s="8"/>
      <c r="K602" s="7">
        <f>SUM(K571:K601)</f>
        <v>3312.0499999999997</v>
      </c>
      <c r="L602" s="5"/>
      <c r="M602" s="9"/>
      <c r="N602" s="8"/>
      <c r="O602" s="7">
        <f>SUM(O571:O601)</f>
        <v>8985.0920999999998</v>
      </c>
      <c r="P602" s="5"/>
      <c r="Q602" s="46"/>
    </row>
    <row r="603" spans="1:17" ht="21" thickBot="1" x14ac:dyDescent="0.3">
      <c r="A603" s="60" t="s">
        <v>0</v>
      </c>
      <c r="B603" s="61"/>
      <c r="C603" s="61"/>
      <c r="D603" s="5"/>
      <c r="E603" s="4"/>
      <c r="F603" s="3"/>
      <c r="G603" s="6">
        <f>+G602/E590</f>
        <v>17.060077138203386</v>
      </c>
      <c r="H603" s="5"/>
      <c r="I603" s="4"/>
      <c r="J603" s="3"/>
      <c r="K603" s="6">
        <f>+K602/I590</f>
        <v>19.162520249942141</v>
      </c>
      <c r="L603" s="5"/>
      <c r="M603" s="4"/>
      <c r="N603" s="3"/>
      <c r="O603" s="6">
        <f>+O602/M590</f>
        <v>17.817664987705243</v>
      </c>
      <c r="P603" s="5"/>
      <c r="Q603" s="46"/>
    </row>
    <row r="604" spans="1:17" x14ac:dyDescent="0.25">
      <c r="Q604" s="46"/>
    </row>
    <row r="605" spans="1:1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46"/>
    </row>
    <row r="606" spans="1:17" ht="15.75" thickBot="1" x14ac:dyDescent="0.3">
      <c r="Q606" s="46"/>
    </row>
    <row r="607" spans="1:17" ht="16.5" thickBot="1" x14ac:dyDescent="0.3">
      <c r="A607" s="20" t="s">
        <v>355</v>
      </c>
      <c r="B607" s="19" t="s">
        <v>354</v>
      </c>
      <c r="C607" s="18" t="s">
        <v>58</v>
      </c>
      <c r="Q607" s="46"/>
    </row>
    <row r="608" spans="1:17" ht="15.75" thickBot="1" x14ac:dyDescent="0.3">
      <c r="Q608" s="46"/>
    </row>
    <row r="609" spans="1:17" ht="16.5" thickBot="1" x14ac:dyDescent="0.3">
      <c r="A609" s="62" t="s">
        <v>11</v>
      </c>
      <c r="B609" s="63"/>
      <c r="C609" s="63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6"/>
      <c r="P609" s="17"/>
      <c r="Q609" s="46"/>
    </row>
    <row r="610" spans="1:17" x14ac:dyDescent="0.25">
      <c r="A610" s="15"/>
      <c r="B610" s="14" t="s">
        <v>46</v>
      </c>
      <c r="C610" s="13" t="s">
        <v>15</v>
      </c>
      <c r="D610" s="12"/>
      <c r="E610" s="11"/>
      <c r="F610" s="10"/>
      <c r="G610" s="10">
        <f>+E610*F610</f>
        <v>0</v>
      </c>
      <c r="H610" s="12"/>
      <c r="I610" s="11">
        <v>5</v>
      </c>
      <c r="J610" s="10">
        <v>10.25</v>
      </c>
      <c r="K610" s="10">
        <f>+I610*J610</f>
        <v>51.25</v>
      </c>
      <c r="L610" s="12"/>
      <c r="M610" s="11"/>
      <c r="N610" s="10"/>
      <c r="O610" s="10">
        <f>+M610*N610</f>
        <v>0</v>
      </c>
      <c r="P610" s="12"/>
      <c r="Q610" s="56">
        <f>+I610/I613</f>
        <v>0.3546099290780142</v>
      </c>
    </row>
    <row r="611" spans="1:17" ht="15.75" thickBot="1" x14ac:dyDescent="0.3">
      <c r="A611" s="15"/>
      <c r="B611" s="14"/>
      <c r="C611" s="13"/>
      <c r="D611" s="12"/>
      <c r="E611" s="11"/>
      <c r="F611" s="10"/>
      <c r="G611" s="10">
        <f>+E611*F611</f>
        <v>0</v>
      </c>
      <c r="H611" s="12"/>
      <c r="I611" s="11"/>
      <c r="J611" s="10"/>
      <c r="K611" s="10">
        <f>+I611*J611</f>
        <v>0</v>
      </c>
      <c r="L611" s="12"/>
      <c r="M611" s="11"/>
      <c r="N611" s="10"/>
      <c r="O611" s="10">
        <f>+M611*N611</f>
        <v>0</v>
      </c>
      <c r="P611" s="12"/>
      <c r="Q611" s="46"/>
    </row>
    <row r="612" spans="1:17" ht="16.5" thickBot="1" x14ac:dyDescent="0.3">
      <c r="A612" s="62" t="s">
        <v>5</v>
      </c>
      <c r="B612" s="63"/>
      <c r="C612" s="63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6"/>
      <c r="P612" s="17"/>
      <c r="Q612" s="46"/>
    </row>
    <row r="613" spans="1:17" x14ac:dyDescent="0.25">
      <c r="A613" s="15"/>
      <c r="B613" s="14" t="s">
        <v>353</v>
      </c>
      <c r="C613" s="13" t="s">
        <v>58</v>
      </c>
      <c r="D613" s="12"/>
      <c r="E613" s="11"/>
      <c r="F613" s="10"/>
      <c r="G613" s="10">
        <f>+E613*F613</f>
        <v>0</v>
      </c>
      <c r="H613" s="12"/>
      <c r="I613" s="11">
        <v>14.1</v>
      </c>
      <c r="J613" s="42">
        <v>3.4</v>
      </c>
      <c r="K613" s="10">
        <f>+I613*J613</f>
        <v>47.94</v>
      </c>
      <c r="L613" s="12"/>
      <c r="M613" s="11"/>
      <c r="N613" s="10"/>
      <c r="O613" s="10">
        <f>+M613*N613</f>
        <v>0</v>
      </c>
      <c r="P613" s="12"/>
      <c r="Q613" s="46"/>
    </row>
    <row r="614" spans="1:17" ht="15.75" thickBot="1" x14ac:dyDescent="0.3">
      <c r="A614" s="15"/>
      <c r="B614" s="14"/>
      <c r="C614" s="13"/>
      <c r="D614" s="12"/>
      <c r="E614" s="11"/>
      <c r="F614" s="10"/>
      <c r="G614" s="10">
        <f>+E614*F614</f>
        <v>0</v>
      </c>
      <c r="H614" s="12"/>
      <c r="I614" s="11"/>
      <c r="J614" s="10"/>
      <c r="K614" s="10">
        <f>+I614*J614</f>
        <v>0</v>
      </c>
      <c r="L614" s="12"/>
      <c r="M614" s="11"/>
      <c r="N614" s="10"/>
      <c r="O614" s="10">
        <f>+M614*N614</f>
        <v>0</v>
      </c>
      <c r="P614" s="12"/>
      <c r="Q614" s="46"/>
    </row>
    <row r="615" spans="1:17" ht="16.5" thickBot="1" x14ac:dyDescent="0.3">
      <c r="A615" s="62" t="s">
        <v>2</v>
      </c>
      <c r="B615" s="63"/>
      <c r="C615" s="63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6"/>
      <c r="P615" s="17"/>
      <c r="Q615" s="46"/>
    </row>
    <row r="616" spans="1:17" x14ac:dyDescent="0.25">
      <c r="A616" s="15"/>
      <c r="B616" s="14"/>
      <c r="C616" s="13"/>
      <c r="D616" s="12"/>
      <c r="E616" s="11"/>
      <c r="F616" s="10"/>
      <c r="G616" s="10">
        <f>+E616*F616</f>
        <v>0</v>
      </c>
      <c r="H616" s="12"/>
      <c r="I616" s="11"/>
      <c r="J616" s="10"/>
      <c r="K616" s="10">
        <f>+I616*J616</f>
        <v>0</v>
      </c>
      <c r="L616" s="12"/>
      <c r="M616" s="11"/>
      <c r="N616" s="10"/>
      <c r="O616" s="10">
        <f>+M616*N616</f>
        <v>0</v>
      </c>
      <c r="P616" s="12"/>
      <c r="Q616" s="46"/>
    </row>
    <row r="617" spans="1:17" x14ac:dyDescent="0.25">
      <c r="A617" s="15"/>
      <c r="B617" s="14"/>
      <c r="C617" s="13"/>
      <c r="D617" s="12"/>
      <c r="E617" s="11"/>
      <c r="F617" s="10"/>
      <c r="G617" s="10">
        <f>+E617*F617</f>
        <v>0</v>
      </c>
      <c r="H617" s="12"/>
      <c r="I617" s="11"/>
      <c r="J617" s="10"/>
      <c r="K617" s="10">
        <f>+I617*J617</f>
        <v>0</v>
      </c>
      <c r="L617" s="12"/>
      <c r="M617" s="11"/>
      <c r="N617" s="10"/>
      <c r="O617" s="10">
        <f>+M617*N617</f>
        <v>0</v>
      </c>
      <c r="P617" s="12"/>
      <c r="Q617" s="46"/>
    </row>
    <row r="618" spans="1:17" ht="15.75" thickBot="1" x14ac:dyDescent="0.3">
      <c r="Q618" s="46"/>
    </row>
    <row r="619" spans="1:17" ht="21" thickBot="1" x14ac:dyDescent="0.3">
      <c r="A619" s="64" t="s">
        <v>1</v>
      </c>
      <c r="B619" s="65"/>
      <c r="C619" s="66"/>
      <c r="D619" s="5"/>
      <c r="E619" s="9"/>
      <c r="F619" s="8"/>
      <c r="G619" s="7">
        <f>SUM(G609:G618)</f>
        <v>0</v>
      </c>
      <c r="H619" s="5"/>
      <c r="I619" s="9"/>
      <c r="J619" s="8"/>
      <c r="K619" s="7">
        <f>SUM(K607:K617)</f>
        <v>99.19</v>
      </c>
      <c r="L619" s="5"/>
      <c r="M619" s="9"/>
      <c r="N619" s="8"/>
      <c r="O619" s="7">
        <f>SUM(O607:O617)</f>
        <v>0</v>
      </c>
      <c r="P619" s="5"/>
      <c r="Q619" s="46"/>
    </row>
    <row r="620" spans="1:17" ht="21" thickBot="1" x14ac:dyDescent="0.3">
      <c r="A620" s="60" t="s">
        <v>0</v>
      </c>
      <c r="B620" s="61"/>
      <c r="C620" s="61"/>
      <c r="D620" s="5"/>
      <c r="E620" s="4"/>
      <c r="F620" s="3"/>
      <c r="G620" s="6" t="e">
        <f>+G619/E613</f>
        <v>#DIV/0!</v>
      </c>
      <c r="H620" s="5"/>
      <c r="I620" s="4"/>
      <c r="J620" s="3"/>
      <c r="K620" s="6">
        <f>+K619/I613</f>
        <v>7.0347517730496456</v>
      </c>
      <c r="L620" s="5"/>
      <c r="M620" s="4"/>
      <c r="N620" s="3"/>
      <c r="O620" s="6" t="e">
        <f>+O619/M613</f>
        <v>#DIV/0!</v>
      </c>
      <c r="P620" s="5"/>
      <c r="Q620" s="46"/>
    </row>
    <row r="621" spans="1:17" x14ac:dyDescent="0.25">
      <c r="Q621" s="46"/>
    </row>
    <row r="622" spans="1:1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46"/>
    </row>
    <row r="623" spans="1:17" ht="15.75" thickBot="1" x14ac:dyDescent="0.3">
      <c r="Q623" s="46"/>
    </row>
    <row r="624" spans="1:17" ht="24" thickBot="1" x14ac:dyDescent="0.3">
      <c r="A624" s="22" t="s">
        <v>352</v>
      </c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2"/>
      <c r="N624" s="22"/>
      <c r="O624" s="22"/>
      <c r="P624" s="23"/>
      <c r="Q624" s="46"/>
    </row>
    <row r="625" spans="1:17" ht="15.75" thickBot="1" x14ac:dyDescent="0.3">
      <c r="Q625" s="46"/>
    </row>
    <row r="626" spans="1:17" ht="19.5" thickBot="1" x14ac:dyDescent="0.3">
      <c r="A626" s="20" t="s">
        <v>351</v>
      </c>
      <c r="B626" s="19" t="s">
        <v>350</v>
      </c>
      <c r="C626" s="18" t="s">
        <v>312</v>
      </c>
      <c r="Q626" s="46"/>
    </row>
    <row r="627" spans="1:17" ht="15.75" thickBot="1" x14ac:dyDescent="0.3">
      <c r="Q627" s="46"/>
    </row>
    <row r="628" spans="1:17" ht="16.5" thickBot="1" x14ac:dyDescent="0.3">
      <c r="A628" s="62" t="s">
        <v>11</v>
      </c>
      <c r="B628" s="63"/>
      <c r="C628" s="63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6"/>
      <c r="P628" s="17"/>
      <c r="Q628" s="46"/>
    </row>
    <row r="629" spans="1:17" x14ac:dyDescent="0.25">
      <c r="A629" s="15"/>
      <c r="B629" s="14" t="s">
        <v>307</v>
      </c>
      <c r="C629" s="13" t="s">
        <v>174</v>
      </c>
      <c r="D629" s="12"/>
      <c r="E629" s="11">
        <v>13</v>
      </c>
      <c r="F629" s="10">
        <v>6.67</v>
      </c>
      <c r="G629" s="10">
        <f>+E629*F629</f>
        <v>86.71</v>
      </c>
      <c r="H629" s="12"/>
      <c r="I629" s="11">
        <v>8</v>
      </c>
      <c r="J629" s="10">
        <v>6.7</v>
      </c>
      <c r="K629" s="10">
        <f>+I629*J629</f>
        <v>53.6</v>
      </c>
      <c r="L629" s="12"/>
      <c r="M629" s="11">
        <v>8</v>
      </c>
      <c r="N629" s="10">
        <v>6.7</v>
      </c>
      <c r="O629" s="10">
        <f>+M629*N629</f>
        <v>53.6</v>
      </c>
      <c r="P629" s="12"/>
      <c r="Q629" s="54">
        <v>7.1580000000000004</v>
      </c>
    </row>
    <row r="630" spans="1:17" ht="18" x14ac:dyDescent="0.25">
      <c r="A630" s="15"/>
      <c r="B630" s="14" t="s">
        <v>7</v>
      </c>
      <c r="C630" s="13" t="s">
        <v>42</v>
      </c>
      <c r="D630" s="12"/>
      <c r="E630" s="11">
        <v>1.68</v>
      </c>
      <c r="F630" s="10">
        <v>12.28</v>
      </c>
      <c r="G630" s="10">
        <f>+E630*F630</f>
        <v>20.630399999999998</v>
      </c>
      <c r="H630" s="12"/>
      <c r="I630" s="11">
        <v>1.41</v>
      </c>
      <c r="J630" s="10">
        <v>12.5</v>
      </c>
      <c r="K630" s="10">
        <f>+I630*J630</f>
        <v>17.625</v>
      </c>
      <c r="L630" s="12"/>
      <c r="M630" s="11">
        <v>0.48</v>
      </c>
      <c r="N630" s="10">
        <v>12.5</v>
      </c>
      <c r="O630" s="10">
        <f>+M630*N630</f>
        <v>6</v>
      </c>
      <c r="P630" s="12"/>
      <c r="Q630" s="54">
        <v>0.70199999999999996</v>
      </c>
    </row>
    <row r="631" spans="1:17" ht="18" x14ac:dyDescent="0.25">
      <c r="A631" s="15"/>
      <c r="B631" s="14" t="s">
        <v>212</v>
      </c>
      <c r="C631" s="13" t="s">
        <v>42</v>
      </c>
      <c r="D631" s="12"/>
      <c r="E631" s="11">
        <v>1.68</v>
      </c>
      <c r="F631" s="10">
        <v>12.27</v>
      </c>
      <c r="G631" s="10">
        <f>+E631*F631</f>
        <v>20.613599999999998</v>
      </c>
      <c r="H631" s="12"/>
      <c r="I631" s="11">
        <v>1.24</v>
      </c>
      <c r="J631" s="10">
        <v>12.5</v>
      </c>
      <c r="K631" s="10">
        <f>+I631*J631</f>
        <v>15.5</v>
      </c>
      <c r="L631" s="12"/>
      <c r="M631" s="11"/>
      <c r="N631" s="10"/>
      <c r="O631" s="10">
        <f>+M631*N631</f>
        <v>0</v>
      </c>
      <c r="P631" s="12"/>
      <c r="Q631" s="54">
        <v>1.026</v>
      </c>
    </row>
    <row r="632" spans="1:17" ht="15.75" thickBot="1" x14ac:dyDescent="0.3">
      <c r="A632" s="15"/>
      <c r="B632" s="14"/>
      <c r="C632" s="13"/>
      <c r="D632" s="12"/>
      <c r="E632" s="11"/>
      <c r="F632" s="10"/>
      <c r="G632" s="10">
        <f>+E632*F632</f>
        <v>0</v>
      </c>
      <c r="H632" s="12"/>
      <c r="I632" s="11"/>
      <c r="J632" s="10"/>
      <c r="K632" s="10">
        <f>+I632*J632</f>
        <v>0</v>
      </c>
      <c r="L632" s="12"/>
      <c r="M632" s="11"/>
      <c r="N632" s="10"/>
      <c r="O632" s="10">
        <f>+M632*N632</f>
        <v>0</v>
      </c>
      <c r="P632" s="12"/>
      <c r="Q632" s="46"/>
    </row>
    <row r="633" spans="1:17" ht="16.5" thickBot="1" x14ac:dyDescent="0.3">
      <c r="A633" s="62" t="s">
        <v>5</v>
      </c>
      <c r="B633" s="63"/>
      <c r="C633" s="63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6"/>
      <c r="P633" s="17"/>
      <c r="Q633" s="46"/>
    </row>
    <row r="634" spans="1:17" ht="18" x14ac:dyDescent="0.25">
      <c r="A634" s="15"/>
      <c r="B634" s="14" t="s">
        <v>349</v>
      </c>
      <c r="C634" s="13" t="s">
        <v>42</v>
      </c>
      <c r="D634" s="12"/>
      <c r="E634" s="11">
        <v>2.23</v>
      </c>
      <c r="F634" s="42">
        <v>25</v>
      </c>
      <c r="G634" s="10">
        <f>+E634*F634</f>
        <v>55.75</v>
      </c>
      <c r="H634" s="12"/>
      <c r="I634" s="11">
        <v>2.71</v>
      </c>
      <c r="J634" s="10">
        <v>25</v>
      </c>
      <c r="K634" s="10">
        <f>+I634*J634</f>
        <v>67.75</v>
      </c>
      <c r="L634" s="12"/>
      <c r="M634" s="11">
        <v>12.24</v>
      </c>
      <c r="N634" s="10">
        <v>25</v>
      </c>
      <c r="O634" s="10">
        <f>+M634*N634</f>
        <v>306</v>
      </c>
      <c r="P634" s="12"/>
      <c r="Q634" s="46"/>
    </row>
    <row r="635" spans="1:17" ht="15.75" thickBot="1" x14ac:dyDescent="0.3">
      <c r="A635" s="15"/>
      <c r="B635" s="14"/>
      <c r="C635" s="13"/>
      <c r="D635" s="12"/>
      <c r="E635" s="11"/>
      <c r="F635" s="10"/>
      <c r="G635" s="10">
        <f>+E635*F635</f>
        <v>0</v>
      </c>
      <c r="H635" s="12"/>
      <c r="I635" s="11"/>
      <c r="J635" s="10"/>
      <c r="K635" s="10">
        <f>+I635*J635</f>
        <v>0</v>
      </c>
      <c r="L635" s="12"/>
      <c r="M635" s="11"/>
      <c r="N635" s="10"/>
      <c r="O635" s="10">
        <f>+M635*N635</f>
        <v>0</v>
      </c>
      <c r="P635" s="12"/>
      <c r="Q635" s="46"/>
    </row>
    <row r="636" spans="1:17" ht="16.5" thickBot="1" x14ac:dyDescent="0.3">
      <c r="A636" s="62" t="s">
        <v>2</v>
      </c>
      <c r="B636" s="63"/>
      <c r="C636" s="63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6"/>
      <c r="P636" s="17"/>
      <c r="Q636" s="46"/>
    </row>
    <row r="637" spans="1:17" x14ac:dyDescent="0.25">
      <c r="A637" s="15"/>
      <c r="B637" s="14"/>
      <c r="C637" s="13"/>
      <c r="D637" s="12"/>
      <c r="E637" s="11"/>
      <c r="F637" s="10"/>
      <c r="G637" s="10">
        <f>+E637*F637</f>
        <v>0</v>
      </c>
      <c r="H637" s="12"/>
      <c r="I637" s="11"/>
      <c r="J637" s="10"/>
      <c r="K637" s="10">
        <f>+I637*J637</f>
        <v>0</v>
      </c>
      <c r="L637" s="12"/>
      <c r="M637" s="11"/>
      <c r="N637" s="10"/>
      <c r="O637" s="10">
        <f>+M637*N637</f>
        <v>0</v>
      </c>
      <c r="P637" s="12"/>
      <c r="Q637" s="46"/>
    </row>
    <row r="638" spans="1:17" x14ac:dyDescent="0.25">
      <c r="A638" s="15"/>
      <c r="B638" s="14"/>
      <c r="C638" s="13"/>
      <c r="D638" s="12"/>
      <c r="E638" s="11"/>
      <c r="F638" s="10"/>
      <c r="G638" s="10">
        <f>+E638*F638</f>
        <v>0</v>
      </c>
      <c r="H638" s="12"/>
      <c r="I638" s="11"/>
      <c r="J638" s="10"/>
      <c r="K638" s="10">
        <f>+I638*J638</f>
        <v>0</v>
      </c>
      <c r="L638" s="12"/>
      <c r="M638" s="11"/>
      <c r="N638" s="10"/>
      <c r="O638" s="10">
        <f>+M638*N638</f>
        <v>0</v>
      </c>
      <c r="P638" s="12"/>
      <c r="Q638" s="46"/>
    </row>
    <row r="639" spans="1:17" ht="15.75" thickBot="1" x14ac:dyDescent="0.3">
      <c r="Q639" s="46"/>
    </row>
    <row r="640" spans="1:17" ht="21" thickBot="1" x14ac:dyDescent="0.3">
      <c r="A640" s="64" t="s">
        <v>1</v>
      </c>
      <c r="B640" s="65"/>
      <c r="C640" s="66"/>
      <c r="D640" s="5"/>
      <c r="E640" s="9"/>
      <c r="F640" s="8"/>
      <c r="G640" s="7">
        <f>SUM(G628:G639)</f>
        <v>183.70399999999998</v>
      </c>
      <c r="H640" s="5"/>
      <c r="I640" s="9"/>
      <c r="J640" s="8"/>
      <c r="K640" s="7">
        <f>SUM(K626:K638)</f>
        <v>154.47499999999999</v>
      </c>
      <c r="L640" s="5"/>
      <c r="M640" s="9"/>
      <c r="N640" s="8"/>
      <c r="O640" s="7">
        <f>SUM(O626:O638)</f>
        <v>365.6</v>
      </c>
      <c r="P640" s="5"/>
      <c r="Q640" s="46"/>
    </row>
    <row r="641" spans="1:17" ht="21" thickBot="1" x14ac:dyDescent="0.3">
      <c r="A641" s="60" t="s">
        <v>0</v>
      </c>
      <c r="B641" s="61"/>
      <c r="C641" s="61"/>
      <c r="D641" s="5"/>
      <c r="E641" s="4"/>
      <c r="F641" s="3"/>
      <c r="G641" s="6">
        <f>+G640/E634</f>
        <v>82.378475336322865</v>
      </c>
      <c r="H641" s="5"/>
      <c r="I641" s="4"/>
      <c r="J641" s="3"/>
      <c r="K641" s="6">
        <f>+K640/I634</f>
        <v>57.001845018450183</v>
      </c>
      <c r="L641" s="5"/>
      <c r="M641" s="4"/>
      <c r="N641" s="3"/>
      <c r="O641" s="6">
        <f>+O640/M634</f>
        <v>29.869281045751634</v>
      </c>
      <c r="P641" s="5"/>
      <c r="Q641" s="46"/>
    </row>
    <row r="642" spans="1:17" x14ac:dyDescent="0.25">
      <c r="Q642" s="46"/>
    </row>
    <row r="643" spans="1:1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46"/>
    </row>
    <row r="644" spans="1:17" ht="15.75" thickBot="1" x14ac:dyDescent="0.3">
      <c r="Q644" s="46"/>
    </row>
    <row r="645" spans="1:17" ht="19.5" thickBot="1" x14ac:dyDescent="0.3">
      <c r="A645" s="20" t="s">
        <v>347</v>
      </c>
      <c r="B645" s="19" t="s">
        <v>346</v>
      </c>
      <c r="C645" s="18" t="s">
        <v>312</v>
      </c>
      <c r="Q645" s="46"/>
    </row>
    <row r="646" spans="1:17" ht="15.75" thickBot="1" x14ac:dyDescent="0.3">
      <c r="Q646" s="46"/>
    </row>
    <row r="647" spans="1:17" ht="16.5" thickBot="1" x14ac:dyDescent="0.3">
      <c r="A647" s="62" t="s">
        <v>11</v>
      </c>
      <c r="B647" s="63"/>
      <c r="C647" s="63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6"/>
      <c r="P647" s="17"/>
      <c r="Q647" s="46"/>
    </row>
    <row r="648" spans="1:17" ht="30" x14ac:dyDescent="0.25">
      <c r="A648" s="15"/>
      <c r="B648" s="14" t="s">
        <v>47</v>
      </c>
      <c r="C648" s="13" t="s">
        <v>42</v>
      </c>
      <c r="D648" s="12"/>
      <c r="E648" s="11">
        <v>22</v>
      </c>
      <c r="F648" s="10">
        <v>71</v>
      </c>
      <c r="G648" s="10">
        <f>+E648*F648</f>
        <v>1562</v>
      </c>
      <c r="H648" s="12"/>
      <c r="I648" s="11">
        <v>10</v>
      </c>
      <c r="J648" s="10">
        <v>71</v>
      </c>
      <c r="K648" s="10">
        <f>+I648*J648</f>
        <v>710</v>
      </c>
      <c r="L648" s="12"/>
      <c r="M648" s="11">
        <v>45</v>
      </c>
      <c r="N648" s="10">
        <v>71</v>
      </c>
      <c r="O648" s="10">
        <f>+M648*N648</f>
        <v>3195</v>
      </c>
      <c r="P648" s="12"/>
      <c r="Q648" s="46"/>
    </row>
    <row r="649" spans="1:17" ht="15.75" thickBot="1" x14ac:dyDescent="0.3">
      <c r="A649" s="15"/>
      <c r="B649" s="14"/>
      <c r="C649" s="13"/>
      <c r="D649" s="12"/>
      <c r="E649" s="11"/>
      <c r="F649" s="10"/>
      <c r="G649" s="10">
        <f>+E649*F649</f>
        <v>0</v>
      </c>
      <c r="H649" s="12"/>
      <c r="I649" s="11"/>
      <c r="J649" s="10"/>
      <c r="K649" s="10">
        <f>+I649*J649</f>
        <v>0</v>
      </c>
      <c r="L649" s="12"/>
      <c r="M649" s="11"/>
      <c r="N649" s="10"/>
      <c r="O649" s="10">
        <f>+M649*N649</f>
        <v>0</v>
      </c>
      <c r="P649" s="12"/>
      <c r="Q649" s="46"/>
    </row>
    <row r="650" spans="1:17" ht="16.5" thickBot="1" x14ac:dyDescent="0.3">
      <c r="A650" s="62" t="s">
        <v>5</v>
      </c>
      <c r="B650" s="63"/>
      <c r="C650" s="63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6"/>
      <c r="P650" s="17"/>
      <c r="Q650" s="46"/>
    </row>
    <row r="651" spans="1:17" ht="18" x14ac:dyDescent="0.25">
      <c r="A651" s="15"/>
      <c r="B651" s="14" t="s">
        <v>344</v>
      </c>
      <c r="C651" s="13" t="s">
        <v>42</v>
      </c>
      <c r="D651" s="12"/>
      <c r="E651" s="11">
        <v>22</v>
      </c>
      <c r="F651" s="42">
        <v>33</v>
      </c>
      <c r="G651" s="10">
        <f>+E651*F651</f>
        <v>726</v>
      </c>
      <c r="H651" s="12"/>
      <c r="I651" s="11">
        <v>10</v>
      </c>
      <c r="J651" s="10">
        <v>33</v>
      </c>
      <c r="K651" s="10">
        <f>+I651*J651</f>
        <v>330</v>
      </c>
      <c r="L651" s="12"/>
      <c r="M651" s="11">
        <v>45</v>
      </c>
      <c r="N651" s="10">
        <v>33</v>
      </c>
      <c r="O651" s="10">
        <f>+M651*N651</f>
        <v>1485</v>
      </c>
      <c r="P651" s="12"/>
      <c r="Q651" s="46"/>
    </row>
    <row r="652" spans="1:17" ht="15.75" thickBot="1" x14ac:dyDescent="0.3">
      <c r="A652" s="15"/>
      <c r="B652" s="14"/>
      <c r="C652" s="13"/>
      <c r="D652" s="12"/>
      <c r="E652" s="11"/>
      <c r="F652" s="10"/>
      <c r="G652" s="10">
        <f>+E652*F652</f>
        <v>0</v>
      </c>
      <c r="H652" s="12"/>
      <c r="I652" s="11"/>
      <c r="J652" s="10"/>
      <c r="K652" s="10">
        <f>+I652*J652</f>
        <v>0</v>
      </c>
      <c r="L652" s="12"/>
      <c r="M652" s="11"/>
      <c r="N652" s="10"/>
      <c r="O652" s="10">
        <f>+M652*N652</f>
        <v>0</v>
      </c>
      <c r="P652" s="12"/>
      <c r="Q652" s="46"/>
    </row>
    <row r="653" spans="1:17" ht="16.5" thickBot="1" x14ac:dyDescent="0.3">
      <c r="A653" s="62" t="s">
        <v>2</v>
      </c>
      <c r="B653" s="63"/>
      <c r="C653" s="63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6"/>
      <c r="P653" s="17"/>
      <c r="Q653" s="46"/>
    </row>
    <row r="654" spans="1:17" x14ac:dyDescent="0.25">
      <c r="A654" s="15"/>
      <c r="B654" s="14" t="s">
        <v>41</v>
      </c>
      <c r="C654" s="13" t="s">
        <v>15</v>
      </c>
      <c r="D654" s="12"/>
      <c r="E654" s="11">
        <v>2</v>
      </c>
      <c r="F654" s="10">
        <v>17.86</v>
      </c>
      <c r="G654" s="10">
        <f>+E654*F654</f>
        <v>35.72</v>
      </c>
      <c r="H654" s="12"/>
      <c r="I654" s="11">
        <v>1</v>
      </c>
      <c r="J654" s="10">
        <v>17.86</v>
      </c>
      <c r="K654" s="10">
        <f>+I654*J654</f>
        <v>17.86</v>
      </c>
      <c r="L654" s="12"/>
      <c r="M654" s="11">
        <v>2.0001000000000002</v>
      </c>
      <c r="N654" s="10">
        <v>17.86</v>
      </c>
      <c r="O654" s="10">
        <f>+M654*N654</f>
        <v>35.721786000000002</v>
      </c>
      <c r="P654" s="12"/>
      <c r="Q654" s="55">
        <f>+(E654+I654+M654)/($E$651+$I$651+$M$651)</f>
        <v>6.4936363636363639E-2</v>
      </c>
    </row>
    <row r="655" spans="1:17" ht="18" x14ac:dyDescent="0.25">
      <c r="A655" s="15"/>
      <c r="B655" s="14" t="s">
        <v>315</v>
      </c>
      <c r="C655" s="13" t="s">
        <v>42</v>
      </c>
      <c r="D655" s="12"/>
      <c r="E655" s="11">
        <v>22</v>
      </c>
      <c r="F655" s="10">
        <v>8</v>
      </c>
      <c r="G655" s="10">
        <f>+E655*F655</f>
        <v>176</v>
      </c>
      <c r="H655" s="12"/>
      <c r="I655" s="11">
        <v>10</v>
      </c>
      <c r="J655" s="10">
        <v>8</v>
      </c>
      <c r="K655" s="10">
        <f>+I655*J655</f>
        <v>80</v>
      </c>
      <c r="L655" s="12"/>
      <c r="M655" s="11">
        <v>45</v>
      </c>
      <c r="N655" s="10">
        <v>8</v>
      </c>
      <c r="O655" s="10">
        <f>+M655*N655</f>
        <v>360</v>
      </c>
      <c r="P655" s="12"/>
      <c r="Q655" s="46"/>
    </row>
    <row r="656" spans="1:17" x14ac:dyDescent="0.25">
      <c r="A656" s="15"/>
      <c r="B656" s="14"/>
      <c r="C656" s="13"/>
      <c r="D656" s="12"/>
      <c r="E656" s="11"/>
      <c r="F656" s="10"/>
      <c r="G656" s="10">
        <f>+E656*F656</f>
        <v>0</v>
      </c>
      <c r="H656" s="12"/>
      <c r="I656" s="11"/>
      <c r="J656" s="10"/>
      <c r="K656" s="10">
        <f>+I656*J656</f>
        <v>0</v>
      </c>
      <c r="L656" s="12"/>
      <c r="M656" s="11"/>
      <c r="N656" s="10"/>
      <c r="O656" s="10">
        <f>+M656*N656</f>
        <v>0</v>
      </c>
      <c r="P656" s="12"/>
      <c r="Q656" s="46"/>
    </row>
    <row r="657" spans="1:17" ht="15.75" thickBot="1" x14ac:dyDescent="0.3">
      <c r="Q657" s="46"/>
    </row>
    <row r="658" spans="1:17" ht="21" thickBot="1" x14ac:dyDescent="0.3">
      <c r="A658" s="64" t="s">
        <v>1</v>
      </c>
      <c r="B658" s="65"/>
      <c r="C658" s="66"/>
      <c r="D658" s="5"/>
      <c r="E658" s="9"/>
      <c r="F658" s="8"/>
      <c r="G658" s="7">
        <f>SUM(G647:G657)</f>
        <v>2499.7199999999998</v>
      </c>
      <c r="H658" s="5"/>
      <c r="I658" s="9"/>
      <c r="J658" s="8"/>
      <c r="K658" s="7">
        <f>SUM(K645:K656)</f>
        <v>1137.8599999999999</v>
      </c>
      <c r="L658" s="5"/>
      <c r="M658" s="9"/>
      <c r="N658" s="8"/>
      <c r="O658" s="7">
        <f>SUM(O645:O656)</f>
        <v>5075.7217860000001</v>
      </c>
      <c r="P658" s="5"/>
      <c r="Q658" s="46"/>
    </row>
    <row r="659" spans="1:17" ht="21" thickBot="1" x14ac:dyDescent="0.3">
      <c r="A659" s="60" t="s">
        <v>0</v>
      </c>
      <c r="B659" s="61"/>
      <c r="C659" s="61"/>
      <c r="D659" s="5"/>
      <c r="E659" s="4"/>
      <c r="F659" s="3"/>
      <c r="G659" s="6">
        <f>+G658/E651</f>
        <v>113.62363636363635</v>
      </c>
      <c r="H659" s="5"/>
      <c r="I659" s="4"/>
      <c r="J659" s="3"/>
      <c r="K659" s="6">
        <f>+K658/I651</f>
        <v>113.78599999999999</v>
      </c>
      <c r="L659" s="5"/>
      <c r="M659" s="4"/>
      <c r="N659" s="3"/>
      <c r="O659" s="6">
        <f>+O658/M651</f>
        <v>112.79381746666667</v>
      </c>
      <c r="P659" s="5"/>
      <c r="Q659" s="46"/>
    </row>
    <row r="660" spans="1:17" x14ac:dyDescent="0.25">
      <c r="Q660" s="46"/>
    </row>
    <row r="661" spans="1:1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46"/>
    </row>
    <row r="662" spans="1:17" ht="15.75" thickBot="1" x14ac:dyDescent="0.3">
      <c r="Q662" s="46"/>
    </row>
    <row r="663" spans="1:17" ht="19.5" thickBot="1" x14ac:dyDescent="0.3">
      <c r="A663" s="20" t="s">
        <v>343</v>
      </c>
      <c r="B663" s="19" t="s">
        <v>342</v>
      </c>
      <c r="C663" s="18" t="s">
        <v>312</v>
      </c>
      <c r="Q663" s="46"/>
    </row>
    <row r="664" spans="1:17" ht="15.75" thickBot="1" x14ac:dyDescent="0.3">
      <c r="Q664" s="46"/>
    </row>
    <row r="665" spans="1:17" ht="16.5" thickBot="1" x14ac:dyDescent="0.3">
      <c r="A665" s="62" t="s">
        <v>11</v>
      </c>
      <c r="B665" s="63"/>
      <c r="C665" s="63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6"/>
      <c r="P665" s="17"/>
      <c r="Q665" s="46"/>
    </row>
    <row r="666" spans="1:17" ht="30" x14ac:dyDescent="0.25">
      <c r="A666" s="15"/>
      <c r="B666" s="14" t="s">
        <v>9</v>
      </c>
      <c r="C666" s="13" t="s">
        <v>8</v>
      </c>
      <c r="D666" s="12"/>
      <c r="E666" s="11"/>
      <c r="F666" s="10"/>
      <c r="G666" s="10">
        <f>+E666*F666</f>
        <v>0</v>
      </c>
      <c r="H666" s="12"/>
      <c r="I666" s="11">
        <v>2</v>
      </c>
      <c r="J666" s="10">
        <v>6.6950000000000003</v>
      </c>
      <c r="K666" s="10">
        <f>+I666*J666</f>
        <v>13.39</v>
      </c>
      <c r="L666" s="12"/>
      <c r="M666" s="11"/>
      <c r="N666" s="10"/>
      <c r="O666" s="10">
        <f>+M666*N666</f>
        <v>0</v>
      </c>
      <c r="P666" s="12"/>
      <c r="Q666" s="46"/>
    </row>
    <row r="667" spans="1:17" ht="30" x14ac:dyDescent="0.25">
      <c r="A667" s="15"/>
      <c r="B667" s="14" t="s">
        <v>47</v>
      </c>
      <c r="C667" s="13" t="s">
        <v>42</v>
      </c>
      <c r="D667" s="12"/>
      <c r="E667" s="11">
        <v>14.4</v>
      </c>
      <c r="F667" s="10">
        <v>71</v>
      </c>
      <c r="G667" s="10">
        <f>+E667*F667</f>
        <v>1022.4</v>
      </c>
      <c r="H667" s="12"/>
      <c r="I667" s="11"/>
      <c r="J667" s="10"/>
      <c r="K667" s="10">
        <f>+I667*J667</f>
        <v>0</v>
      </c>
      <c r="L667" s="12"/>
      <c r="M667" s="11">
        <v>9.0121199999999995</v>
      </c>
      <c r="N667" s="10">
        <v>71</v>
      </c>
      <c r="O667" s="10">
        <f>+M667*N667</f>
        <v>639.86051999999995</v>
      </c>
      <c r="P667" s="12"/>
      <c r="Q667" s="46"/>
    </row>
    <row r="668" spans="1:17" x14ac:dyDescent="0.25">
      <c r="A668" s="15"/>
      <c r="B668" s="14" t="s">
        <v>7</v>
      </c>
      <c r="C668" s="13" t="s">
        <v>6</v>
      </c>
      <c r="D668" s="12"/>
      <c r="E668" s="11"/>
      <c r="F668" s="10"/>
      <c r="G668" s="10">
        <f>+E668*F668</f>
        <v>0</v>
      </c>
      <c r="H668" s="12"/>
      <c r="I668" s="11">
        <v>1.48</v>
      </c>
      <c r="J668" s="10">
        <v>12.5</v>
      </c>
      <c r="K668" s="10">
        <f>+I668*J668</f>
        <v>18.5</v>
      </c>
      <c r="L668" s="12"/>
      <c r="M668" s="11"/>
      <c r="N668" s="10"/>
      <c r="O668" s="10">
        <f>+M668*N668</f>
        <v>0</v>
      </c>
      <c r="P668" s="12"/>
      <c r="Q668" s="46"/>
    </row>
    <row r="669" spans="1:17" ht="15.75" thickBot="1" x14ac:dyDescent="0.3">
      <c r="A669" s="15"/>
      <c r="B669" s="14"/>
      <c r="C669" s="13"/>
      <c r="D669" s="12"/>
      <c r="E669" s="11"/>
      <c r="F669" s="10"/>
      <c r="G669" s="10">
        <f>+E669*F669</f>
        <v>0</v>
      </c>
      <c r="H669" s="12"/>
      <c r="I669" s="11"/>
      <c r="J669" s="10"/>
      <c r="K669" s="10">
        <f>+I669*J669</f>
        <v>0</v>
      </c>
      <c r="L669" s="12"/>
      <c r="M669" s="11"/>
      <c r="N669" s="10"/>
      <c r="O669" s="10">
        <f>+M669*N669</f>
        <v>0</v>
      </c>
      <c r="P669" s="12"/>
      <c r="Q669" s="46"/>
    </row>
    <row r="670" spans="1:17" ht="16.5" thickBot="1" x14ac:dyDescent="0.3">
      <c r="A670" s="62" t="s">
        <v>5</v>
      </c>
      <c r="B670" s="63"/>
      <c r="C670" s="63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6"/>
      <c r="P670" s="17"/>
      <c r="Q670" s="46"/>
    </row>
    <row r="671" spans="1:17" ht="18" x14ac:dyDescent="0.25">
      <c r="A671" s="15"/>
      <c r="B671" s="14" t="s">
        <v>334</v>
      </c>
      <c r="C671" s="13" t="s">
        <v>42</v>
      </c>
      <c r="D671" s="12"/>
      <c r="E671" s="11">
        <v>14.81</v>
      </c>
      <c r="F671" s="42">
        <v>33</v>
      </c>
      <c r="G671" s="10">
        <f>+E671*F671</f>
        <v>488.73</v>
      </c>
      <c r="H671" s="12"/>
      <c r="I671" s="11">
        <v>22.5</v>
      </c>
      <c r="J671" s="10">
        <v>33</v>
      </c>
      <c r="K671" s="10">
        <f>+I671*J671</f>
        <v>742.5</v>
      </c>
      <c r="L671" s="12"/>
      <c r="M671" s="11">
        <v>9</v>
      </c>
      <c r="N671" s="10">
        <v>33</v>
      </c>
      <c r="O671" s="10">
        <f>+M671*N671</f>
        <v>297</v>
      </c>
      <c r="P671" s="12"/>
      <c r="Q671" s="46"/>
    </row>
    <row r="672" spans="1:17" ht="15.75" thickBot="1" x14ac:dyDescent="0.3">
      <c r="A672" s="15"/>
      <c r="B672" s="14"/>
      <c r="C672" s="13"/>
      <c r="D672" s="12"/>
      <c r="E672" s="11"/>
      <c r="F672" s="10"/>
      <c r="G672" s="10">
        <f>+E672*F672</f>
        <v>0</v>
      </c>
      <c r="H672" s="12"/>
      <c r="I672" s="11"/>
      <c r="J672" s="10"/>
      <c r="K672" s="10">
        <f>+I672*J672</f>
        <v>0</v>
      </c>
      <c r="L672" s="12"/>
      <c r="M672" s="11"/>
      <c r="N672" s="10"/>
      <c r="O672" s="10">
        <f>+M672*N672</f>
        <v>0</v>
      </c>
      <c r="P672" s="12"/>
      <c r="Q672" s="46"/>
    </row>
    <row r="673" spans="1:17" ht="16.5" thickBot="1" x14ac:dyDescent="0.3">
      <c r="A673" s="62" t="s">
        <v>2</v>
      </c>
      <c r="B673" s="63"/>
      <c r="C673" s="63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6"/>
      <c r="P673" s="17"/>
      <c r="Q673" s="46"/>
    </row>
    <row r="674" spans="1:17" ht="18" x14ac:dyDescent="0.25">
      <c r="A674" s="15"/>
      <c r="B674" s="14" t="s">
        <v>315</v>
      </c>
      <c r="C674" s="13" t="s">
        <v>42</v>
      </c>
      <c r="D674" s="12"/>
      <c r="E674" s="11">
        <v>28.8</v>
      </c>
      <c r="F674" s="10">
        <v>8</v>
      </c>
      <c r="G674" s="10">
        <f>+E674*F674</f>
        <v>230.4</v>
      </c>
      <c r="H674" s="12"/>
      <c r="I674" s="11"/>
      <c r="J674" s="10"/>
      <c r="K674" s="10">
        <f>+I674*J674</f>
        <v>0</v>
      </c>
      <c r="L674" s="12"/>
      <c r="M674" s="11">
        <v>9.0121199999999995</v>
      </c>
      <c r="N674" s="10">
        <v>8</v>
      </c>
      <c r="O674" s="10">
        <f>+M674*N674</f>
        <v>72.096959999999996</v>
      </c>
      <c r="P674" s="12"/>
      <c r="Q674" s="46"/>
    </row>
    <row r="675" spans="1:17" x14ac:dyDescent="0.25">
      <c r="A675" s="15"/>
      <c r="B675" s="14"/>
      <c r="C675" s="13"/>
      <c r="D675" s="12"/>
      <c r="E675" s="11"/>
      <c r="F675" s="10"/>
      <c r="G675" s="10">
        <f>+E675*F675</f>
        <v>0</v>
      </c>
      <c r="H675" s="12"/>
      <c r="I675" s="11"/>
      <c r="J675" s="10"/>
      <c r="K675" s="10">
        <f>+I675*J675</f>
        <v>0</v>
      </c>
      <c r="L675" s="12"/>
      <c r="M675" s="11"/>
      <c r="N675" s="10"/>
      <c r="O675" s="10">
        <f>+M675*N675</f>
        <v>0</v>
      </c>
      <c r="P675" s="12"/>
      <c r="Q675" s="46"/>
    </row>
    <row r="676" spans="1:17" ht="15.75" thickBot="1" x14ac:dyDescent="0.3">
      <c r="Q676" s="46"/>
    </row>
    <row r="677" spans="1:17" ht="21" thickBot="1" x14ac:dyDescent="0.3">
      <c r="A677" s="64" t="s">
        <v>1</v>
      </c>
      <c r="B677" s="65"/>
      <c r="C677" s="66"/>
      <c r="D677" s="5"/>
      <c r="E677" s="9"/>
      <c r="F677" s="8"/>
      <c r="G677" s="7">
        <f>SUM(G665:G676)</f>
        <v>1741.5300000000002</v>
      </c>
      <c r="H677" s="5"/>
      <c r="I677" s="9"/>
      <c r="J677" s="8"/>
      <c r="K677" s="7">
        <f>SUM(K663:K675)</f>
        <v>774.39</v>
      </c>
      <c r="L677" s="5"/>
      <c r="M677" s="9"/>
      <c r="N677" s="8"/>
      <c r="O677" s="7">
        <f>SUM(O663:O675)</f>
        <v>1008.9574799999999</v>
      </c>
      <c r="P677" s="5"/>
      <c r="Q677" s="46"/>
    </row>
    <row r="678" spans="1:17" ht="21" thickBot="1" x14ac:dyDescent="0.3">
      <c r="A678" s="60" t="s">
        <v>0</v>
      </c>
      <c r="B678" s="61"/>
      <c r="C678" s="61"/>
      <c r="D678" s="5"/>
      <c r="E678" s="4"/>
      <c r="F678" s="3"/>
      <c r="G678" s="6">
        <f>+G677/E671</f>
        <v>117.59149223497637</v>
      </c>
      <c r="H678" s="5"/>
      <c r="I678" s="4"/>
      <c r="J678" s="3"/>
      <c r="K678" s="6">
        <f>+K677/I671</f>
        <v>34.417333333333332</v>
      </c>
      <c r="L678" s="5"/>
      <c r="M678" s="4"/>
      <c r="N678" s="3"/>
      <c r="O678" s="6">
        <f>+O677/M671</f>
        <v>112.10638666666665</v>
      </c>
      <c r="P678" s="5"/>
      <c r="Q678" s="46"/>
    </row>
    <row r="679" spans="1:17" x14ac:dyDescent="0.25">
      <c r="Q679" s="46"/>
    </row>
    <row r="680" spans="1:1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46"/>
    </row>
    <row r="681" spans="1:17" ht="15.75" thickBot="1" x14ac:dyDescent="0.3">
      <c r="Q681" s="46"/>
    </row>
    <row r="682" spans="1:17" ht="19.5" thickBot="1" x14ac:dyDescent="0.3">
      <c r="A682" s="20" t="s">
        <v>341</v>
      </c>
      <c r="B682" s="19" t="s">
        <v>340</v>
      </c>
      <c r="C682" s="18" t="s">
        <v>312</v>
      </c>
      <c r="Q682" s="46"/>
    </row>
    <row r="683" spans="1:17" ht="15.75" thickBot="1" x14ac:dyDescent="0.3">
      <c r="Q683" s="46"/>
    </row>
    <row r="684" spans="1:17" ht="16.5" thickBot="1" x14ac:dyDescent="0.3">
      <c r="A684" s="62" t="s">
        <v>11</v>
      </c>
      <c r="B684" s="63"/>
      <c r="C684" s="63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6"/>
      <c r="P684" s="17"/>
      <c r="Q684" s="46"/>
    </row>
    <row r="685" spans="1:17" x14ac:dyDescent="0.25">
      <c r="A685" s="15"/>
      <c r="B685" s="14" t="s">
        <v>339</v>
      </c>
      <c r="C685" s="13" t="s">
        <v>15</v>
      </c>
      <c r="D685" s="12"/>
      <c r="E685" s="11"/>
      <c r="F685" s="10"/>
      <c r="G685" s="10">
        <f>+E685*F685</f>
        <v>0</v>
      </c>
      <c r="H685" s="12"/>
      <c r="I685" s="11"/>
      <c r="J685" s="10"/>
      <c r="K685" s="10">
        <f>+I685*J685</f>
        <v>0</v>
      </c>
      <c r="L685" s="12"/>
      <c r="M685" s="11">
        <v>1</v>
      </c>
      <c r="N685" s="10">
        <v>4.57</v>
      </c>
      <c r="O685" s="10">
        <f>+M685*N685</f>
        <v>4.57</v>
      </c>
      <c r="P685" s="12"/>
      <c r="Q685" s="46"/>
    </row>
    <row r="686" spans="1:17" x14ac:dyDescent="0.25">
      <c r="A686" s="15"/>
      <c r="B686" s="14" t="s">
        <v>307</v>
      </c>
      <c r="C686" s="13" t="s">
        <v>8</v>
      </c>
      <c r="D686" s="12"/>
      <c r="E686" s="11">
        <v>3</v>
      </c>
      <c r="F686" s="10">
        <v>6.67</v>
      </c>
      <c r="G686" s="10">
        <f t="shared" ref="G686:G691" si="30">+E686*F686</f>
        <v>20.009999999999998</v>
      </c>
      <c r="H686" s="12"/>
      <c r="I686" s="11"/>
      <c r="J686" s="10"/>
      <c r="K686" s="10">
        <f t="shared" ref="K686:K691" si="31">+I686*J686</f>
        <v>0</v>
      </c>
      <c r="L686" s="12"/>
      <c r="M686" s="11">
        <v>2</v>
      </c>
      <c r="N686" s="10">
        <v>6.7</v>
      </c>
      <c r="O686" s="10">
        <f t="shared" ref="O686:O691" si="32">+M686*N686</f>
        <v>13.4</v>
      </c>
      <c r="P686" s="12"/>
      <c r="Q686" s="46"/>
    </row>
    <row r="687" spans="1:17" ht="30" x14ac:dyDescent="0.25">
      <c r="A687" s="15"/>
      <c r="B687" s="14" t="s">
        <v>229</v>
      </c>
      <c r="C687" s="13" t="s">
        <v>15</v>
      </c>
      <c r="D687" s="12"/>
      <c r="E687" s="11">
        <v>1</v>
      </c>
      <c r="F687" s="10">
        <v>5.59</v>
      </c>
      <c r="G687" s="10">
        <f t="shared" si="30"/>
        <v>5.59</v>
      </c>
      <c r="H687" s="12"/>
      <c r="I687" s="11"/>
      <c r="J687" s="10"/>
      <c r="K687" s="10">
        <f t="shared" si="31"/>
        <v>0</v>
      </c>
      <c r="L687" s="12"/>
      <c r="M687" s="11">
        <v>53</v>
      </c>
      <c r="N687" s="10">
        <v>71</v>
      </c>
      <c r="O687" s="10">
        <f t="shared" si="32"/>
        <v>3763</v>
      </c>
      <c r="P687" s="12"/>
      <c r="Q687" s="46"/>
    </row>
    <row r="688" spans="1:17" ht="30" x14ac:dyDescent="0.25">
      <c r="A688" s="15"/>
      <c r="B688" s="14" t="s">
        <v>47</v>
      </c>
      <c r="C688" s="13" t="s">
        <v>42</v>
      </c>
      <c r="D688" s="12"/>
      <c r="E688" s="11">
        <v>8.83</v>
      </c>
      <c r="F688" s="10">
        <v>71</v>
      </c>
      <c r="G688" s="10">
        <f t="shared" si="30"/>
        <v>626.92999999999995</v>
      </c>
      <c r="H688" s="12"/>
      <c r="I688" s="11"/>
      <c r="J688" s="10"/>
      <c r="K688" s="10">
        <f t="shared" si="31"/>
        <v>0</v>
      </c>
      <c r="L688" s="12"/>
      <c r="M688" s="11">
        <v>0.32</v>
      </c>
      <c r="N688" s="10">
        <v>12.5</v>
      </c>
      <c r="O688" s="10">
        <f t="shared" si="32"/>
        <v>4</v>
      </c>
      <c r="P688" s="12"/>
      <c r="Q688" s="46"/>
    </row>
    <row r="689" spans="1:17" ht="18" x14ac:dyDescent="0.25">
      <c r="A689" s="15"/>
      <c r="B689" s="14" t="s">
        <v>7</v>
      </c>
      <c r="C689" s="13" t="s">
        <v>42</v>
      </c>
      <c r="D689" s="12"/>
      <c r="E689" s="11">
        <v>0.4</v>
      </c>
      <c r="F689" s="10">
        <v>12.28</v>
      </c>
      <c r="G689" s="10">
        <f t="shared" si="30"/>
        <v>4.9119999999999999</v>
      </c>
      <c r="H689" s="12"/>
      <c r="I689" s="11"/>
      <c r="J689" s="10"/>
      <c r="K689" s="10">
        <f t="shared" si="31"/>
        <v>0</v>
      </c>
      <c r="L689" s="12"/>
      <c r="M689" s="11"/>
      <c r="N689" s="10"/>
      <c r="O689" s="10">
        <f t="shared" si="32"/>
        <v>0</v>
      </c>
      <c r="P689" s="12"/>
      <c r="Q689" s="46"/>
    </row>
    <row r="690" spans="1:17" ht="18" x14ac:dyDescent="0.25">
      <c r="A690" s="15"/>
      <c r="B690" s="14" t="s">
        <v>331</v>
      </c>
      <c r="C690" s="13" t="s">
        <v>42</v>
      </c>
      <c r="D690" s="12"/>
      <c r="E690" s="11">
        <v>1.5</v>
      </c>
      <c r="F690" s="10">
        <v>10</v>
      </c>
      <c r="G690" s="10">
        <f t="shared" si="30"/>
        <v>15</v>
      </c>
      <c r="H690" s="12"/>
      <c r="I690" s="11"/>
      <c r="J690" s="10"/>
      <c r="K690" s="10">
        <f t="shared" si="31"/>
        <v>0</v>
      </c>
      <c r="L690" s="12"/>
      <c r="M690" s="11"/>
      <c r="N690" s="10"/>
      <c r="O690" s="10">
        <f t="shared" si="32"/>
        <v>0</v>
      </c>
      <c r="P690" s="12"/>
      <c r="Q690" s="46"/>
    </row>
    <row r="691" spans="1:17" ht="15.75" thickBot="1" x14ac:dyDescent="0.3">
      <c r="A691" s="15"/>
      <c r="B691" s="14"/>
      <c r="C691" s="13"/>
      <c r="D691" s="12"/>
      <c r="E691" s="11"/>
      <c r="F691" s="10"/>
      <c r="G691" s="10">
        <f t="shared" si="30"/>
        <v>0</v>
      </c>
      <c r="H691" s="12"/>
      <c r="I691" s="11"/>
      <c r="J691" s="10"/>
      <c r="K691" s="10">
        <f t="shared" si="31"/>
        <v>0</v>
      </c>
      <c r="L691" s="12"/>
      <c r="M691" s="11"/>
      <c r="N691" s="10"/>
      <c r="O691" s="10">
        <f t="shared" si="32"/>
        <v>0</v>
      </c>
      <c r="P691" s="12"/>
      <c r="Q691" s="46"/>
    </row>
    <row r="692" spans="1:17" ht="16.5" thickBot="1" x14ac:dyDescent="0.3">
      <c r="A692" s="62" t="s">
        <v>5</v>
      </c>
      <c r="B692" s="63"/>
      <c r="C692" s="63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6"/>
      <c r="P692" s="17"/>
      <c r="Q692" s="46"/>
    </row>
    <row r="693" spans="1:17" ht="18" x14ac:dyDescent="0.25">
      <c r="A693" s="15"/>
      <c r="B693" s="14" t="s">
        <v>338</v>
      </c>
      <c r="C693" s="13" t="s">
        <v>42</v>
      </c>
      <c r="D693" s="12"/>
      <c r="E693" s="11">
        <v>8.83</v>
      </c>
      <c r="F693" s="42">
        <v>33</v>
      </c>
      <c r="G693" s="10">
        <f>+E693*F693</f>
        <v>291.39</v>
      </c>
      <c r="H693" s="12"/>
      <c r="I693" s="11"/>
      <c r="J693" s="10"/>
      <c r="K693" s="10">
        <f>+I693*J693</f>
        <v>0</v>
      </c>
      <c r="L693" s="12"/>
      <c r="M693" s="11">
        <v>53</v>
      </c>
      <c r="N693" s="10">
        <v>33</v>
      </c>
      <c r="O693" s="10">
        <f>+M693*N693</f>
        <v>1749</v>
      </c>
      <c r="P693" s="12"/>
      <c r="Q693" s="46"/>
    </row>
    <row r="694" spans="1:17" ht="15.75" thickBot="1" x14ac:dyDescent="0.3">
      <c r="A694" s="15"/>
      <c r="B694" s="14"/>
      <c r="C694" s="13"/>
      <c r="D694" s="12"/>
      <c r="E694" s="11"/>
      <c r="F694" s="10"/>
      <c r="G694" s="10">
        <f>+E694*F694</f>
        <v>0</v>
      </c>
      <c r="H694" s="12"/>
      <c r="I694" s="11"/>
      <c r="J694" s="10"/>
      <c r="K694" s="10">
        <f>+I694*J694</f>
        <v>0</v>
      </c>
      <c r="L694" s="12"/>
      <c r="M694" s="11"/>
      <c r="N694" s="10"/>
      <c r="O694" s="10">
        <f>+M694*N694</f>
        <v>0</v>
      </c>
      <c r="P694" s="12"/>
      <c r="Q694" s="46"/>
    </row>
    <row r="695" spans="1:17" ht="16.5" thickBot="1" x14ac:dyDescent="0.3">
      <c r="A695" s="62" t="s">
        <v>2</v>
      </c>
      <c r="B695" s="63"/>
      <c r="C695" s="63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6"/>
      <c r="P695" s="17"/>
      <c r="Q695" s="46"/>
    </row>
    <row r="696" spans="1:17" x14ac:dyDescent="0.25">
      <c r="A696" s="15"/>
      <c r="B696" s="14" t="s">
        <v>41</v>
      </c>
      <c r="C696" s="13" t="s">
        <v>15</v>
      </c>
      <c r="D696" s="12"/>
      <c r="E696" s="11">
        <v>1</v>
      </c>
      <c r="F696" s="10">
        <v>17.86</v>
      </c>
      <c r="G696" s="10">
        <f>+E696*F696</f>
        <v>17.86</v>
      </c>
      <c r="H696" s="12"/>
      <c r="I696" s="11"/>
      <c r="J696" s="10"/>
      <c r="K696" s="10">
        <f>+I696*J696</f>
        <v>0</v>
      </c>
      <c r="L696" s="12"/>
      <c r="M696" s="11">
        <v>5.0011200000000002</v>
      </c>
      <c r="N696" s="10">
        <v>17.86</v>
      </c>
      <c r="O696" s="10">
        <f>+M696*N696</f>
        <v>89.320003200000002</v>
      </c>
      <c r="P696" s="12"/>
      <c r="Q696" s="55">
        <f>+(E696+M696)/($E$693+$M$693)</f>
        <v>9.7058385896813856E-2</v>
      </c>
    </row>
    <row r="697" spans="1:17" ht="18" x14ac:dyDescent="0.25">
      <c r="A697" s="15"/>
      <c r="B697" s="14" t="s">
        <v>315</v>
      </c>
      <c r="C697" s="13" t="s">
        <v>42</v>
      </c>
      <c r="D697" s="12"/>
      <c r="E697" s="11">
        <v>18.760000000000002</v>
      </c>
      <c r="F697" s="10">
        <v>8</v>
      </c>
      <c r="G697" s="10">
        <f>+E697*F697</f>
        <v>150.08000000000001</v>
      </c>
      <c r="H697" s="12"/>
      <c r="I697" s="11"/>
      <c r="J697" s="10"/>
      <c r="K697" s="10">
        <f>+I697*J697</f>
        <v>0</v>
      </c>
      <c r="L697" s="12"/>
      <c r="M697" s="11">
        <v>53</v>
      </c>
      <c r="N697" s="10">
        <v>8</v>
      </c>
      <c r="O697" s="10">
        <f>+M697*N697</f>
        <v>424</v>
      </c>
      <c r="P697" s="12"/>
      <c r="Q697" s="46"/>
    </row>
    <row r="698" spans="1:17" ht="30" x14ac:dyDescent="0.25">
      <c r="A698" s="15"/>
      <c r="B698" s="14" t="s">
        <v>320</v>
      </c>
      <c r="C698" s="13" t="s">
        <v>42</v>
      </c>
      <c r="D698" s="12"/>
      <c r="E698" s="11">
        <v>5.5</v>
      </c>
      <c r="F698" s="10">
        <v>8</v>
      </c>
      <c r="G698" s="10">
        <f>+E698*F698</f>
        <v>44</v>
      </c>
      <c r="H698" s="12"/>
      <c r="I698" s="11"/>
      <c r="J698" s="10"/>
      <c r="K698" s="10">
        <f>+I698*J698</f>
        <v>0</v>
      </c>
      <c r="L698" s="12"/>
      <c r="M698" s="11"/>
      <c r="N698" s="10"/>
      <c r="O698" s="10">
        <f>+M698*N698</f>
        <v>0</v>
      </c>
      <c r="P698" s="12"/>
      <c r="Q698" s="46"/>
    </row>
    <row r="699" spans="1:17" x14ac:dyDescent="0.25">
      <c r="A699" s="15"/>
      <c r="B699" s="14"/>
      <c r="C699" s="13"/>
      <c r="D699" s="12"/>
      <c r="E699" s="11"/>
      <c r="F699" s="10"/>
      <c r="G699" s="10">
        <f>+E699*F699</f>
        <v>0</v>
      </c>
      <c r="H699" s="12"/>
      <c r="I699" s="11"/>
      <c r="J699" s="10"/>
      <c r="K699" s="10">
        <f>+I699*J699</f>
        <v>0</v>
      </c>
      <c r="L699" s="12"/>
      <c r="M699" s="11"/>
      <c r="N699" s="10"/>
      <c r="O699" s="10">
        <f>+M699*N699</f>
        <v>0</v>
      </c>
      <c r="P699" s="12"/>
      <c r="Q699" s="46"/>
    </row>
    <row r="700" spans="1:17" ht="15.75" thickBot="1" x14ac:dyDescent="0.3">
      <c r="Q700" s="46"/>
    </row>
    <row r="701" spans="1:17" ht="21" thickBot="1" x14ac:dyDescent="0.3">
      <c r="A701" s="64" t="s">
        <v>1</v>
      </c>
      <c r="B701" s="65"/>
      <c r="C701" s="66"/>
      <c r="D701" s="5"/>
      <c r="E701" s="9"/>
      <c r="F701" s="8"/>
      <c r="G701" s="7">
        <f>SUM(G684:G700)</f>
        <v>1175.7719999999999</v>
      </c>
      <c r="H701" s="5"/>
      <c r="I701" s="9"/>
      <c r="J701" s="8"/>
      <c r="K701" s="7">
        <f>SUM(K682:K699)</f>
        <v>0</v>
      </c>
      <c r="L701" s="5"/>
      <c r="M701" s="9"/>
      <c r="N701" s="8"/>
      <c r="O701" s="7">
        <f>SUM(O682:O699)</f>
        <v>6047.2900031999998</v>
      </c>
      <c r="P701" s="5"/>
      <c r="Q701" s="46"/>
    </row>
    <row r="702" spans="1:17" ht="21" thickBot="1" x14ac:dyDescent="0.3">
      <c r="A702" s="60" t="s">
        <v>0</v>
      </c>
      <c r="B702" s="61"/>
      <c r="C702" s="61"/>
      <c r="D702" s="5"/>
      <c r="E702" s="4"/>
      <c r="F702" s="3"/>
      <c r="G702" s="6">
        <f>+G701/E693</f>
        <v>133.15651189127971</v>
      </c>
      <c r="H702" s="5"/>
      <c r="I702" s="4"/>
      <c r="J702" s="3"/>
      <c r="K702" s="6" t="e">
        <f>+K701/I693</f>
        <v>#DIV/0!</v>
      </c>
      <c r="L702" s="5"/>
      <c r="M702" s="4"/>
      <c r="N702" s="3"/>
      <c r="O702" s="6">
        <f>+O701/M693</f>
        <v>114.09981138113207</v>
      </c>
      <c r="P702" s="5"/>
      <c r="Q702" s="46"/>
    </row>
    <row r="703" spans="1:17" x14ac:dyDescent="0.25">
      <c r="Q703" s="46"/>
    </row>
    <row r="704" spans="1:1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46"/>
    </row>
    <row r="705" spans="1:17" ht="15.75" thickBot="1" x14ac:dyDescent="0.3">
      <c r="Q705" s="46"/>
    </row>
    <row r="706" spans="1:17" ht="32.25" thickBot="1" x14ac:dyDescent="0.3">
      <c r="A706" s="20" t="s">
        <v>337</v>
      </c>
      <c r="B706" s="19" t="s">
        <v>336</v>
      </c>
      <c r="C706" s="18" t="s">
        <v>312</v>
      </c>
      <c r="Q706" s="46"/>
    </row>
    <row r="707" spans="1:17" ht="15.75" thickBot="1" x14ac:dyDescent="0.3">
      <c r="Q707" s="46"/>
    </row>
    <row r="708" spans="1:17" ht="16.5" thickBot="1" x14ac:dyDescent="0.3">
      <c r="A708" s="62" t="s">
        <v>11</v>
      </c>
      <c r="B708" s="63"/>
      <c r="C708" s="63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6"/>
      <c r="P708" s="17"/>
      <c r="Q708" s="46"/>
    </row>
    <row r="709" spans="1:17" ht="30" x14ac:dyDescent="0.25">
      <c r="A709" s="15"/>
      <c r="B709" s="14" t="s">
        <v>9</v>
      </c>
      <c r="C709" s="13" t="s">
        <v>8</v>
      </c>
      <c r="D709" s="12"/>
      <c r="E709" s="11"/>
      <c r="F709" s="10"/>
      <c r="G709" s="10">
        <f t="shared" ref="G709:G714" si="33">+E709*F709</f>
        <v>0</v>
      </c>
      <c r="H709" s="12"/>
      <c r="I709" s="11"/>
      <c r="J709" s="10"/>
      <c r="K709" s="10">
        <f t="shared" ref="K709:K714" si="34">+I709*J709</f>
        <v>0</v>
      </c>
      <c r="L709" s="12"/>
      <c r="M709" s="11">
        <v>14</v>
      </c>
      <c r="N709" s="10">
        <v>6.72</v>
      </c>
      <c r="O709" s="10">
        <f t="shared" ref="O709:O714" si="35">+M709*N709</f>
        <v>94.08</v>
      </c>
      <c r="P709" s="12"/>
      <c r="Q709" s="46"/>
    </row>
    <row r="710" spans="1:17" ht="30" x14ac:dyDescent="0.25">
      <c r="A710" s="15"/>
      <c r="B710" s="14" t="s">
        <v>47</v>
      </c>
      <c r="C710" s="13" t="s">
        <v>42</v>
      </c>
      <c r="D710" s="12"/>
      <c r="E710" s="11">
        <v>2</v>
      </c>
      <c r="F710" s="10">
        <v>71</v>
      </c>
      <c r="G710" s="10">
        <f t="shared" si="33"/>
        <v>142</v>
      </c>
      <c r="H710" s="12"/>
      <c r="I710" s="11">
        <v>8.61</v>
      </c>
      <c r="J710" s="10">
        <v>71</v>
      </c>
      <c r="K710" s="10">
        <f t="shared" si="34"/>
        <v>611.30999999999995</v>
      </c>
      <c r="L710" s="12"/>
      <c r="M710" s="11">
        <v>7</v>
      </c>
      <c r="N710" s="10">
        <v>71</v>
      </c>
      <c r="O710" s="10">
        <f t="shared" si="35"/>
        <v>497</v>
      </c>
      <c r="P710" s="12"/>
      <c r="Q710" s="46"/>
    </row>
    <row r="711" spans="1:17" x14ac:dyDescent="0.25">
      <c r="A711" s="15"/>
      <c r="B711" s="14" t="s">
        <v>7</v>
      </c>
      <c r="C711" s="13" t="s">
        <v>6</v>
      </c>
      <c r="D711" s="12"/>
      <c r="E711" s="11"/>
      <c r="F711" s="10"/>
      <c r="G711" s="10">
        <f t="shared" si="33"/>
        <v>0</v>
      </c>
      <c r="H711" s="12"/>
      <c r="I711" s="11"/>
      <c r="J711" s="10"/>
      <c r="K711" s="10">
        <f t="shared" si="34"/>
        <v>0</v>
      </c>
      <c r="L711" s="12"/>
      <c r="M711" s="11">
        <v>1.44</v>
      </c>
      <c r="N711" s="10">
        <v>12.5</v>
      </c>
      <c r="O711" s="10">
        <f t="shared" si="35"/>
        <v>18</v>
      </c>
      <c r="P711" s="12"/>
      <c r="Q711" s="46"/>
    </row>
    <row r="712" spans="1:17" ht="18" x14ac:dyDescent="0.25">
      <c r="A712" s="15"/>
      <c r="B712" s="14" t="s">
        <v>331</v>
      </c>
      <c r="C712" s="13" t="s">
        <v>42</v>
      </c>
      <c r="D712" s="12"/>
      <c r="E712" s="11">
        <v>3.5</v>
      </c>
      <c r="F712" s="10">
        <v>10</v>
      </c>
      <c r="G712" s="10">
        <f t="shared" si="33"/>
        <v>35</v>
      </c>
      <c r="H712" s="12"/>
      <c r="I712" s="11"/>
      <c r="J712" s="10"/>
      <c r="K712" s="10">
        <f t="shared" si="34"/>
        <v>0</v>
      </c>
      <c r="L712" s="12"/>
      <c r="M712" s="11"/>
      <c r="N712" s="10"/>
      <c r="O712" s="10">
        <f t="shared" si="35"/>
        <v>0</v>
      </c>
      <c r="P712" s="12"/>
      <c r="Q712" s="46"/>
    </row>
    <row r="713" spans="1:17" x14ac:dyDescent="0.25">
      <c r="A713" s="15"/>
      <c r="B713" s="14" t="s">
        <v>212</v>
      </c>
      <c r="C713" s="13" t="s">
        <v>6</v>
      </c>
      <c r="D713" s="12"/>
      <c r="E713" s="11"/>
      <c r="F713" s="10"/>
      <c r="G713" s="10">
        <f t="shared" si="33"/>
        <v>0</v>
      </c>
      <c r="H713" s="12"/>
      <c r="I713" s="11"/>
      <c r="J713" s="10"/>
      <c r="K713" s="10">
        <f t="shared" si="34"/>
        <v>0</v>
      </c>
      <c r="L713" s="12"/>
      <c r="M713" s="11">
        <v>1.44</v>
      </c>
      <c r="N713" s="10">
        <v>12.5</v>
      </c>
      <c r="O713" s="10">
        <f t="shared" si="35"/>
        <v>18</v>
      </c>
      <c r="P713" s="12"/>
      <c r="Q713" s="46"/>
    </row>
    <row r="714" spans="1:17" ht="15.75" thickBot="1" x14ac:dyDescent="0.3">
      <c r="A714" s="15"/>
      <c r="B714" s="14"/>
      <c r="C714" s="13"/>
      <c r="D714" s="12"/>
      <c r="E714" s="11"/>
      <c r="F714" s="10"/>
      <c r="G714" s="10">
        <f t="shared" si="33"/>
        <v>0</v>
      </c>
      <c r="H714" s="12"/>
      <c r="I714" s="11"/>
      <c r="J714" s="10"/>
      <c r="K714" s="10">
        <f t="shared" si="34"/>
        <v>0</v>
      </c>
      <c r="L714" s="12"/>
      <c r="M714" s="11"/>
      <c r="N714" s="10"/>
      <c r="O714" s="10">
        <f t="shared" si="35"/>
        <v>0</v>
      </c>
      <c r="P714" s="12"/>
      <c r="Q714" s="46"/>
    </row>
    <row r="715" spans="1:17" ht="16.5" thickBot="1" x14ac:dyDescent="0.3">
      <c r="A715" s="62" t="s">
        <v>5</v>
      </c>
      <c r="B715" s="63"/>
      <c r="C715" s="63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6"/>
      <c r="P715" s="17"/>
      <c r="Q715" s="46"/>
    </row>
    <row r="716" spans="1:17" ht="30" x14ac:dyDescent="0.25">
      <c r="A716" s="15"/>
      <c r="B716" s="14" t="s">
        <v>335</v>
      </c>
      <c r="C716" s="13" t="s">
        <v>42</v>
      </c>
      <c r="D716" s="12"/>
      <c r="E716" s="11">
        <v>6.5</v>
      </c>
      <c r="F716" s="42">
        <v>33</v>
      </c>
      <c r="G716" s="10">
        <f>+E716*F716</f>
        <v>214.5</v>
      </c>
      <c r="H716" s="12"/>
      <c r="I716" s="11">
        <v>8.61</v>
      </c>
      <c r="J716" s="10">
        <v>33</v>
      </c>
      <c r="K716" s="10">
        <f>+I716*J716</f>
        <v>284.13</v>
      </c>
      <c r="L716" s="12"/>
      <c r="M716" s="11">
        <v>7</v>
      </c>
      <c r="N716" s="10">
        <v>33</v>
      </c>
      <c r="O716" s="10">
        <f>+M716*N716</f>
        <v>231</v>
      </c>
      <c r="P716" s="12"/>
      <c r="Q716" s="46"/>
    </row>
    <row r="717" spans="1:17" ht="15.75" thickBot="1" x14ac:dyDescent="0.3">
      <c r="A717" s="15"/>
      <c r="B717" s="14"/>
      <c r="C717" s="13"/>
      <c r="D717" s="12"/>
      <c r="E717" s="11"/>
      <c r="F717" s="10"/>
      <c r="G717" s="10">
        <f>+E717*F717</f>
        <v>0</v>
      </c>
      <c r="H717" s="12"/>
      <c r="I717" s="11"/>
      <c r="J717" s="10"/>
      <c r="K717" s="10">
        <f>+I717*J717</f>
        <v>0</v>
      </c>
      <c r="L717" s="12"/>
      <c r="M717" s="11"/>
      <c r="N717" s="10"/>
      <c r="O717" s="10">
        <f>+M717*N717</f>
        <v>0</v>
      </c>
      <c r="P717" s="12"/>
      <c r="Q717" s="46"/>
    </row>
    <row r="718" spans="1:17" ht="16.5" thickBot="1" x14ac:dyDescent="0.3">
      <c r="A718" s="62" t="s">
        <v>2</v>
      </c>
      <c r="B718" s="63"/>
      <c r="C718" s="63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6"/>
      <c r="P718" s="17"/>
      <c r="Q718" s="46"/>
    </row>
    <row r="719" spans="1:17" x14ac:dyDescent="0.25">
      <c r="A719" s="15"/>
      <c r="B719" s="14" t="s">
        <v>41</v>
      </c>
      <c r="C719" s="13" t="s">
        <v>15</v>
      </c>
      <c r="D719" s="12"/>
      <c r="E719" s="11">
        <v>1.9997199999999999</v>
      </c>
      <c r="F719" s="10">
        <v>17.86</v>
      </c>
      <c r="G719" s="10">
        <f>+E719*F719</f>
        <v>35.714999200000001</v>
      </c>
      <c r="H719" s="12"/>
      <c r="I719" s="11">
        <v>3</v>
      </c>
      <c r="J719" s="10">
        <v>17.86</v>
      </c>
      <c r="K719" s="10">
        <f>+I719*J719</f>
        <v>53.58</v>
      </c>
      <c r="L719" s="12"/>
      <c r="M719" s="11">
        <v>2</v>
      </c>
      <c r="N719" s="10">
        <v>17.86</v>
      </c>
      <c r="O719" s="10">
        <f>+M719*N719</f>
        <v>35.72</v>
      </c>
      <c r="P719" s="12"/>
      <c r="Q719" s="55">
        <f>+(E719+I719+M719)/(E716+I716+M716)</f>
        <v>0.31658616010854818</v>
      </c>
    </row>
    <row r="720" spans="1:17" ht="18" x14ac:dyDescent="0.25">
      <c r="A720" s="15"/>
      <c r="B720" s="14" t="s">
        <v>315</v>
      </c>
      <c r="C720" s="13" t="s">
        <v>42</v>
      </c>
      <c r="D720" s="12"/>
      <c r="E720" s="11">
        <v>3.5</v>
      </c>
      <c r="F720" s="10">
        <v>8</v>
      </c>
      <c r="G720" s="10">
        <f>+E720*F720</f>
        <v>28</v>
      </c>
      <c r="H720" s="12"/>
      <c r="I720" s="11"/>
      <c r="J720" s="10"/>
      <c r="K720" s="10">
        <f>+I720*J720</f>
        <v>0</v>
      </c>
      <c r="L720" s="12"/>
      <c r="M720" s="11">
        <v>10</v>
      </c>
      <c r="N720" s="10">
        <v>8</v>
      </c>
      <c r="O720" s="10">
        <f>+M720*N720</f>
        <v>80</v>
      </c>
      <c r="P720" s="12"/>
      <c r="Q720" s="46"/>
    </row>
    <row r="721" spans="1:17" ht="30" x14ac:dyDescent="0.25">
      <c r="A721" s="15"/>
      <c r="B721" s="14" t="s">
        <v>320</v>
      </c>
      <c r="C721" s="13" t="s">
        <v>42</v>
      </c>
      <c r="D721" s="12"/>
      <c r="E721" s="11">
        <v>6.5</v>
      </c>
      <c r="F721" s="10">
        <v>8</v>
      </c>
      <c r="G721" s="10">
        <f>+E721*F721</f>
        <v>52</v>
      </c>
      <c r="H721" s="12"/>
      <c r="I721" s="11"/>
      <c r="J721" s="10"/>
      <c r="K721" s="10">
        <f>+I721*J721</f>
        <v>0</v>
      </c>
      <c r="L721" s="12"/>
      <c r="M721" s="11"/>
      <c r="N721" s="10"/>
      <c r="O721" s="10">
        <f>+M721*N721</f>
        <v>0</v>
      </c>
      <c r="P721" s="12"/>
      <c r="Q721" s="46"/>
    </row>
    <row r="722" spans="1:17" x14ac:dyDescent="0.25">
      <c r="A722" s="15"/>
      <c r="B722" s="14"/>
      <c r="C722" s="13"/>
      <c r="D722" s="12"/>
      <c r="E722" s="11"/>
      <c r="F722" s="10"/>
      <c r="G722" s="10">
        <f>+E722*F722</f>
        <v>0</v>
      </c>
      <c r="H722" s="12"/>
      <c r="I722" s="11"/>
      <c r="J722" s="10"/>
      <c r="K722" s="10">
        <f>+I722*J722</f>
        <v>0</v>
      </c>
      <c r="L722" s="12"/>
      <c r="M722" s="11"/>
      <c r="N722" s="10"/>
      <c r="O722" s="10">
        <f>+M722*N722</f>
        <v>0</v>
      </c>
      <c r="P722" s="12"/>
      <c r="Q722" s="46"/>
    </row>
    <row r="723" spans="1:17" ht="15.75" thickBot="1" x14ac:dyDescent="0.3">
      <c r="Q723" s="46"/>
    </row>
    <row r="724" spans="1:17" ht="21" thickBot="1" x14ac:dyDescent="0.3">
      <c r="A724" s="64" t="s">
        <v>1</v>
      </c>
      <c r="B724" s="65"/>
      <c r="C724" s="66"/>
      <c r="D724" s="5"/>
      <c r="E724" s="9"/>
      <c r="F724" s="8"/>
      <c r="G724" s="7">
        <f>SUM(G708:G723)</f>
        <v>507.21499920000002</v>
      </c>
      <c r="H724" s="5"/>
      <c r="I724" s="9"/>
      <c r="J724" s="8"/>
      <c r="K724" s="7">
        <f>SUM(K706:K722)</f>
        <v>949.02</v>
      </c>
      <c r="L724" s="5"/>
      <c r="M724" s="9"/>
      <c r="N724" s="8"/>
      <c r="O724" s="7">
        <f>SUM(O706:O722)</f>
        <v>973.80000000000007</v>
      </c>
      <c r="P724" s="5"/>
      <c r="Q724" s="46"/>
    </row>
    <row r="725" spans="1:17" ht="21" thickBot="1" x14ac:dyDescent="0.3">
      <c r="A725" s="60" t="s">
        <v>0</v>
      </c>
      <c r="B725" s="61"/>
      <c r="C725" s="61"/>
      <c r="D725" s="5"/>
      <c r="E725" s="4"/>
      <c r="F725" s="3"/>
      <c r="G725" s="6">
        <f>+G724/E716</f>
        <v>78.033076800000003</v>
      </c>
      <c r="H725" s="5"/>
      <c r="I725" s="4"/>
      <c r="J725" s="3"/>
      <c r="K725" s="6">
        <f>+K724/I716</f>
        <v>110.22299651567944</v>
      </c>
      <c r="L725" s="5"/>
      <c r="M725" s="4"/>
      <c r="N725" s="3"/>
      <c r="O725" s="6">
        <f>+O724/M716</f>
        <v>139.11428571428573</v>
      </c>
      <c r="P725" s="5"/>
      <c r="Q725" s="46"/>
    </row>
    <row r="726" spans="1:17" x14ac:dyDescent="0.25">
      <c r="Q726" s="46"/>
    </row>
    <row r="727" spans="1:1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46"/>
    </row>
    <row r="728" spans="1:17" ht="15.75" thickBot="1" x14ac:dyDescent="0.3">
      <c r="Q728" s="46"/>
    </row>
    <row r="729" spans="1:17" ht="32.25" thickBot="1" x14ac:dyDescent="0.3">
      <c r="A729" s="20" t="s">
        <v>333</v>
      </c>
      <c r="B729" s="19" t="s">
        <v>332</v>
      </c>
      <c r="C729" s="18" t="s">
        <v>312</v>
      </c>
      <c r="Q729" s="46"/>
    </row>
    <row r="730" spans="1:17" ht="15.75" thickBot="1" x14ac:dyDescent="0.3">
      <c r="Q730" s="46"/>
    </row>
    <row r="731" spans="1:17" ht="16.5" thickBot="1" x14ac:dyDescent="0.3">
      <c r="A731" s="62" t="s">
        <v>11</v>
      </c>
      <c r="B731" s="63"/>
      <c r="C731" s="63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6"/>
      <c r="P731" s="17"/>
      <c r="Q731" s="46"/>
    </row>
    <row r="732" spans="1:17" x14ac:dyDescent="0.25">
      <c r="A732" s="15"/>
      <c r="B732" s="14" t="s">
        <v>244</v>
      </c>
      <c r="C732" s="13" t="s">
        <v>15</v>
      </c>
      <c r="D732" s="12"/>
      <c r="E732" s="11"/>
      <c r="F732" s="10"/>
      <c r="G732" s="10">
        <f>+E732*F732</f>
        <v>0</v>
      </c>
      <c r="H732" s="12"/>
      <c r="I732" s="11">
        <v>1</v>
      </c>
      <c r="J732" s="10">
        <v>1.23</v>
      </c>
      <c r="K732" s="10">
        <f>+I732*J732</f>
        <v>1.23</v>
      </c>
      <c r="L732" s="12"/>
      <c r="M732" s="11"/>
      <c r="N732" s="10"/>
      <c r="O732" s="10">
        <f>+M732*N732</f>
        <v>0</v>
      </c>
      <c r="P732" s="12"/>
      <c r="Q732" s="46"/>
    </row>
    <row r="733" spans="1:17" x14ac:dyDescent="0.25">
      <c r="A733" s="15"/>
      <c r="B733" s="14" t="s">
        <v>307</v>
      </c>
      <c r="C733" s="13" t="s">
        <v>8</v>
      </c>
      <c r="D733" s="12"/>
      <c r="E733" s="11">
        <v>14</v>
      </c>
      <c r="F733" s="10">
        <v>6.6710000000000003</v>
      </c>
      <c r="G733" s="10">
        <f t="shared" ref="G733:G738" si="36">+E733*F733</f>
        <v>93.394000000000005</v>
      </c>
      <c r="H733" s="12"/>
      <c r="I733" s="11">
        <v>4</v>
      </c>
      <c r="J733" s="10">
        <v>6.7</v>
      </c>
      <c r="K733" s="10">
        <f t="shared" ref="K733:K738" si="37">+I733*J733</f>
        <v>26.8</v>
      </c>
      <c r="L733" s="12"/>
      <c r="M733" s="11">
        <v>18</v>
      </c>
      <c r="N733" s="10">
        <v>6.77</v>
      </c>
      <c r="O733" s="10">
        <f t="shared" ref="O733:O738" si="38">+M733*N733</f>
        <v>121.85999999999999</v>
      </c>
      <c r="P733" s="12"/>
      <c r="Q733" s="46"/>
    </row>
    <row r="734" spans="1:17" ht="30" x14ac:dyDescent="0.25">
      <c r="A734" s="15"/>
      <c r="B734" s="14" t="s">
        <v>47</v>
      </c>
      <c r="C734" s="13" t="s">
        <v>42</v>
      </c>
      <c r="D734" s="12"/>
      <c r="E734" s="11">
        <v>8.17</v>
      </c>
      <c r="F734" s="10">
        <v>71</v>
      </c>
      <c r="G734" s="10">
        <f t="shared" si="36"/>
        <v>580.07000000000005</v>
      </c>
      <c r="H734" s="12"/>
      <c r="I734" s="11">
        <v>10.5</v>
      </c>
      <c r="J734" s="10">
        <v>71</v>
      </c>
      <c r="K734" s="10">
        <f t="shared" si="37"/>
        <v>745.5</v>
      </c>
      <c r="L734" s="12"/>
      <c r="M734" s="11">
        <v>1</v>
      </c>
      <c r="N734" s="10">
        <v>71</v>
      </c>
      <c r="O734" s="10">
        <f t="shared" si="38"/>
        <v>71</v>
      </c>
      <c r="P734" s="12"/>
      <c r="Q734" s="46"/>
    </row>
    <row r="735" spans="1:17" ht="18" x14ac:dyDescent="0.25">
      <c r="A735" s="15"/>
      <c r="B735" s="14" t="s">
        <v>7</v>
      </c>
      <c r="C735" s="13" t="s">
        <v>42</v>
      </c>
      <c r="D735" s="12"/>
      <c r="E735" s="11">
        <v>1.52</v>
      </c>
      <c r="F735" s="10">
        <v>12.28</v>
      </c>
      <c r="G735" s="10">
        <f t="shared" si="36"/>
        <v>18.665599999999998</v>
      </c>
      <c r="H735" s="12"/>
      <c r="I735" s="11">
        <v>0.16</v>
      </c>
      <c r="J735" s="10">
        <v>12.5</v>
      </c>
      <c r="K735" s="10">
        <f t="shared" si="37"/>
        <v>2</v>
      </c>
      <c r="L735" s="12"/>
      <c r="M735" s="11">
        <v>4.72</v>
      </c>
      <c r="N735" s="10">
        <v>11.95</v>
      </c>
      <c r="O735" s="10">
        <f t="shared" si="38"/>
        <v>56.403999999999996</v>
      </c>
      <c r="P735" s="12"/>
      <c r="Q735" s="46"/>
    </row>
    <row r="736" spans="1:17" ht="18" x14ac:dyDescent="0.25">
      <c r="A736" s="15"/>
      <c r="B736" s="14" t="s">
        <v>331</v>
      </c>
      <c r="C736" s="13" t="s">
        <v>42</v>
      </c>
      <c r="D736" s="12"/>
      <c r="E736" s="11">
        <v>5</v>
      </c>
      <c r="F736" s="10">
        <v>10</v>
      </c>
      <c r="G736" s="10">
        <f t="shared" si="36"/>
        <v>50</v>
      </c>
      <c r="H736" s="12"/>
      <c r="I736" s="11">
        <v>8</v>
      </c>
      <c r="J736" s="10">
        <v>10</v>
      </c>
      <c r="K736" s="10">
        <f t="shared" si="37"/>
        <v>80</v>
      </c>
      <c r="L736" s="12"/>
      <c r="M736" s="11"/>
      <c r="N736" s="10"/>
      <c r="O736" s="10">
        <f t="shared" si="38"/>
        <v>0</v>
      </c>
      <c r="P736" s="12"/>
      <c r="Q736" s="46"/>
    </row>
    <row r="737" spans="1:17" ht="18" x14ac:dyDescent="0.25">
      <c r="A737" s="15"/>
      <c r="B737" s="14" t="s">
        <v>212</v>
      </c>
      <c r="C737" s="13" t="s">
        <v>42</v>
      </c>
      <c r="D737" s="12"/>
      <c r="E737" s="11">
        <v>1.44</v>
      </c>
      <c r="F737" s="10">
        <v>12.28</v>
      </c>
      <c r="G737" s="10">
        <f t="shared" si="36"/>
        <v>17.683199999999999</v>
      </c>
      <c r="H737" s="12"/>
      <c r="I737" s="11"/>
      <c r="J737" s="10"/>
      <c r="K737" s="10">
        <f t="shared" si="37"/>
        <v>0</v>
      </c>
      <c r="L737" s="12"/>
      <c r="M737" s="11">
        <v>4.72</v>
      </c>
      <c r="N737" s="10">
        <v>11.95</v>
      </c>
      <c r="O737" s="10">
        <f t="shared" si="38"/>
        <v>56.403999999999996</v>
      </c>
      <c r="P737" s="12"/>
      <c r="Q737" s="46"/>
    </row>
    <row r="738" spans="1:17" ht="15.75" thickBot="1" x14ac:dyDescent="0.3">
      <c r="A738" s="15"/>
      <c r="B738" s="14"/>
      <c r="C738" s="13"/>
      <c r="D738" s="12"/>
      <c r="E738" s="11"/>
      <c r="F738" s="10"/>
      <c r="G738" s="10">
        <f t="shared" si="36"/>
        <v>0</v>
      </c>
      <c r="H738" s="12"/>
      <c r="I738" s="11"/>
      <c r="J738" s="10"/>
      <c r="K738" s="10">
        <f t="shared" si="37"/>
        <v>0</v>
      </c>
      <c r="L738" s="12"/>
      <c r="M738" s="11"/>
      <c r="N738" s="10"/>
      <c r="O738" s="10">
        <f t="shared" si="38"/>
        <v>0</v>
      </c>
      <c r="P738" s="12"/>
      <c r="Q738" s="46"/>
    </row>
    <row r="739" spans="1:17" ht="16.5" thickBot="1" x14ac:dyDescent="0.3">
      <c r="A739" s="62" t="s">
        <v>5</v>
      </c>
      <c r="B739" s="63"/>
      <c r="C739" s="63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6"/>
      <c r="P739" s="17"/>
      <c r="Q739" s="46"/>
    </row>
    <row r="740" spans="1:17" ht="30" x14ac:dyDescent="0.25">
      <c r="A740" s="15"/>
      <c r="B740" s="14" t="s">
        <v>330</v>
      </c>
      <c r="C740" s="13" t="s">
        <v>42</v>
      </c>
      <c r="D740" s="12"/>
      <c r="E740" s="11">
        <v>12.24</v>
      </c>
      <c r="F740" s="42">
        <v>33</v>
      </c>
      <c r="G740" s="10">
        <f>+E740*F740</f>
        <v>403.92</v>
      </c>
      <c r="H740" s="12"/>
      <c r="I740" s="11">
        <v>15.03</v>
      </c>
      <c r="J740" s="10">
        <v>33</v>
      </c>
      <c r="K740" s="10">
        <f>+I740*J740</f>
        <v>495.98999999999995</v>
      </c>
      <c r="L740" s="12"/>
      <c r="M740" s="11">
        <v>1</v>
      </c>
      <c r="N740" s="10">
        <v>33</v>
      </c>
      <c r="O740" s="10">
        <f>+M740*N740</f>
        <v>33</v>
      </c>
      <c r="P740" s="12"/>
      <c r="Q740" s="46"/>
    </row>
    <row r="741" spans="1:17" ht="15.75" thickBot="1" x14ac:dyDescent="0.3">
      <c r="A741" s="15"/>
      <c r="B741" s="14"/>
      <c r="C741" s="13"/>
      <c r="D741" s="12"/>
      <c r="E741" s="11"/>
      <c r="F741" s="10"/>
      <c r="G741" s="10">
        <f>+E741*F741</f>
        <v>0</v>
      </c>
      <c r="H741" s="12"/>
      <c r="I741" s="11"/>
      <c r="J741" s="10"/>
      <c r="K741" s="10">
        <f>+I741*J741</f>
        <v>0</v>
      </c>
      <c r="L741" s="12"/>
      <c r="M741" s="11"/>
      <c r="N741" s="10"/>
      <c r="O741" s="10">
        <f>+M741*N741</f>
        <v>0</v>
      </c>
      <c r="P741" s="12"/>
      <c r="Q741" s="46"/>
    </row>
    <row r="742" spans="1:17" ht="16.5" thickBot="1" x14ac:dyDescent="0.3">
      <c r="A742" s="62" t="s">
        <v>2</v>
      </c>
      <c r="B742" s="63"/>
      <c r="C742" s="63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6"/>
      <c r="P742" s="17"/>
      <c r="Q742" s="46"/>
    </row>
    <row r="743" spans="1:17" x14ac:dyDescent="0.25">
      <c r="A743" s="15"/>
      <c r="B743" s="14" t="s">
        <v>234</v>
      </c>
      <c r="C743" s="13" t="s">
        <v>15</v>
      </c>
      <c r="D743" s="12"/>
      <c r="E743" s="11">
        <v>90</v>
      </c>
      <c r="F743" s="10">
        <v>0.35699999999999998</v>
      </c>
      <c r="G743" s="10">
        <f>+E743*F743</f>
        <v>32.129999999999995</v>
      </c>
      <c r="H743" s="12"/>
      <c r="I743" s="11">
        <v>100</v>
      </c>
      <c r="J743" s="10">
        <v>0.36</v>
      </c>
      <c r="K743" s="10">
        <f>+I743*J743</f>
        <v>36</v>
      </c>
      <c r="L743" s="12"/>
      <c r="M743" s="11"/>
      <c r="N743" s="10"/>
      <c r="O743" s="10">
        <f>+M743*N743</f>
        <v>0</v>
      </c>
      <c r="P743" s="12"/>
      <c r="Q743" s="55">
        <f>+(E743+I743)/($E$740+$I$740)</f>
        <v>6.9673634030069671</v>
      </c>
    </row>
    <row r="744" spans="1:17" x14ac:dyDescent="0.25">
      <c r="A744" s="15"/>
      <c r="B744" s="14" t="s">
        <v>233</v>
      </c>
      <c r="C744" s="13" t="s">
        <v>15</v>
      </c>
      <c r="D744" s="12"/>
      <c r="E744" s="11">
        <v>90</v>
      </c>
      <c r="F744" s="10">
        <v>8.9300000000000004E-2</v>
      </c>
      <c r="G744" s="10">
        <f>+E744*F744</f>
        <v>8.0370000000000008</v>
      </c>
      <c r="H744" s="12"/>
      <c r="I744" s="11">
        <v>100</v>
      </c>
      <c r="J744" s="10">
        <v>0.09</v>
      </c>
      <c r="K744" s="10">
        <f>+I744*J744</f>
        <v>9</v>
      </c>
      <c r="L744" s="12"/>
      <c r="M744" s="11"/>
      <c r="N744" s="10"/>
      <c r="O744" s="10">
        <f>+M744*N744</f>
        <v>0</v>
      </c>
      <c r="P744" s="12"/>
      <c r="Q744" s="55">
        <f>+(E744+I744)/($E$740+$I$740)</f>
        <v>6.9673634030069671</v>
      </c>
    </row>
    <row r="745" spans="1:17" x14ac:dyDescent="0.25">
      <c r="A745" s="15"/>
      <c r="B745" s="14" t="s">
        <v>41</v>
      </c>
      <c r="C745" s="13" t="s">
        <v>15</v>
      </c>
      <c r="D745" s="12"/>
      <c r="E745" s="11">
        <v>3</v>
      </c>
      <c r="F745" s="10">
        <v>17.86</v>
      </c>
      <c r="G745" s="10">
        <f>+E745*F745</f>
        <v>53.58</v>
      </c>
      <c r="H745" s="12"/>
      <c r="I745" s="11">
        <v>1</v>
      </c>
      <c r="J745" s="10">
        <v>17.86</v>
      </c>
      <c r="K745" s="10">
        <f>+I745*J745</f>
        <v>17.86</v>
      </c>
      <c r="L745" s="12"/>
      <c r="M745" s="11">
        <v>1.9994400000000001</v>
      </c>
      <c r="N745" s="10">
        <v>17.86</v>
      </c>
      <c r="O745" s="10">
        <f>+M745*N745</f>
        <v>35.709998400000003</v>
      </c>
      <c r="P745" s="12"/>
      <c r="Q745" s="55">
        <f>+(E745+I745)/($E$740+$I$740)</f>
        <v>0.1466813348001467</v>
      </c>
    </row>
    <row r="746" spans="1:17" ht="18" x14ac:dyDescent="0.25">
      <c r="A746" s="15"/>
      <c r="B746" s="14" t="s">
        <v>315</v>
      </c>
      <c r="C746" s="13" t="s">
        <v>42</v>
      </c>
      <c r="D746" s="12"/>
      <c r="E746" s="11">
        <v>12.24</v>
      </c>
      <c r="F746" s="10">
        <v>8</v>
      </c>
      <c r="G746" s="10">
        <f>+E746*F746</f>
        <v>97.92</v>
      </c>
      <c r="H746" s="12"/>
      <c r="I746" s="11">
        <v>15.03</v>
      </c>
      <c r="J746" s="10">
        <v>8</v>
      </c>
      <c r="K746" s="10">
        <f>+I746*J746</f>
        <v>120.24</v>
      </c>
      <c r="L746" s="12"/>
      <c r="M746" s="11">
        <v>1</v>
      </c>
      <c r="N746" s="10">
        <v>8</v>
      </c>
      <c r="O746" s="10">
        <f>+M746*N746</f>
        <v>8</v>
      </c>
      <c r="P746" s="12"/>
      <c r="Q746" s="46"/>
    </row>
    <row r="747" spans="1:17" x14ac:dyDescent="0.25">
      <c r="A747" s="15"/>
      <c r="B747" s="14"/>
      <c r="C747" s="13"/>
      <c r="D747" s="12"/>
      <c r="E747" s="11"/>
      <c r="F747" s="10"/>
      <c r="G747" s="10">
        <f>+E747*F747</f>
        <v>0</v>
      </c>
      <c r="H747" s="12"/>
      <c r="I747" s="11"/>
      <c r="J747" s="10"/>
      <c r="K747" s="10">
        <f>+I747*J747</f>
        <v>0</v>
      </c>
      <c r="L747" s="12"/>
      <c r="M747" s="11"/>
      <c r="N747" s="10"/>
      <c r="O747" s="10">
        <f>+M747*N747</f>
        <v>0</v>
      </c>
      <c r="P747" s="12"/>
      <c r="Q747" s="46"/>
    </row>
    <row r="748" spans="1:17" ht="15.75" thickBot="1" x14ac:dyDescent="0.3">
      <c r="Q748" s="46"/>
    </row>
    <row r="749" spans="1:17" ht="21" thickBot="1" x14ac:dyDescent="0.3">
      <c r="A749" s="64" t="s">
        <v>1</v>
      </c>
      <c r="B749" s="65"/>
      <c r="C749" s="66"/>
      <c r="D749" s="5"/>
      <c r="E749" s="9"/>
      <c r="F749" s="8"/>
      <c r="G749" s="7">
        <f>SUM(G731:G748)</f>
        <v>1355.3998000000004</v>
      </c>
      <c r="H749" s="5"/>
      <c r="I749" s="9"/>
      <c r="J749" s="8"/>
      <c r="K749" s="7">
        <f>SUM(K729:K747)</f>
        <v>1534.62</v>
      </c>
      <c r="L749" s="5"/>
      <c r="M749" s="9"/>
      <c r="N749" s="8"/>
      <c r="O749" s="7">
        <f>SUM(O729:O747)</f>
        <v>382.37799840000002</v>
      </c>
      <c r="P749" s="5"/>
      <c r="Q749" s="46"/>
    </row>
    <row r="750" spans="1:17" ht="21" thickBot="1" x14ac:dyDescent="0.3">
      <c r="A750" s="60" t="s">
        <v>0</v>
      </c>
      <c r="B750" s="61"/>
      <c r="C750" s="61"/>
      <c r="D750" s="5"/>
      <c r="E750" s="4"/>
      <c r="F750" s="3"/>
      <c r="G750" s="6">
        <f>+G749/E740</f>
        <v>110.73527777777781</v>
      </c>
      <c r="H750" s="5"/>
      <c r="I750" s="4"/>
      <c r="J750" s="3"/>
      <c r="K750" s="6">
        <f>+K749/I740</f>
        <v>102.10379241516966</v>
      </c>
      <c r="L750" s="5"/>
      <c r="M750" s="4"/>
      <c r="N750" s="3"/>
      <c r="O750" s="6">
        <f>+O749/M740</f>
        <v>382.37799840000002</v>
      </c>
      <c r="P750" s="5"/>
      <c r="Q750" s="46"/>
    </row>
    <row r="751" spans="1:17" x14ac:dyDescent="0.25">
      <c r="Q751" s="46"/>
    </row>
    <row r="752" spans="1:1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46"/>
    </row>
    <row r="753" spans="1:17" ht="15.75" thickBot="1" x14ac:dyDescent="0.3">
      <c r="Q753" s="46"/>
    </row>
    <row r="754" spans="1:17" ht="19.5" thickBot="1" x14ac:dyDescent="0.3">
      <c r="A754" s="20" t="s">
        <v>327</v>
      </c>
      <c r="B754" s="19" t="s">
        <v>326</v>
      </c>
      <c r="C754" s="18" t="s">
        <v>312</v>
      </c>
      <c r="Q754" s="46"/>
    </row>
    <row r="755" spans="1:17" ht="15.75" thickBot="1" x14ac:dyDescent="0.3">
      <c r="Q755" s="46"/>
    </row>
    <row r="756" spans="1:17" ht="16.5" thickBot="1" x14ac:dyDescent="0.3">
      <c r="A756" s="62" t="s">
        <v>11</v>
      </c>
      <c r="B756" s="63"/>
      <c r="C756" s="63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6"/>
      <c r="P756" s="17"/>
      <c r="Q756" s="46"/>
    </row>
    <row r="757" spans="1:17" x14ac:dyDescent="0.25">
      <c r="A757" s="15"/>
      <c r="B757" s="14" t="s">
        <v>251</v>
      </c>
      <c r="C757" s="13" t="s">
        <v>15</v>
      </c>
      <c r="D757" s="12"/>
      <c r="E757" s="11">
        <v>1</v>
      </c>
      <c r="F757" s="10">
        <v>5.03</v>
      </c>
      <c r="G757" s="10">
        <f t="shared" ref="G757:G768" si="39">+E757*F757</f>
        <v>5.03</v>
      </c>
      <c r="H757" s="12"/>
      <c r="I757" s="11"/>
      <c r="J757" s="10"/>
      <c r="K757" s="10">
        <f t="shared" ref="K757:K768" si="40">+I757*J757</f>
        <v>0</v>
      </c>
      <c r="L757" s="12"/>
      <c r="M757" s="11"/>
      <c r="N757" s="10"/>
      <c r="O757" s="10">
        <f t="shared" ref="O757:O768" si="41">+M757*N757</f>
        <v>0</v>
      </c>
      <c r="P757" s="12"/>
      <c r="Q757" s="46"/>
    </row>
    <row r="758" spans="1:17" x14ac:dyDescent="0.25">
      <c r="A758" s="15"/>
      <c r="B758" s="14" t="s">
        <v>325</v>
      </c>
      <c r="C758" s="13" t="s">
        <v>15</v>
      </c>
      <c r="D758" s="12"/>
      <c r="E758" s="11">
        <v>4</v>
      </c>
      <c r="F758" s="10">
        <v>5.0529999999999999</v>
      </c>
      <c r="G758" s="10">
        <f t="shared" si="39"/>
        <v>20.212</v>
      </c>
      <c r="H758" s="12"/>
      <c r="I758" s="11"/>
      <c r="J758" s="10"/>
      <c r="K758" s="10">
        <f t="shared" si="40"/>
        <v>0</v>
      </c>
      <c r="L758" s="12"/>
      <c r="M758" s="11"/>
      <c r="N758" s="10"/>
      <c r="O758" s="10">
        <f t="shared" si="41"/>
        <v>0</v>
      </c>
      <c r="P758" s="12"/>
      <c r="Q758" s="46"/>
    </row>
    <row r="759" spans="1:17" x14ac:dyDescent="0.25">
      <c r="A759" s="15"/>
      <c r="B759" s="14" t="s">
        <v>307</v>
      </c>
      <c r="C759" s="13" t="s">
        <v>8</v>
      </c>
      <c r="D759" s="12"/>
      <c r="E759" s="11">
        <v>11</v>
      </c>
      <c r="F759" s="10">
        <v>6.585</v>
      </c>
      <c r="G759" s="10">
        <f t="shared" si="39"/>
        <v>72.435000000000002</v>
      </c>
      <c r="H759" s="12"/>
      <c r="I759" s="11">
        <v>12</v>
      </c>
      <c r="J759" s="10">
        <v>6.79</v>
      </c>
      <c r="K759" s="10">
        <f t="shared" si="40"/>
        <v>81.48</v>
      </c>
      <c r="L759" s="12"/>
      <c r="M759" s="11"/>
      <c r="N759" s="10"/>
      <c r="O759" s="10">
        <f t="shared" si="41"/>
        <v>0</v>
      </c>
      <c r="P759" s="12"/>
      <c r="Q759" s="46"/>
    </row>
    <row r="760" spans="1:17" ht="30" x14ac:dyDescent="0.25">
      <c r="A760" s="15"/>
      <c r="B760" s="14" t="s">
        <v>229</v>
      </c>
      <c r="C760" s="13" t="s">
        <v>15</v>
      </c>
      <c r="D760" s="12"/>
      <c r="E760" s="11">
        <v>2</v>
      </c>
      <c r="F760" s="10">
        <v>5.15</v>
      </c>
      <c r="G760" s="10">
        <f t="shared" si="39"/>
        <v>10.3</v>
      </c>
      <c r="H760" s="12"/>
      <c r="I760" s="11"/>
      <c r="J760" s="10"/>
      <c r="K760" s="10">
        <f t="shared" si="40"/>
        <v>0</v>
      </c>
      <c r="L760" s="12"/>
      <c r="M760" s="11"/>
      <c r="N760" s="10"/>
      <c r="O760" s="10">
        <f t="shared" si="41"/>
        <v>0</v>
      </c>
      <c r="P760" s="12"/>
      <c r="Q760" s="46"/>
    </row>
    <row r="761" spans="1:17" ht="30" x14ac:dyDescent="0.25">
      <c r="A761" s="15"/>
      <c r="B761" s="14" t="s">
        <v>47</v>
      </c>
      <c r="C761" s="13" t="s">
        <v>42</v>
      </c>
      <c r="D761" s="12"/>
      <c r="E761" s="11">
        <v>37.380000000000003</v>
      </c>
      <c r="F761" s="10">
        <v>71</v>
      </c>
      <c r="G761" s="10">
        <f t="shared" si="39"/>
        <v>2653.98</v>
      </c>
      <c r="H761" s="12"/>
      <c r="I761" s="11">
        <v>19</v>
      </c>
      <c r="J761" s="10">
        <v>71</v>
      </c>
      <c r="K761" s="10">
        <f t="shared" si="40"/>
        <v>1349</v>
      </c>
      <c r="L761" s="12"/>
      <c r="M761" s="11"/>
      <c r="N761" s="10"/>
      <c r="O761" s="10">
        <f t="shared" si="41"/>
        <v>0</v>
      </c>
      <c r="P761" s="12"/>
      <c r="Q761" s="46"/>
    </row>
    <row r="762" spans="1:17" x14ac:dyDescent="0.25">
      <c r="A762" s="15"/>
      <c r="B762" s="14" t="s">
        <v>324</v>
      </c>
      <c r="C762" s="13" t="s">
        <v>15</v>
      </c>
      <c r="D762" s="12"/>
      <c r="E762" s="11">
        <v>1</v>
      </c>
      <c r="F762" s="10">
        <v>23.93</v>
      </c>
      <c r="G762" s="10">
        <f t="shared" si="39"/>
        <v>23.93</v>
      </c>
      <c r="H762" s="12"/>
      <c r="I762" s="11"/>
      <c r="J762" s="10"/>
      <c r="K762" s="10">
        <f t="shared" si="40"/>
        <v>0</v>
      </c>
      <c r="L762" s="12"/>
      <c r="M762" s="11"/>
      <c r="N762" s="10"/>
      <c r="O762" s="10">
        <f t="shared" si="41"/>
        <v>0</v>
      </c>
      <c r="P762" s="12"/>
      <c r="Q762" s="46"/>
    </row>
    <row r="763" spans="1:17" x14ac:dyDescent="0.25">
      <c r="A763" s="15"/>
      <c r="B763" s="14" t="s">
        <v>46</v>
      </c>
      <c r="C763" s="13" t="s">
        <v>15</v>
      </c>
      <c r="D763" s="12"/>
      <c r="E763" s="11">
        <v>1</v>
      </c>
      <c r="F763" s="10">
        <v>9.9499999999999993</v>
      </c>
      <c r="G763" s="10">
        <f t="shared" si="39"/>
        <v>9.9499999999999993</v>
      </c>
      <c r="H763" s="12"/>
      <c r="I763" s="11"/>
      <c r="J763" s="10"/>
      <c r="K763" s="10">
        <f t="shared" si="40"/>
        <v>0</v>
      </c>
      <c r="L763" s="12"/>
      <c r="M763" s="11"/>
      <c r="N763" s="10"/>
      <c r="O763" s="10">
        <f t="shared" si="41"/>
        <v>0</v>
      </c>
      <c r="P763" s="12"/>
      <c r="Q763" s="46"/>
    </row>
    <row r="764" spans="1:17" ht="18" x14ac:dyDescent="0.25">
      <c r="A764" s="15"/>
      <c r="B764" s="14" t="s">
        <v>7</v>
      </c>
      <c r="C764" s="13" t="s">
        <v>42</v>
      </c>
      <c r="D764" s="12"/>
      <c r="E764" s="11">
        <v>1.04</v>
      </c>
      <c r="F764" s="10">
        <v>13.31</v>
      </c>
      <c r="G764" s="10">
        <f t="shared" si="39"/>
        <v>13.842400000000001</v>
      </c>
      <c r="H764" s="12"/>
      <c r="I764" s="11">
        <v>0.48</v>
      </c>
      <c r="J764" s="10">
        <v>17.04</v>
      </c>
      <c r="K764" s="10">
        <f t="shared" si="40"/>
        <v>8.1791999999999998</v>
      </c>
      <c r="L764" s="12"/>
      <c r="M764" s="11"/>
      <c r="N764" s="10"/>
      <c r="O764" s="10">
        <f t="shared" si="41"/>
        <v>0</v>
      </c>
      <c r="P764" s="12"/>
      <c r="Q764" s="46"/>
    </row>
    <row r="765" spans="1:17" ht="18" x14ac:dyDescent="0.25">
      <c r="A765" s="15"/>
      <c r="B765" s="14" t="s">
        <v>212</v>
      </c>
      <c r="C765" s="13" t="s">
        <v>42</v>
      </c>
      <c r="D765" s="12"/>
      <c r="E765" s="11">
        <v>0.64</v>
      </c>
      <c r="F765" s="10">
        <v>21.7</v>
      </c>
      <c r="G765" s="10">
        <f t="shared" si="39"/>
        <v>13.888</v>
      </c>
      <c r="H765" s="12"/>
      <c r="I765" s="11">
        <v>0.36</v>
      </c>
      <c r="J765" s="10">
        <v>11.83</v>
      </c>
      <c r="K765" s="10">
        <f t="shared" si="40"/>
        <v>4.2587999999999999</v>
      </c>
      <c r="L765" s="12"/>
      <c r="M765" s="11"/>
      <c r="N765" s="10"/>
      <c r="O765" s="10">
        <f t="shared" si="41"/>
        <v>0</v>
      </c>
      <c r="P765" s="12"/>
      <c r="Q765" s="46"/>
    </row>
    <row r="766" spans="1:17" x14ac:dyDescent="0.25">
      <c r="A766" s="15"/>
      <c r="B766" s="14" t="s">
        <v>323</v>
      </c>
      <c r="C766" s="13" t="s">
        <v>15</v>
      </c>
      <c r="D766" s="12"/>
      <c r="E766" s="11">
        <v>7</v>
      </c>
      <c r="F766" s="10">
        <v>26.814</v>
      </c>
      <c r="G766" s="10">
        <f t="shared" si="39"/>
        <v>187.69800000000001</v>
      </c>
      <c r="H766" s="12"/>
      <c r="I766" s="11"/>
      <c r="J766" s="10"/>
      <c r="K766" s="10">
        <f t="shared" si="40"/>
        <v>0</v>
      </c>
      <c r="L766" s="12"/>
      <c r="M766" s="11"/>
      <c r="N766" s="10"/>
      <c r="O766" s="10">
        <f t="shared" si="41"/>
        <v>0</v>
      </c>
      <c r="P766" s="12"/>
      <c r="Q766" s="46"/>
    </row>
    <row r="767" spans="1:17" x14ac:dyDescent="0.25">
      <c r="A767" s="15"/>
      <c r="B767" s="14" t="s">
        <v>43</v>
      </c>
      <c r="C767" s="13" t="s">
        <v>15</v>
      </c>
      <c r="D767" s="12"/>
      <c r="E767" s="11">
        <v>1</v>
      </c>
      <c r="F767" s="10">
        <v>52.87</v>
      </c>
      <c r="G767" s="10">
        <f t="shared" si="39"/>
        <v>52.87</v>
      </c>
      <c r="H767" s="12"/>
      <c r="I767" s="11"/>
      <c r="J767" s="10"/>
      <c r="K767" s="10">
        <f t="shared" si="40"/>
        <v>0</v>
      </c>
      <c r="L767" s="12"/>
      <c r="M767" s="11"/>
      <c r="N767" s="10"/>
      <c r="O767" s="10">
        <f t="shared" si="41"/>
        <v>0</v>
      </c>
      <c r="P767" s="12"/>
      <c r="Q767" s="46"/>
    </row>
    <row r="768" spans="1:17" ht="15.75" thickBot="1" x14ac:dyDescent="0.3">
      <c r="A768" s="15"/>
      <c r="B768" s="14"/>
      <c r="C768" s="13"/>
      <c r="D768" s="12"/>
      <c r="E768" s="11"/>
      <c r="F768" s="10"/>
      <c r="G768" s="10">
        <f t="shared" si="39"/>
        <v>0</v>
      </c>
      <c r="H768" s="12"/>
      <c r="I768" s="11"/>
      <c r="J768" s="10"/>
      <c r="K768" s="10">
        <f t="shared" si="40"/>
        <v>0</v>
      </c>
      <c r="L768" s="12"/>
      <c r="M768" s="11"/>
      <c r="N768" s="10"/>
      <c r="O768" s="10">
        <f t="shared" si="41"/>
        <v>0</v>
      </c>
      <c r="P768" s="12"/>
      <c r="Q768" s="46"/>
    </row>
    <row r="769" spans="1:17" ht="16.5" thickBot="1" x14ac:dyDescent="0.3">
      <c r="A769" s="62" t="s">
        <v>5</v>
      </c>
      <c r="B769" s="63"/>
      <c r="C769" s="63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6"/>
      <c r="P769" s="17"/>
      <c r="Q769" s="46"/>
    </row>
    <row r="770" spans="1:17" ht="18" x14ac:dyDescent="0.25">
      <c r="A770" s="15"/>
      <c r="B770" s="14" t="s">
        <v>322</v>
      </c>
      <c r="C770" s="13" t="s">
        <v>42</v>
      </c>
      <c r="D770" s="12"/>
      <c r="E770" s="11">
        <v>37.380000000000003</v>
      </c>
      <c r="F770" s="42">
        <v>33</v>
      </c>
      <c r="G770" s="10">
        <f>+E770*F770</f>
        <v>1233.5400000000002</v>
      </c>
      <c r="H770" s="12"/>
      <c r="I770" s="11">
        <v>19</v>
      </c>
      <c r="J770" s="10">
        <v>33</v>
      </c>
      <c r="K770" s="10">
        <f>+I770*J770</f>
        <v>627</v>
      </c>
      <c r="L770" s="12"/>
      <c r="M770" s="11"/>
      <c r="N770" s="10"/>
      <c r="O770" s="10">
        <f>+M770*N770</f>
        <v>0</v>
      </c>
      <c r="P770" s="12"/>
      <c r="Q770" s="46"/>
    </row>
    <row r="771" spans="1:17" ht="15.75" thickBot="1" x14ac:dyDescent="0.3">
      <c r="A771" s="15"/>
      <c r="B771" s="14"/>
      <c r="C771" s="13"/>
      <c r="D771" s="12"/>
      <c r="E771" s="11"/>
      <c r="F771" s="10"/>
      <c r="G771" s="10">
        <f>+E771*F771</f>
        <v>0</v>
      </c>
      <c r="H771" s="12"/>
      <c r="I771" s="11"/>
      <c r="J771" s="10"/>
      <c r="K771" s="10">
        <f>+I771*J771</f>
        <v>0</v>
      </c>
      <c r="L771" s="12"/>
      <c r="M771" s="11"/>
      <c r="N771" s="10"/>
      <c r="O771" s="10">
        <f>+M771*N771</f>
        <v>0</v>
      </c>
      <c r="P771" s="12"/>
      <c r="Q771" s="46"/>
    </row>
    <row r="772" spans="1:17" ht="16.5" thickBot="1" x14ac:dyDescent="0.3">
      <c r="A772" s="62" t="s">
        <v>2</v>
      </c>
      <c r="B772" s="63"/>
      <c r="C772" s="63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6"/>
      <c r="P772" s="17"/>
      <c r="Q772" s="46"/>
    </row>
    <row r="773" spans="1:17" x14ac:dyDescent="0.25">
      <c r="A773" s="15"/>
      <c r="B773" s="14" t="s">
        <v>234</v>
      </c>
      <c r="C773" s="13" t="s">
        <v>15</v>
      </c>
      <c r="D773" s="12"/>
      <c r="E773" s="11">
        <v>90</v>
      </c>
      <c r="F773" s="10">
        <v>0.35699999999999998</v>
      </c>
      <c r="G773" s="10">
        <f>+E773*F773</f>
        <v>32.129999999999995</v>
      </c>
      <c r="H773" s="12"/>
      <c r="I773" s="11"/>
      <c r="J773" s="10"/>
      <c r="K773" s="10">
        <f>+I773*J773</f>
        <v>0</v>
      </c>
      <c r="L773" s="12"/>
      <c r="M773" s="11"/>
      <c r="N773" s="10"/>
      <c r="O773" s="10">
        <f>+M773*N773</f>
        <v>0</v>
      </c>
      <c r="P773" s="12"/>
      <c r="Q773" s="55">
        <f>+E773/E770</f>
        <v>2.407704654895666</v>
      </c>
    </row>
    <row r="774" spans="1:17" ht="30" x14ac:dyDescent="0.25">
      <c r="A774" s="15"/>
      <c r="B774" s="14" t="s">
        <v>321</v>
      </c>
      <c r="C774" s="13" t="s">
        <v>15</v>
      </c>
      <c r="D774" s="12"/>
      <c r="E774" s="11">
        <v>90</v>
      </c>
      <c r="F774" s="10">
        <v>8.9200000000000002E-2</v>
      </c>
      <c r="G774" s="10">
        <f>+E774*F774</f>
        <v>8.0280000000000005</v>
      </c>
      <c r="H774" s="12"/>
      <c r="I774" s="11"/>
      <c r="J774" s="10"/>
      <c r="K774" s="10">
        <f>+I774*J774</f>
        <v>0</v>
      </c>
      <c r="L774" s="12"/>
      <c r="M774" s="11"/>
      <c r="N774" s="10"/>
      <c r="O774" s="10">
        <f>+M774*N774</f>
        <v>0</v>
      </c>
      <c r="P774" s="12"/>
      <c r="Q774" s="56">
        <f>+E774/E770</f>
        <v>2.407704654895666</v>
      </c>
    </row>
    <row r="775" spans="1:17" ht="18" x14ac:dyDescent="0.25">
      <c r="A775" s="15"/>
      <c r="B775" s="14" t="s">
        <v>315</v>
      </c>
      <c r="C775" s="13" t="s">
        <v>42</v>
      </c>
      <c r="D775" s="12"/>
      <c r="E775" s="11">
        <v>42.9</v>
      </c>
      <c r="F775" s="10">
        <v>8</v>
      </c>
      <c r="G775" s="10">
        <f>+E775*F775</f>
        <v>343.2</v>
      </c>
      <c r="H775" s="12"/>
      <c r="I775" s="11">
        <v>19</v>
      </c>
      <c r="J775" s="10">
        <v>8</v>
      </c>
      <c r="K775" s="10">
        <f>+I775*J775</f>
        <v>152</v>
      </c>
      <c r="L775" s="12"/>
      <c r="M775" s="11"/>
      <c r="N775" s="10"/>
      <c r="O775" s="10">
        <f>+M775*N775</f>
        <v>0</v>
      </c>
      <c r="P775" s="12"/>
      <c r="Q775" s="46"/>
    </row>
    <row r="776" spans="1:17" ht="30" x14ac:dyDescent="0.25">
      <c r="A776" s="15"/>
      <c r="B776" s="14" t="s">
        <v>320</v>
      </c>
      <c r="C776" s="13" t="s">
        <v>42</v>
      </c>
      <c r="D776" s="12"/>
      <c r="E776" s="11">
        <v>2.5</v>
      </c>
      <c r="F776" s="10">
        <v>8</v>
      </c>
      <c r="G776" s="10">
        <f>+E776*F776</f>
        <v>20</v>
      </c>
      <c r="H776" s="12"/>
      <c r="I776" s="11"/>
      <c r="J776" s="10"/>
      <c r="K776" s="10">
        <f>+I776*J776</f>
        <v>0</v>
      </c>
      <c r="L776" s="12"/>
      <c r="M776" s="11"/>
      <c r="N776" s="10"/>
      <c r="O776" s="10">
        <f>+M776*N776</f>
        <v>0</v>
      </c>
      <c r="P776" s="12"/>
      <c r="Q776" s="46"/>
    </row>
    <row r="777" spans="1:17" x14ac:dyDescent="0.25">
      <c r="A777" s="15"/>
      <c r="B777" s="14"/>
      <c r="C777" s="13"/>
      <c r="D777" s="12"/>
      <c r="E777" s="11"/>
      <c r="F777" s="10"/>
      <c r="G777" s="10">
        <f>+E777*F777</f>
        <v>0</v>
      </c>
      <c r="H777" s="12"/>
      <c r="I777" s="11"/>
      <c r="J777" s="10"/>
      <c r="K777" s="10">
        <f>+I777*J777</f>
        <v>0</v>
      </c>
      <c r="L777" s="12"/>
      <c r="M777" s="11"/>
      <c r="N777" s="10"/>
      <c r="O777" s="10">
        <f>+M777*N777</f>
        <v>0</v>
      </c>
      <c r="P777" s="12"/>
      <c r="Q777" s="46"/>
    </row>
    <row r="778" spans="1:17" ht="15.75" thickBot="1" x14ac:dyDescent="0.3">
      <c r="Q778" s="46"/>
    </row>
    <row r="779" spans="1:17" ht="21" thickBot="1" x14ac:dyDescent="0.3">
      <c r="A779" s="64" t="s">
        <v>1</v>
      </c>
      <c r="B779" s="65"/>
      <c r="C779" s="66"/>
      <c r="D779" s="5"/>
      <c r="E779" s="9"/>
      <c r="F779" s="8"/>
      <c r="G779" s="7">
        <f>SUM(G756:G778)</f>
        <v>4701.0333999999993</v>
      </c>
      <c r="H779" s="5"/>
      <c r="I779" s="9"/>
      <c r="J779" s="8"/>
      <c r="K779" s="7">
        <f>SUM(K754:K777)</f>
        <v>2221.9180000000001</v>
      </c>
      <c r="L779" s="5"/>
      <c r="M779" s="9"/>
      <c r="N779" s="8"/>
      <c r="O779" s="7">
        <f>SUM(O754:O777)</f>
        <v>0</v>
      </c>
      <c r="P779" s="5"/>
      <c r="Q779" s="46"/>
    </row>
    <row r="780" spans="1:17" ht="21" thickBot="1" x14ac:dyDescent="0.3">
      <c r="A780" s="60" t="s">
        <v>0</v>
      </c>
      <c r="B780" s="61"/>
      <c r="C780" s="61"/>
      <c r="D780" s="5"/>
      <c r="E780" s="4"/>
      <c r="F780" s="3"/>
      <c r="G780" s="6">
        <f>+G779/E770</f>
        <v>125.76333333333331</v>
      </c>
      <c r="H780" s="5"/>
      <c r="I780" s="4"/>
      <c r="J780" s="3"/>
      <c r="K780" s="6">
        <f>+K779/I770</f>
        <v>116.94305263157895</v>
      </c>
      <c r="L780" s="5"/>
      <c r="M780" s="4"/>
      <c r="N780" s="3"/>
      <c r="O780" s="6" t="e">
        <f>+O779/M770</f>
        <v>#DIV/0!</v>
      </c>
      <c r="P780" s="5"/>
      <c r="Q780" s="46"/>
    </row>
    <row r="781" spans="1:17" x14ac:dyDescent="0.25">
      <c r="Q781" s="46"/>
    </row>
    <row r="782" spans="1:1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46"/>
    </row>
    <row r="783" spans="1:17" ht="15.75" thickBot="1" x14ac:dyDescent="0.3">
      <c r="Q783" s="46"/>
    </row>
    <row r="784" spans="1:17" ht="19.5" thickBot="1" x14ac:dyDescent="0.3">
      <c r="A784" s="20" t="s">
        <v>319</v>
      </c>
      <c r="B784" s="19" t="s">
        <v>318</v>
      </c>
      <c r="C784" s="18" t="s">
        <v>312</v>
      </c>
      <c r="Q784" s="46"/>
    </row>
    <row r="785" spans="1:17" ht="15.75" thickBot="1" x14ac:dyDescent="0.3">
      <c r="Q785" s="46"/>
    </row>
    <row r="786" spans="1:17" ht="16.5" thickBot="1" x14ac:dyDescent="0.3">
      <c r="A786" s="62" t="s">
        <v>11</v>
      </c>
      <c r="B786" s="63"/>
      <c r="C786" s="63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6"/>
      <c r="P786" s="17"/>
      <c r="Q786" s="46"/>
    </row>
    <row r="787" spans="1:17" x14ac:dyDescent="0.25">
      <c r="A787" s="15"/>
      <c r="B787" s="14" t="s">
        <v>317</v>
      </c>
      <c r="C787" s="13" t="s">
        <v>15</v>
      </c>
      <c r="D787" s="12"/>
      <c r="E787" s="11">
        <v>1</v>
      </c>
      <c r="F787" s="10">
        <v>4.25</v>
      </c>
      <c r="G787" s="10">
        <f t="shared" ref="G787:G794" si="42">+E787*F787</f>
        <v>4.25</v>
      </c>
      <c r="H787" s="12"/>
      <c r="I787" s="11"/>
      <c r="J787" s="10"/>
      <c r="K787" s="10">
        <f t="shared" ref="K787:K794" si="43">+I787*J787</f>
        <v>0</v>
      </c>
      <c r="L787" s="12"/>
      <c r="M787" s="11"/>
      <c r="N787" s="10"/>
      <c r="O787" s="10">
        <f t="shared" ref="O787:O794" si="44">+M787*N787</f>
        <v>0</v>
      </c>
      <c r="P787" s="12"/>
      <c r="Q787" s="46"/>
    </row>
    <row r="788" spans="1:17" x14ac:dyDescent="0.25">
      <c r="A788" s="15"/>
      <c r="B788" s="14" t="s">
        <v>307</v>
      </c>
      <c r="C788" s="13" t="s">
        <v>8</v>
      </c>
      <c r="D788" s="12"/>
      <c r="E788" s="11">
        <v>1</v>
      </c>
      <c r="F788" s="10">
        <v>6.67</v>
      </c>
      <c r="G788" s="10">
        <f t="shared" si="42"/>
        <v>6.67</v>
      </c>
      <c r="H788" s="12"/>
      <c r="I788" s="11">
        <v>1</v>
      </c>
      <c r="J788" s="10">
        <v>6.7</v>
      </c>
      <c r="K788" s="10">
        <f t="shared" si="43"/>
        <v>6.7</v>
      </c>
      <c r="L788" s="12"/>
      <c r="M788" s="11">
        <v>4</v>
      </c>
      <c r="N788" s="10">
        <v>6.73</v>
      </c>
      <c r="O788" s="10">
        <f t="shared" si="44"/>
        <v>26.92</v>
      </c>
      <c r="P788" s="12"/>
      <c r="Q788" s="46"/>
    </row>
    <row r="789" spans="1:17" x14ac:dyDescent="0.25">
      <c r="A789" s="15"/>
      <c r="B789" s="14" t="s">
        <v>249</v>
      </c>
      <c r="C789" s="13" t="s">
        <v>15</v>
      </c>
      <c r="D789" s="12"/>
      <c r="E789" s="11">
        <v>2</v>
      </c>
      <c r="F789" s="10">
        <v>2.5299999999999998</v>
      </c>
      <c r="G789" s="10">
        <f t="shared" si="42"/>
        <v>5.0599999999999996</v>
      </c>
      <c r="H789" s="12"/>
      <c r="I789" s="11"/>
      <c r="J789" s="10"/>
      <c r="K789" s="10">
        <f t="shared" si="43"/>
        <v>0</v>
      </c>
      <c r="L789" s="12"/>
      <c r="M789" s="11"/>
      <c r="N789" s="10"/>
      <c r="O789" s="10">
        <f t="shared" si="44"/>
        <v>0</v>
      </c>
      <c r="P789" s="12"/>
      <c r="Q789" s="46"/>
    </row>
    <row r="790" spans="1:17" ht="30" x14ac:dyDescent="0.25">
      <c r="A790" s="15"/>
      <c r="B790" s="14" t="s">
        <v>47</v>
      </c>
      <c r="C790" s="13" t="s">
        <v>42</v>
      </c>
      <c r="D790" s="12"/>
      <c r="E790" s="11">
        <v>26.62</v>
      </c>
      <c r="F790" s="10">
        <v>71</v>
      </c>
      <c r="G790" s="10">
        <f t="shared" si="42"/>
        <v>1890.02</v>
      </c>
      <c r="H790" s="12"/>
      <c r="I790" s="11">
        <v>9.5</v>
      </c>
      <c r="J790" s="10">
        <v>71</v>
      </c>
      <c r="K790" s="10">
        <f t="shared" si="43"/>
        <v>674.5</v>
      </c>
      <c r="L790" s="12"/>
      <c r="M790" s="11">
        <v>43</v>
      </c>
      <c r="N790" s="10">
        <v>71</v>
      </c>
      <c r="O790" s="10">
        <f t="shared" si="44"/>
        <v>3053</v>
      </c>
      <c r="P790" s="12"/>
      <c r="Q790" s="46"/>
    </row>
    <row r="791" spans="1:17" x14ac:dyDescent="0.25">
      <c r="A791" s="15"/>
      <c r="B791" s="14" t="s">
        <v>238</v>
      </c>
      <c r="C791" s="13" t="s">
        <v>15</v>
      </c>
      <c r="D791" s="12"/>
      <c r="E791" s="11">
        <v>1</v>
      </c>
      <c r="F791" s="10">
        <v>0.11</v>
      </c>
      <c r="G791" s="10">
        <f t="shared" si="42"/>
        <v>0.11</v>
      </c>
      <c r="H791" s="12"/>
      <c r="I791" s="11"/>
      <c r="J791" s="10"/>
      <c r="K791" s="10">
        <f t="shared" si="43"/>
        <v>0</v>
      </c>
      <c r="L791" s="12"/>
      <c r="M791" s="11"/>
      <c r="N791" s="10"/>
      <c r="O791" s="10">
        <f t="shared" si="44"/>
        <v>0</v>
      </c>
      <c r="P791" s="12"/>
      <c r="Q791" s="46"/>
    </row>
    <row r="792" spans="1:17" x14ac:dyDescent="0.25">
      <c r="A792" s="15"/>
      <c r="B792" s="14" t="s">
        <v>7</v>
      </c>
      <c r="C792" s="13" t="s">
        <v>6</v>
      </c>
      <c r="D792" s="12"/>
      <c r="E792" s="11"/>
      <c r="F792" s="10"/>
      <c r="G792" s="10">
        <f t="shared" si="42"/>
        <v>0</v>
      </c>
      <c r="H792" s="12"/>
      <c r="I792" s="11"/>
      <c r="J792" s="10"/>
      <c r="K792" s="10">
        <f t="shared" si="43"/>
        <v>0</v>
      </c>
      <c r="L792" s="12"/>
      <c r="M792" s="11">
        <v>0.36</v>
      </c>
      <c r="N792" s="10">
        <v>13.44</v>
      </c>
      <c r="O792" s="10">
        <f t="shared" si="44"/>
        <v>4.8384</v>
      </c>
      <c r="P792" s="12"/>
      <c r="Q792" s="46"/>
    </row>
    <row r="793" spans="1:17" x14ac:dyDescent="0.25">
      <c r="A793" s="15"/>
      <c r="B793" s="14" t="s">
        <v>212</v>
      </c>
      <c r="C793" s="13" t="s">
        <v>6</v>
      </c>
      <c r="D793" s="12"/>
      <c r="E793" s="11"/>
      <c r="F793" s="10"/>
      <c r="G793" s="10">
        <f t="shared" si="42"/>
        <v>0</v>
      </c>
      <c r="H793" s="12"/>
      <c r="I793" s="11"/>
      <c r="J793" s="10"/>
      <c r="K793" s="10">
        <f t="shared" si="43"/>
        <v>0</v>
      </c>
      <c r="L793" s="12"/>
      <c r="M793" s="11">
        <v>0.24</v>
      </c>
      <c r="N793" s="10">
        <v>14.79</v>
      </c>
      <c r="O793" s="10">
        <f t="shared" si="44"/>
        <v>3.5495999999999999</v>
      </c>
      <c r="P793" s="12"/>
      <c r="Q793" s="46"/>
    </row>
    <row r="794" spans="1:17" ht="15.75" thickBot="1" x14ac:dyDescent="0.3">
      <c r="A794" s="15"/>
      <c r="B794" s="14"/>
      <c r="C794" s="13"/>
      <c r="D794" s="12"/>
      <c r="E794" s="11"/>
      <c r="F794" s="10"/>
      <c r="G794" s="10">
        <f t="shared" si="42"/>
        <v>0</v>
      </c>
      <c r="H794" s="12"/>
      <c r="I794" s="11"/>
      <c r="J794" s="10"/>
      <c r="K794" s="10">
        <f t="shared" si="43"/>
        <v>0</v>
      </c>
      <c r="L794" s="12"/>
      <c r="M794" s="11"/>
      <c r="N794" s="10"/>
      <c r="O794" s="10">
        <f t="shared" si="44"/>
        <v>0</v>
      </c>
      <c r="P794" s="12"/>
      <c r="Q794" s="46"/>
    </row>
    <row r="795" spans="1:17" ht="16.5" thickBot="1" x14ac:dyDescent="0.3">
      <c r="A795" s="62" t="s">
        <v>5</v>
      </c>
      <c r="B795" s="63"/>
      <c r="C795" s="63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6"/>
      <c r="P795" s="17"/>
      <c r="Q795" s="46"/>
    </row>
    <row r="796" spans="1:17" ht="18" x14ac:dyDescent="0.25">
      <c r="A796" s="15"/>
      <c r="B796" s="14" t="s">
        <v>316</v>
      </c>
      <c r="C796" s="13" t="s">
        <v>42</v>
      </c>
      <c r="D796" s="12"/>
      <c r="E796" s="11">
        <v>37.07</v>
      </c>
      <c r="F796" s="42">
        <v>37</v>
      </c>
      <c r="G796" s="10">
        <f>+E796*F796</f>
        <v>1371.59</v>
      </c>
      <c r="H796" s="12"/>
      <c r="I796" s="11">
        <v>12.72</v>
      </c>
      <c r="J796" s="10">
        <v>33</v>
      </c>
      <c r="K796" s="10">
        <f>+I796*J796</f>
        <v>419.76000000000005</v>
      </c>
      <c r="L796" s="12"/>
      <c r="M796" s="11">
        <v>43</v>
      </c>
      <c r="N796" s="10">
        <v>33</v>
      </c>
      <c r="O796" s="10">
        <f>+M796*N796</f>
        <v>1419</v>
      </c>
      <c r="P796" s="12"/>
      <c r="Q796" s="46"/>
    </row>
    <row r="797" spans="1:17" ht="15.75" thickBot="1" x14ac:dyDescent="0.3">
      <c r="A797" s="15"/>
      <c r="B797" s="14"/>
      <c r="C797" s="13"/>
      <c r="D797" s="12"/>
      <c r="E797" s="11"/>
      <c r="F797" s="10"/>
      <c r="G797" s="10">
        <f>+E797*F797</f>
        <v>0</v>
      </c>
      <c r="H797" s="12"/>
      <c r="I797" s="11"/>
      <c r="J797" s="10"/>
      <c r="K797" s="10">
        <f>+I797*J797</f>
        <v>0</v>
      </c>
      <c r="L797" s="12"/>
      <c r="M797" s="11"/>
      <c r="N797" s="10"/>
      <c r="O797" s="10">
        <f>+M797*N797</f>
        <v>0</v>
      </c>
      <c r="P797" s="12"/>
      <c r="Q797" s="46"/>
    </row>
    <row r="798" spans="1:17" ht="16.5" thickBot="1" x14ac:dyDescent="0.3">
      <c r="A798" s="62" t="s">
        <v>2</v>
      </c>
      <c r="B798" s="63"/>
      <c r="C798" s="63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6"/>
      <c r="P798" s="17"/>
      <c r="Q798" s="46"/>
    </row>
    <row r="799" spans="1:17" x14ac:dyDescent="0.25">
      <c r="A799" s="15"/>
      <c r="B799" s="14" t="s">
        <v>310</v>
      </c>
      <c r="C799" s="13" t="s">
        <v>15</v>
      </c>
      <c r="D799" s="12"/>
      <c r="E799" s="11">
        <v>1</v>
      </c>
      <c r="F799" s="10">
        <v>31.25</v>
      </c>
      <c r="G799" s="10">
        <f>+E799*F799</f>
        <v>31.25</v>
      </c>
      <c r="H799" s="12"/>
      <c r="I799" s="11"/>
      <c r="J799" s="10"/>
      <c r="K799" s="10">
        <f>+I799*J799</f>
        <v>0</v>
      </c>
      <c r="L799" s="12"/>
      <c r="M799" s="11"/>
      <c r="N799" s="10"/>
      <c r="O799" s="10">
        <f>+M799*N799</f>
        <v>0</v>
      </c>
      <c r="P799" s="12"/>
      <c r="Q799" s="46"/>
    </row>
    <row r="800" spans="1:17" x14ac:dyDescent="0.25">
      <c r="A800" s="15"/>
      <c r="B800" s="14" t="s">
        <v>41</v>
      </c>
      <c r="C800" s="13" t="s">
        <v>15</v>
      </c>
      <c r="D800" s="12"/>
      <c r="E800" s="11">
        <v>2</v>
      </c>
      <c r="F800" s="10">
        <v>17.86</v>
      </c>
      <c r="G800" s="10">
        <f>+E800*F800</f>
        <v>35.72</v>
      </c>
      <c r="H800" s="12"/>
      <c r="I800" s="11">
        <v>1</v>
      </c>
      <c r="J800" s="10">
        <v>17.86</v>
      </c>
      <c r="K800" s="10">
        <f>+I800*J800</f>
        <v>17.86</v>
      </c>
      <c r="L800" s="12"/>
      <c r="M800" s="11">
        <v>4</v>
      </c>
      <c r="N800" s="10">
        <v>17.86</v>
      </c>
      <c r="O800" s="10">
        <f>+M800*N800</f>
        <v>71.44</v>
      </c>
      <c r="P800" s="12"/>
      <c r="Q800" s="55">
        <f>+(E800+I800+M800)/(E796+I796+M796)</f>
        <v>7.5439163702985243E-2</v>
      </c>
    </row>
    <row r="801" spans="1:17" x14ac:dyDescent="0.25">
      <c r="A801" s="15"/>
      <c r="B801" s="14" t="s">
        <v>315</v>
      </c>
      <c r="C801" s="13" t="s">
        <v>6</v>
      </c>
      <c r="D801" s="12"/>
      <c r="E801" s="11"/>
      <c r="F801" s="10"/>
      <c r="G801" s="10">
        <f>+E801*F801</f>
        <v>0</v>
      </c>
      <c r="H801" s="12"/>
      <c r="I801" s="11">
        <v>9.5</v>
      </c>
      <c r="J801" s="10">
        <v>8</v>
      </c>
      <c r="K801" s="10">
        <f>+I801*J801</f>
        <v>76</v>
      </c>
      <c r="L801" s="12"/>
      <c r="M801" s="11">
        <v>48</v>
      </c>
      <c r="N801" s="10">
        <v>8</v>
      </c>
      <c r="O801" s="10">
        <f>+M801*N801</f>
        <v>384</v>
      </c>
      <c r="P801" s="12"/>
      <c r="Q801" s="46"/>
    </row>
    <row r="802" spans="1:17" x14ac:dyDescent="0.25">
      <c r="A802" s="15"/>
      <c r="B802" s="14"/>
      <c r="C802" s="13"/>
      <c r="D802" s="12"/>
      <c r="E802" s="11"/>
      <c r="F802" s="10"/>
      <c r="G802" s="10">
        <f>+E802*F802</f>
        <v>0</v>
      </c>
      <c r="H802" s="12"/>
      <c r="I802" s="11"/>
      <c r="J802" s="10"/>
      <c r="K802" s="10">
        <f>+I802*J802</f>
        <v>0</v>
      </c>
      <c r="L802" s="12"/>
      <c r="M802" s="11"/>
      <c r="N802" s="10"/>
      <c r="O802" s="10">
        <f>+M802*N802</f>
        <v>0</v>
      </c>
      <c r="P802" s="12"/>
      <c r="Q802" s="46"/>
    </row>
    <row r="803" spans="1:17" ht="15.75" thickBot="1" x14ac:dyDescent="0.3">
      <c r="Q803" s="46"/>
    </row>
    <row r="804" spans="1:17" ht="21" thickBot="1" x14ac:dyDescent="0.3">
      <c r="A804" s="64" t="s">
        <v>1</v>
      </c>
      <c r="B804" s="65"/>
      <c r="C804" s="66"/>
      <c r="D804" s="5"/>
      <c r="E804" s="9"/>
      <c r="F804" s="8"/>
      <c r="G804" s="7">
        <f>SUM(G786:G803)</f>
        <v>3344.6699999999996</v>
      </c>
      <c r="H804" s="5"/>
      <c r="I804" s="9"/>
      <c r="J804" s="8"/>
      <c r="K804" s="7">
        <f>SUM(K784:K802)</f>
        <v>1194.82</v>
      </c>
      <c r="L804" s="5"/>
      <c r="M804" s="9"/>
      <c r="N804" s="8"/>
      <c r="O804" s="7">
        <f>SUM(O784:O802)</f>
        <v>4962.7479999999996</v>
      </c>
      <c r="P804" s="5"/>
      <c r="Q804" s="46"/>
    </row>
    <row r="805" spans="1:17" ht="21" thickBot="1" x14ac:dyDescent="0.3">
      <c r="A805" s="60" t="s">
        <v>0</v>
      </c>
      <c r="B805" s="61"/>
      <c r="C805" s="61"/>
      <c r="D805" s="5"/>
      <c r="E805" s="4"/>
      <c r="F805" s="3"/>
      <c r="G805" s="6">
        <f>+G804/E796</f>
        <v>90.225789047747497</v>
      </c>
      <c r="H805" s="5"/>
      <c r="I805" s="4"/>
      <c r="J805" s="3"/>
      <c r="K805" s="6">
        <f>+K804/I796</f>
        <v>93.932389937106905</v>
      </c>
      <c r="L805" s="5"/>
      <c r="M805" s="4"/>
      <c r="N805" s="3"/>
      <c r="O805" s="6">
        <f>+O804/M796</f>
        <v>115.4127441860465</v>
      </c>
      <c r="P805" s="5"/>
      <c r="Q805" s="46"/>
    </row>
    <row r="806" spans="1:17" x14ac:dyDescent="0.25">
      <c r="Q806" s="46"/>
    </row>
    <row r="807" spans="1:1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46"/>
    </row>
    <row r="808" spans="1:17" ht="15.75" thickBot="1" x14ac:dyDescent="0.3">
      <c r="Q808" s="46"/>
    </row>
    <row r="809" spans="1:17" ht="19.5" thickBot="1" x14ac:dyDescent="0.3">
      <c r="A809" s="20" t="s">
        <v>314</v>
      </c>
      <c r="B809" s="19" t="s">
        <v>313</v>
      </c>
      <c r="C809" s="18" t="s">
        <v>312</v>
      </c>
      <c r="Q809" s="46"/>
    </row>
    <row r="810" spans="1:17" ht="15.75" thickBot="1" x14ac:dyDescent="0.3">
      <c r="Q810" s="46"/>
    </row>
    <row r="811" spans="1:17" ht="16.5" thickBot="1" x14ac:dyDescent="0.3">
      <c r="A811" s="62" t="s">
        <v>11</v>
      </c>
      <c r="B811" s="63"/>
      <c r="C811" s="63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6"/>
      <c r="P811" s="17"/>
      <c r="Q811" s="46"/>
    </row>
    <row r="812" spans="1:17" x14ac:dyDescent="0.25">
      <c r="A812" s="15"/>
      <c r="B812" s="14" t="s">
        <v>307</v>
      </c>
      <c r="C812" s="13" t="s">
        <v>8</v>
      </c>
      <c r="D812" s="12"/>
      <c r="E812" s="11">
        <v>1</v>
      </c>
      <c r="F812" s="10">
        <v>6.67</v>
      </c>
      <c r="G812" s="10">
        <f t="shared" ref="G812:G821" si="45">+E812*F812</f>
        <v>6.67</v>
      </c>
      <c r="H812" s="12"/>
      <c r="I812" s="11">
        <v>9.9600000000000009</v>
      </c>
      <c r="J812" s="10">
        <v>6.79</v>
      </c>
      <c r="K812" s="10">
        <f t="shared" ref="K812:K821" si="46">+I812*J812</f>
        <v>67.628399999999999</v>
      </c>
      <c r="L812" s="12"/>
      <c r="M812" s="11"/>
      <c r="N812" s="10"/>
      <c r="O812" s="10">
        <f t="shared" ref="O812:O821" si="47">+M812*N812</f>
        <v>0</v>
      </c>
      <c r="P812" s="12"/>
      <c r="Q812" s="46"/>
    </row>
    <row r="813" spans="1:17" x14ac:dyDescent="0.25">
      <c r="A813" s="15"/>
      <c r="B813" s="14" t="s">
        <v>157</v>
      </c>
      <c r="C813" s="13" t="s">
        <v>15</v>
      </c>
      <c r="D813" s="12"/>
      <c r="E813" s="11"/>
      <c r="F813" s="10"/>
      <c r="G813" s="10">
        <f>+E813*F813</f>
        <v>0</v>
      </c>
      <c r="H813" s="12"/>
      <c r="I813" s="11">
        <v>4.43</v>
      </c>
      <c r="J813" s="10">
        <v>8.06</v>
      </c>
      <c r="K813" s="10">
        <f>+I813*J813</f>
        <v>35.705799999999996</v>
      </c>
      <c r="L813" s="12"/>
      <c r="M813" s="11"/>
      <c r="N813" s="10"/>
      <c r="O813" s="10">
        <f>+M813*N813</f>
        <v>0</v>
      </c>
      <c r="P813" s="12"/>
      <c r="Q813" s="46"/>
    </row>
    <row r="814" spans="1:17" ht="30" x14ac:dyDescent="0.25">
      <c r="A814" s="15"/>
      <c r="B814" s="14" t="s">
        <v>156</v>
      </c>
      <c r="C814" s="13" t="s">
        <v>30</v>
      </c>
      <c r="D814" s="12"/>
      <c r="E814" s="11"/>
      <c r="F814" s="10"/>
      <c r="G814" s="10">
        <f>+E814*F814</f>
        <v>0</v>
      </c>
      <c r="H814" s="12"/>
      <c r="I814" s="11">
        <v>0.37</v>
      </c>
      <c r="J814" s="10">
        <v>9.08</v>
      </c>
      <c r="K814" s="10">
        <f>+I814*J814</f>
        <v>3.3595999999999999</v>
      </c>
      <c r="L814" s="12"/>
      <c r="M814" s="11"/>
      <c r="N814" s="10"/>
      <c r="O814" s="10">
        <f>+M814*N814</f>
        <v>0</v>
      </c>
      <c r="P814" s="12"/>
      <c r="Q814" s="46"/>
    </row>
    <row r="815" spans="1:17" ht="30" x14ac:dyDescent="0.25">
      <c r="A815" s="15"/>
      <c r="B815" s="14" t="s">
        <v>47</v>
      </c>
      <c r="C815" s="13" t="s">
        <v>42</v>
      </c>
      <c r="D815" s="12"/>
      <c r="E815" s="11">
        <v>26.5</v>
      </c>
      <c r="F815" s="10">
        <v>71</v>
      </c>
      <c r="G815" s="10">
        <f t="shared" si="45"/>
        <v>1881.5</v>
      </c>
      <c r="H815" s="12"/>
      <c r="I815" s="11">
        <v>9</v>
      </c>
      <c r="J815" s="10">
        <v>71</v>
      </c>
      <c r="K815" s="10">
        <f t="shared" si="46"/>
        <v>639</v>
      </c>
      <c r="L815" s="12"/>
      <c r="M815" s="11"/>
      <c r="N815" s="10"/>
      <c r="O815" s="10">
        <f t="shared" si="47"/>
        <v>0</v>
      </c>
      <c r="P815" s="12"/>
      <c r="Q815" s="46"/>
    </row>
    <row r="816" spans="1:17" x14ac:dyDescent="0.25">
      <c r="A816" s="15"/>
      <c r="B816" s="14" t="s">
        <v>155</v>
      </c>
      <c r="C816" s="13" t="s">
        <v>144</v>
      </c>
      <c r="D816" s="12"/>
      <c r="E816" s="11"/>
      <c r="F816" s="10"/>
      <c r="G816" s="10">
        <f t="shared" si="45"/>
        <v>0</v>
      </c>
      <c r="H816" s="12"/>
      <c r="I816" s="11">
        <v>0.37</v>
      </c>
      <c r="J816" s="10">
        <v>13.62</v>
      </c>
      <c r="K816" s="10">
        <f t="shared" si="46"/>
        <v>5.0393999999999997</v>
      </c>
      <c r="L816" s="12"/>
      <c r="M816" s="11"/>
      <c r="N816" s="10"/>
      <c r="O816" s="10">
        <f t="shared" si="47"/>
        <v>0</v>
      </c>
      <c r="P816" s="12"/>
      <c r="Q816" s="46"/>
    </row>
    <row r="817" spans="1:17" x14ac:dyDescent="0.25">
      <c r="A817" s="15"/>
      <c r="B817" s="14" t="s">
        <v>154</v>
      </c>
      <c r="C817" s="13" t="s">
        <v>15</v>
      </c>
      <c r="D817" s="12"/>
      <c r="E817" s="11"/>
      <c r="F817" s="10"/>
      <c r="G817" s="10">
        <f t="shared" si="45"/>
        <v>0</v>
      </c>
      <c r="H817" s="12"/>
      <c r="I817" s="11">
        <v>0.37</v>
      </c>
      <c r="J817" s="10">
        <v>101.57</v>
      </c>
      <c r="K817" s="10">
        <f t="shared" si="46"/>
        <v>37.5809</v>
      </c>
      <c r="L817" s="12"/>
      <c r="M817" s="11"/>
      <c r="N817" s="10"/>
      <c r="O817" s="10">
        <f t="shared" si="47"/>
        <v>0</v>
      </c>
      <c r="P817" s="12"/>
      <c r="Q817" s="57"/>
    </row>
    <row r="818" spans="1:17" x14ac:dyDescent="0.25">
      <c r="A818" s="15"/>
      <c r="B818" s="14" t="s">
        <v>153</v>
      </c>
      <c r="C818" s="13" t="s">
        <v>15</v>
      </c>
      <c r="D818" s="12"/>
      <c r="E818" s="11"/>
      <c r="F818" s="10"/>
      <c r="G818" s="10">
        <f t="shared" si="45"/>
        <v>0</v>
      </c>
      <c r="H818" s="12"/>
      <c r="I818" s="11">
        <v>0.37</v>
      </c>
      <c r="J818" s="10">
        <v>27</v>
      </c>
      <c r="K818" s="10">
        <f t="shared" si="46"/>
        <v>9.99</v>
      </c>
      <c r="L818" s="12"/>
      <c r="M818" s="11"/>
      <c r="N818" s="10"/>
      <c r="O818" s="10">
        <f t="shared" si="47"/>
        <v>0</v>
      </c>
      <c r="P818" s="12"/>
      <c r="Q818" s="46"/>
    </row>
    <row r="819" spans="1:17" ht="30" x14ac:dyDescent="0.25">
      <c r="A819" s="15"/>
      <c r="B819" s="14" t="s">
        <v>145</v>
      </c>
      <c r="C819" s="13" t="s">
        <v>144</v>
      </c>
      <c r="D819" s="12"/>
      <c r="E819" s="11"/>
      <c r="F819" s="10"/>
      <c r="G819" s="10">
        <f t="shared" si="45"/>
        <v>0</v>
      </c>
      <c r="H819" s="12"/>
      <c r="I819" s="11">
        <v>0.3</v>
      </c>
      <c r="J819" s="10">
        <v>68.77</v>
      </c>
      <c r="K819" s="10">
        <f t="shared" si="46"/>
        <v>20.630999999999997</v>
      </c>
      <c r="L819" s="12"/>
      <c r="M819" s="11"/>
      <c r="N819" s="10"/>
      <c r="O819" s="10">
        <f t="shared" si="47"/>
        <v>0</v>
      </c>
      <c r="P819" s="12"/>
      <c r="Q819" s="46"/>
    </row>
    <row r="820" spans="1:17" ht="18" x14ac:dyDescent="0.25">
      <c r="A820" s="15"/>
      <c r="B820" s="14" t="s">
        <v>7</v>
      </c>
      <c r="C820" s="13" t="s">
        <v>42</v>
      </c>
      <c r="D820" s="12"/>
      <c r="E820" s="11">
        <v>0.08</v>
      </c>
      <c r="F820" s="10">
        <v>12.25</v>
      </c>
      <c r="G820" s="10">
        <f>+E820*F820</f>
        <v>0.98</v>
      </c>
      <c r="H820" s="12"/>
      <c r="I820" s="11">
        <v>2.39</v>
      </c>
      <c r="J820" s="10">
        <v>17.03</v>
      </c>
      <c r="K820" s="10">
        <f>+I820*J820</f>
        <v>40.701700000000002</v>
      </c>
      <c r="L820" s="12"/>
      <c r="M820" s="11"/>
      <c r="N820" s="10"/>
      <c r="O820" s="10">
        <f>+M820*N820</f>
        <v>0</v>
      </c>
      <c r="P820" s="12"/>
      <c r="Q820" s="46"/>
    </row>
    <row r="821" spans="1:17" ht="15.75" thickBot="1" x14ac:dyDescent="0.3">
      <c r="A821" s="15"/>
      <c r="B821" s="14"/>
      <c r="C821" s="13"/>
      <c r="D821" s="12"/>
      <c r="E821" s="11"/>
      <c r="F821" s="10"/>
      <c r="G821" s="10">
        <f t="shared" si="45"/>
        <v>0</v>
      </c>
      <c r="H821" s="12"/>
      <c r="I821" s="11"/>
      <c r="J821" s="10"/>
      <c r="K821" s="10">
        <f t="shared" si="46"/>
        <v>0</v>
      </c>
      <c r="L821" s="12"/>
      <c r="M821" s="11"/>
      <c r="N821" s="10"/>
      <c r="O821" s="10">
        <f t="shared" si="47"/>
        <v>0</v>
      </c>
      <c r="P821" s="12"/>
      <c r="Q821" s="46"/>
    </row>
    <row r="822" spans="1:17" ht="16.5" thickBot="1" x14ac:dyDescent="0.3">
      <c r="A822" s="62" t="s">
        <v>5</v>
      </c>
      <c r="B822" s="63"/>
      <c r="C822" s="63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6"/>
      <c r="P822" s="17"/>
      <c r="Q822" s="46"/>
    </row>
    <row r="823" spans="1:17" ht="18" x14ac:dyDescent="0.25">
      <c r="A823" s="15"/>
      <c r="B823" s="14" t="s">
        <v>311</v>
      </c>
      <c r="C823" s="13" t="s">
        <v>42</v>
      </c>
      <c r="D823" s="12"/>
      <c r="E823" s="11">
        <v>30.06</v>
      </c>
      <c r="F823" s="42">
        <v>37</v>
      </c>
      <c r="G823" s="10">
        <f>+E823*F823</f>
        <v>1112.22</v>
      </c>
      <c r="H823" s="12"/>
      <c r="I823" s="11">
        <v>26.61</v>
      </c>
      <c r="J823" s="10">
        <v>33</v>
      </c>
      <c r="K823" s="10">
        <f>+I823*J823</f>
        <v>878.13</v>
      </c>
      <c r="L823" s="12"/>
      <c r="M823" s="11"/>
      <c r="N823" s="10"/>
      <c r="O823" s="10">
        <f>+M823*N823</f>
        <v>0</v>
      </c>
      <c r="P823" s="12"/>
      <c r="Q823" s="46"/>
    </row>
    <row r="824" spans="1:17" ht="15.75" thickBot="1" x14ac:dyDescent="0.3">
      <c r="A824" s="15"/>
      <c r="B824" s="14"/>
      <c r="C824" s="13"/>
      <c r="D824" s="12"/>
      <c r="E824" s="11"/>
      <c r="F824" s="10"/>
      <c r="G824" s="10">
        <f>+E824*F824</f>
        <v>0</v>
      </c>
      <c r="H824" s="12"/>
      <c r="I824" s="11"/>
      <c r="J824" s="10"/>
      <c r="K824" s="10">
        <f>+I824*J824</f>
        <v>0</v>
      </c>
      <c r="L824" s="12"/>
      <c r="M824" s="11"/>
      <c r="N824" s="10"/>
      <c r="O824" s="10">
        <f>+M824*N824</f>
        <v>0</v>
      </c>
      <c r="P824" s="12"/>
      <c r="Q824" s="46"/>
    </row>
    <row r="825" spans="1:17" ht="16.5" thickBot="1" x14ac:dyDescent="0.3">
      <c r="A825" s="62" t="s">
        <v>2</v>
      </c>
      <c r="B825" s="63"/>
      <c r="C825" s="63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6"/>
      <c r="P825" s="17"/>
      <c r="Q825" s="46"/>
    </row>
    <row r="826" spans="1:17" x14ac:dyDescent="0.25">
      <c r="A826" s="15"/>
      <c r="B826" s="14" t="s">
        <v>310</v>
      </c>
      <c r="C826" s="13" t="s">
        <v>15</v>
      </c>
      <c r="D826" s="12"/>
      <c r="E826" s="11">
        <v>2</v>
      </c>
      <c r="F826" s="10">
        <v>31.25</v>
      </c>
      <c r="G826" s="10">
        <f>+E826*F826</f>
        <v>62.5</v>
      </c>
      <c r="H826" s="12"/>
      <c r="I826" s="11"/>
      <c r="J826" s="10"/>
      <c r="K826" s="10">
        <f>+I826*J826</f>
        <v>0</v>
      </c>
      <c r="L826" s="12"/>
      <c r="M826" s="11"/>
      <c r="N826" s="10"/>
      <c r="O826" s="10">
        <f>+M826*N826</f>
        <v>0</v>
      </c>
      <c r="P826" s="12"/>
      <c r="Q826" s="46"/>
    </row>
    <row r="827" spans="1:17" x14ac:dyDescent="0.25">
      <c r="A827" s="15"/>
      <c r="B827" s="14" t="s">
        <v>41</v>
      </c>
      <c r="C827" s="13" t="s">
        <v>15</v>
      </c>
      <c r="D827" s="12"/>
      <c r="E827" s="11">
        <v>2</v>
      </c>
      <c r="F827" s="10">
        <v>17.86</v>
      </c>
      <c r="G827" s="10">
        <f>+E827*F827</f>
        <v>35.72</v>
      </c>
      <c r="H827" s="12"/>
      <c r="I827" s="11">
        <v>1</v>
      </c>
      <c r="J827" s="10">
        <v>17.86</v>
      </c>
      <c r="K827" s="10">
        <f>+I827*J827</f>
        <v>17.86</v>
      </c>
      <c r="L827" s="12"/>
      <c r="M827" s="11"/>
      <c r="N827" s="10"/>
      <c r="O827" s="10">
        <f>+M827*N827</f>
        <v>0</v>
      </c>
      <c r="P827" s="12"/>
      <c r="Q827" s="55">
        <f>+(E827+I827)/(E823+I823)</f>
        <v>5.293806246691371E-2</v>
      </c>
    </row>
    <row r="828" spans="1:17" x14ac:dyDescent="0.25">
      <c r="A828" s="15"/>
      <c r="B828" s="14" t="s">
        <v>315</v>
      </c>
      <c r="C828" s="13" t="s">
        <v>6</v>
      </c>
      <c r="D828" s="12"/>
      <c r="E828" s="11"/>
      <c r="F828" s="10"/>
      <c r="G828" s="10">
        <f>+E828*F828</f>
        <v>0</v>
      </c>
      <c r="H828" s="12"/>
      <c r="I828" s="11">
        <v>9</v>
      </c>
      <c r="J828" s="10">
        <v>8</v>
      </c>
      <c r="K828" s="10">
        <f>+I828*J828</f>
        <v>72</v>
      </c>
      <c r="L828" s="12"/>
      <c r="M828" s="11"/>
      <c r="N828" s="10"/>
      <c r="O828" s="10">
        <f>+M828*N828</f>
        <v>0</v>
      </c>
      <c r="P828" s="12"/>
      <c r="Q828" s="46"/>
    </row>
    <row r="829" spans="1:17" x14ac:dyDescent="0.25">
      <c r="A829" s="15"/>
      <c r="B829" s="14"/>
      <c r="C829" s="13"/>
      <c r="D829" s="12"/>
      <c r="E829" s="11"/>
      <c r="F829" s="10"/>
      <c r="G829" s="10">
        <f>+E829*F829</f>
        <v>0</v>
      </c>
      <c r="H829" s="12"/>
      <c r="I829" s="11"/>
      <c r="J829" s="10"/>
      <c r="K829" s="10">
        <f>+I829*J829</f>
        <v>0</v>
      </c>
      <c r="L829" s="12"/>
      <c r="M829" s="11"/>
      <c r="N829" s="10"/>
      <c r="O829" s="10">
        <f>+M829*N829</f>
        <v>0</v>
      </c>
      <c r="P829" s="12"/>
      <c r="Q829" s="46"/>
    </row>
    <row r="830" spans="1:17" ht="15.75" thickBot="1" x14ac:dyDescent="0.3">
      <c r="Q830" s="46"/>
    </row>
    <row r="831" spans="1:17" ht="21" thickBot="1" x14ac:dyDescent="0.3">
      <c r="A831" s="64" t="s">
        <v>1</v>
      </c>
      <c r="B831" s="65"/>
      <c r="C831" s="66"/>
      <c r="D831" s="5"/>
      <c r="E831" s="9"/>
      <c r="F831" s="8"/>
      <c r="G831" s="7">
        <f>SUM(G811:G830)</f>
        <v>3099.5899999999997</v>
      </c>
      <c r="H831" s="5"/>
      <c r="I831" s="9"/>
      <c r="J831" s="8"/>
      <c r="K831" s="7">
        <f>SUM(K809:K829)</f>
        <v>1827.6267999999998</v>
      </c>
      <c r="L831" s="5"/>
      <c r="M831" s="9"/>
      <c r="N831" s="8"/>
      <c r="O831" s="7">
        <f>SUM(O809:O829)</f>
        <v>0</v>
      </c>
      <c r="P831" s="5"/>
      <c r="Q831" s="46"/>
    </row>
    <row r="832" spans="1:17" ht="21" thickBot="1" x14ac:dyDescent="0.3">
      <c r="A832" s="60" t="s">
        <v>0</v>
      </c>
      <c r="B832" s="61"/>
      <c r="C832" s="61"/>
      <c r="D832" s="5"/>
      <c r="E832" s="4"/>
      <c r="F832" s="3"/>
      <c r="G832" s="6">
        <f>+G831/E823</f>
        <v>103.11343978709247</v>
      </c>
      <c r="H832" s="5"/>
      <c r="I832" s="4"/>
      <c r="J832" s="3"/>
      <c r="K832" s="6">
        <f>+K831/I823</f>
        <v>68.681954152574207</v>
      </c>
      <c r="L832" s="5"/>
      <c r="M832" s="4"/>
      <c r="N832" s="3"/>
      <c r="O832" s="6" t="e">
        <f>+O831/M823</f>
        <v>#DIV/0!</v>
      </c>
      <c r="P832" s="5"/>
      <c r="Q832" s="46"/>
    </row>
    <row r="833" spans="1:17" x14ac:dyDescent="0.25">
      <c r="Q833" s="46"/>
    </row>
    <row r="834" spans="1:1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46"/>
    </row>
    <row r="835" spans="1:17" ht="15.75" thickBot="1" x14ac:dyDescent="0.3">
      <c r="Q835" s="46"/>
    </row>
    <row r="836" spans="1:17" ht="16.5" thickBot="1" x14ac:dyDescent="0.3">
      <c r="A836" s="20" t="s">
        <v>309</v>
      </c>
      <c r="B836" s="19" t="s">
        <v>308</v>
      </c>
      <c r="C836" s="25" t="s">
        <v>3</v>
      </c>
      <c r="Q836" s="46"/>
    </row>
    <row r="837" spans="1:17" ht="15.75" thickBot="1" x14ac:dyDescent="0.3">
      <c r="Q837" s="46"/>
    </row>
    <row r="838" spans="1:17" ht="16.5" thickBot="1" x14ac:dyDescent="0.3">
      <c r="A838" s="62" t="s">
        <v>11</v>
      </c>
      <c r="B838" s="63"/>
      <c r="C838" s="63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6"/>
      <c r="P838" s="17"/>
      <c r="Q838" s="46"/>
    </row>
    <row r="839" spans="1:17" x14ac:dyDescent="0.25">
      <c r="A839" s="15"/>
      <c r="B839" s="14" t="s">
        <v>251</v>
      </c>
      <c r="C839" s="13" t="s">
        <v>15</v>
      </c>
      <c r="D839" s="12"/>
      <c r="E839" s="11">
        <v>3</v>
      </c>
      <c r="F839" s="10">
        <v>5.0999999999999996</v>
      </c>
      <c r="G839" s="10">
        <f t="shared" ref="G839:G844" si="48">+E839*F839</f>
        <v>15.299999999999999</v>
      </c>
      <c r="H839" s="12"/>
      <c r="I839" s="11"/>
      <c r="J839" s="10"/>
      <c r="K839" s="10">
        <f t="shared" ref="K839:K844" si="49">+I839*J839</f>
        <v>0</v>
      </c>
      <c r="L839" s="12"/>
      <c r="M839" s="11"/>
      <c r="N839" s="10"/>
      <c r="O839" s="10">
        <f t="shared" ref="O839:O844" si="50">+M839*N839</f>
        <v>0</v>
      </c>
      <c r="P839" s="12"/>
      <c r="Q839" s="55">
        <f>+E839/$E$846</f>
        <v>1.5952949434467942E-2</v>
      </c>
    </row>
    <row r="840" spans="1:17" x14ac:dyDescent="0.25">
      <c r="A840" s="15"/>
      <c r="B840" s="14" t="s">
        <v>307</v>
      </c>
      <c r="C840" s="13" t="s">
        <v>8</v>
      </c>
      <c r="D840" s="12"/>
      <c r="E840" s="11">
        <v>16</v>
      </c>
      <c r="F840" s="10">
        <v>6.59</v>
      </c>
      <c r="G840" s="10">
        <f t="shared" si="48"/>
        <v>105.44</v>
      </c>
      <c r="H840" s="12"/>
      <c r="I840" s="11"/>
      <c r="J840" s="10"/>
      <c r="K840" s="10">
        <f t="shared" si="49"/>
        <v>0</v>
      </c>
      <c r="L840" s="12"/>
      <c r="M840" s="11"/>
      <c r="N840" s="10"/>
      <c r="O840" s="10">
        <f t="shared" si="50"/>
        <v>0</v>
      </c>
      <c r="P840" s="12"/>
      <c r="Q840" s="55">
        <f>+E840/$E$846</f>
        <v>8.5082396983829023E-2</v>
      </c>
    </row>
    <row r="841" spans="1:17" ht="18" x14ac:dyDescent="0.25">
      <c r="A841" s="15"/>
      <c r="B841" s="14" t="s">
        <v>45</v>
      </c>
      <c r="C841" s="13" t="s">
        <v>42</v>
      </c>
      <c r="D841" s="12"/>
      <c r="E841" s="11">
        <f>0.76+0.44</f>
        <v>1.2</v>
      </c>
      <c r="F841" s="10">
        <v>13.75</v>
      </c>
      <c r="G841" s="10">
        <f t="shared" si="48"/>
        <v>16.5</v>
      </c>
      <c r="H841" s="12"/>
      <c r="I841" s="11"/>
      <c r="J841" s="10"/>
      <c r="K841" s="10">
        <f t="shared" si="49"/>
        <v>0</v>
      </c>
      <c r="L841" s="12"/>
      <c r="M841" s="11"/>
      <c r="N841" s="10"/>
      <c r="O841" s="10">
        <f t="shared" si="50"/>
        <v>0</v>
      </c>
      <c r="P841" s="12"/>
      <c r="Q841" s="55">
        <f>+E841/$E$846</f>
        <v>6.3811797737871765E-3</v>
      </c>
    </row>
    <row r="842" spans="1:17" ht="18" x14ac:dyDescent="0.25">
      <c r="A842" s="15"/>
      <c r="B842" s="14" t="s">
        <v>212</v>
      </c>
      <c r="C842" s="13" t="s">
        <v>42</v>
      </c>
      <c r="D842" s="12"/>
      <c r="E842" s="11">
        <v>0.8</v>
      </c>
      <c r="F842" s="10">
        <v>13.73</v>
      </c>
      <c r="G842" s="10">
        <f t="shared" si="48"/>
        <v>10.984000000000002</v>
      </c>
      <c r="H842" s="12"/>
      <c r="I842" s="11"/>
      <c r="J842" s="10"/>
      <c r="K842" s="10">
        <f t="shared" si="49"/>
        <v>0</v>
      </c>
      <c r="L842" s="12"/>
      <c r="M842" s="11"/>
      <c r="N842" s="10"/>
      <c r="O842" s="10">
        <f t="shared" si="50"/>
        <v>0</v>
      </c>
      <c r="P842" s="12"/>
      <c r="Q842" s="55">
        <f>+E842/$E$846</f>
        <v>4.2541198491914513E-3</v>
      </c>
    </row>
    <row r="843" spans="1:17" x14ac:dyDescent="0.25">
      <c r="A843" s="15"/>
      <c r="B843" s="14" t="s">
        <v>247</v>
      </c>
      <c r="C843" s="13" t="s">
        <v>15</v>
      </c>
      <c r="D843" s="12"/>
      <c r="E843" s="11">
        <v>5</v>
      </c>
      <c r="F843" s="10">
        <v>26.53</v>
      </c>
      <c r="G843" s="10">
        <f t="shared" si="48"/>
        <v>132.65</v>
      </c>
      <c r="H843" s="12"/>
      <c r="I843" s="11"/>
      <c r="J843" s="10"/>
      <c r="K843" s="10">
        <f t="shared" si="49"/>
        <v>0</v>
      </c>
      <c r="L843" s="12"/>
      <c r="M843" s="11"/>
      <c r="N843" s="10"/>
      <c r="O843" s="10">
        <f t="shared" si="50"/>
        <v>0</v>
      </c>
      <c r="P843" s="12"/>
      <c r="Q843" s="55">
        <f>+E843/$E$846</f>
        <v>2.658824905744657E-2</v>
      </c>
    </row>
    <row r="844" spans="1:17" ht="15.75" thickBot="1" x14ac:dyDescent="0.3">
      <c r="A844" s="15"/>
      <c r="B844" s="14"/>
      <c r="C844" s="13"/>
      <c r="D844" s="12"/>
      <c r="E844" s="11"/>
      <c r="F844" s="10"/>
      <c r="G844" s="10">
        <f t="shared" si="48"/>
        <v>0</v>
      </c>
      <c r="H844" s="12"/>
      <c r="I844" s="11"/>
      <c r="J844" s="10"/>
      <c r="K844" s="10">
        <f t="shared" si="49"/>
        <v>0</v>
      </c>
      <c r="L844" s="12"/>
      <c r="M844" s="11"/>
      <c r="N844" s="10"/>
      <c r="O844" s="10">
        <f t="shared" si="50"/>
        <v>0</v>
      </c>
      <c r="P844" s="12"/>
      <c r="Q844" s="46"/>
    </row>
    <row r="845" spans="1:17" ht="16.5" thickBot="1" x14ac:dyDescent="0.3">
      <c r="A845" s="62" t="s">
        <v>5</v>
      </c>
      <c r="B845" s="63"/>
      <c r="C845" s="63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6"/>
      <c r="P845" s="17"/>
      <c r="Q845" s="46"/>
    </row>
    <row r="846" spans="1:17" x14ac:dyDescent="0.25">
      <c r="A846" s="15"/>
      <c r="B846" s="14" t="s">
        <v>306</v>
      </c>
      <c r="C846" s="13" t="s">
        <v>3</v>
      </c>
      <c r="D846" s="12"/>
      <c r="E846" s="11">
        <v>188.053</v>
      </c>
      <c r="F846" s="42">
        <v>4.25</v>
      </c>
      <c r="G846" s="10">
        <f>+E846*F846</f>
        <v>799.22524999999996</v>
      </c>
      <c r="H846" s="12"/>
      <c r="I846" s="11">
        <v>10.5</v>
      </c>
      <c r="J846" s="10">
        <v>4.25</v>
      </c>
      <c r="K846" s="10">
        <f>+I846*J846</f>
        <v>44.625</v>
      </c>
      <c r="L846" s="12"/>
      <c r="M846" s="11"/>
      <c r="N846" s="10"/>
      <c r="O846" s="10">
        <f>+M846*N846</f>
        <v>0</v>
      </c>
      <c r="P846" s="12"/>
      <c r="Q846" s="46"/>
    </row>
    <row r="847" spans="1:17" ht="15.75" thickBot="1" x14ac:dyDescent="0.3">
      <c r="A847" s="15"/>
      <c r="B847" s="14"/>
      <c r="C847" s="13"/>
      <c r="D847" s="12"/>
      <c r="E847" s="11"/>
      <c r="F847" s="10"/>
      <c r="G847" s="10">
        <f>+E847*F847</f>
        <v>0</v>
      </c>
      <c r="H847" s="12"/>
      <c r="I847" s="11"/>
      <c r="J847" s="10"/>
      <c r="K847" s="10">
        <f>+I847*J847</f>
        <v>0</v>
      </c>
      <c r="L847" s="12"/>
      <c r="M847" s="11"/>
      <c r="N847" s="10"/>
      <c r="O847" s="10">
        <f>+M847*N847</f>
        <v>0</v>
      </c>
      <c r="P847" s="12"/>
      <c r="Q847" s="46"/>
    </row>
    <row r="848" spans="1:17" ht="16.5" thickBot="1" x14ac:dyDescent="0.3">
      <c r="A848" s="62" t="s">
        <v>2</v>
      </c>
      <c r="B848" s="63"/>
      <c r="C848" s="63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6"/>
      <c r="P848" s="17"/>
      <c r="Q848" s="46"/>
    </row>
    <row r="849" spans="1:17" x14ac:dyDescent="0.25">
      <c r="A849" s="15"/>
      <c r="B849" s="14" t="s">
        <v>234</v>
      </c>
      <c r="C849" s="13" t="s">
        <v>15</v>
      </c>
      <c r="D849" s="12"/>
      <c r="E849" s="11">
        <v>352</v>
      </c>
      <c r="F849" s="10">
        <v>0.35699999999999998</v>
      </c>
      <c r="G849" s="10">
        <f>+E849*F849</f>
        <v>125.66399999999999</v>
      </c>
      <c r="H849" s="12"/>
      <c r="I849" s="11"/>
      <c r="J849" s="10"/>
      <c r="K849" s="10">
        <f>+I849*J849</f>
        <v>0</v>
      </c>
      <c r="L849" s="12"/>
      <c r="M849" s="11"/>
      <c r="N849" s="10"/>
      <c r="O849" s="10">
        <f>+M849*N849</f>
        <v>0</v>
      </c>
      <c r="P849" s="12"/>
      <c r="Q849" s="55">
        <f>+E849/$E$846</f>
        <v>1.8718127336442387</v>
      </c>
    </row>
    <row r="850" spans="1:17" x14ac:dyDescent="0.25">
      <c r="A850" s="15"/>
      <c r="B850" s="14" t="s">
        <v>233</v>
      </c>
      <c r="C850" s="13" t="s">
        <v>15</v>
      </c>
      <c r="D850" s="12"/>
      <c r="E850" s="11">
        <v>352</v>
      </c>
      <c r="F850" s="10">
        <v>8.9510000000000006E-2</v>
      </c>
      <c r="G850" s="10">
        <f>+E850*F850</f>
        <v>31.507520000000003</v>
      </c>
      <c r="H850" s="12"/>
      <c r="I850" s="11"/>
      <c r="J850" s="10"/>
      <c r="K850" s="10">
        <f>+I850*J850</f>
        <v>0</v>
      </c>
      <c r="L850" s="12"/>
      <c r="M850" s="11"/>
      <c r="N850" s="10"/>
      <c r="O850" s="10">
        <f>+M850*N850</f>
        <v>0</v>
      </c>
      <c r="P850" s="12"/>
      <c r="Q850" s="55">
        <f>+E850/$E$846</f>
        <v>1.8718127336442387</v>
      </c>
    </row>
    <row r="851" spans="1:17" x14ac:dyDescent="0.25">
      <c r="A851" s="15"/>
      <c r="B851" s="14"/>
      <c r="C851" s="13"/>
      <c r="D851" s="12"/>
      <c r="E851" s="11"/>
      <c r="F851" s="10"/>
      <c r="G851" s="10">
        <f>+E851*F851</f>
        <v>0</v>
      </c>
      <c r="H851" s="12"/>
      <c r="I851" s="11"/>
      <c r="J851" s="10"/>
      <c r="K851" s="10">
        <f>+I851*J851</f>
        <v>0</v>
      </c>
      <c r="L851" s="12"/>
      <c r="M851" s="11"/>
      <c r="N851" s="10"/>
      <c r="O851" s="10">
        <f>+M851*N851</f>
        <v>0</v>
      </c>
      <c r="P851" s="12"/>
      <c r="Q851" s="46"/>
    </row>
    <row r="852" spans="1:17" ht="15.75" thickBot="1" x14ac:dyDescent="0.3">
      <c r="Q852" s="46"/>
    </row>
    <row r="853" spans="1:17" ht="21" thickBot="1" x14ac:dyDescent="0.3">
      <c r="A853" s="64" t="s">
        <v>1</v>
      </c>
      <c r="B853" s="65"/>
      <c r="C853" s="66"/>
      <c r="D853" s="5"/>
      <c r="E853" s="9"/>
      <c r="F853" s="8"/>
      <c r="G853" s="7">
        <f>SUM(G838:G852)</f>
        <v>1237.2707700000001</v>
      </c>
      <c r="H853" s="5"/>
      <c r="I853" s="9"/>
      <c r="J853" s="8"/>
      <c r="K853" s="7">
        <f>SUM(K836:K851)</f>
        <v>44.625</v>
      </c>
      <c r="L853" s="5"/>
      <c r="M853" s="9"/>
      <c r="N853" s="8"/>
      <c r="O853" s="7">
        <f>SUM(O836:O851)</f>
        <v>0</v>
      </c>
      <c r="P853" s="5"/>
      <c r="Q853" s="46"/>
    </row>
    <row r="854" spans="1:17" ht="21" thickBot="1" x14ac:dyDescent="0.3">
      <c r="A854" s="60" t="s">
        <v>0</v>
      </c>
      <c r="B854" s="61"/>
      <c r="C854" s="61"/>
      <c r="D854" s="5"/>
      <c r="E854" s="4"/>
      <c r="F854" s="3"/>
      <c r="G854" s="6">
        <f>+G853/E846</f>
        <v>6.5793726768517393</v>
      </c>
      <c r="H854" s="5"/>
      <c r="I854" s="4"/>
      <c r="J854" s="3"/>
      <c r="K854" s="6">
        <f>+K853/I846</f>
        <v>4.25</v>
      </c>
      <c r="L854" s="5"/>
      <c r="M854" s="4"/>
      <c r="N854" s="3"/>
      <c r="O854" s="6" t="e">
        <f>+O853/M846</f>
        <v>#DIV/0!</v>
      </c>
      <c r="P854" s="5"/>
      <c r="Q854" s="46"/>
    </row>
    <row r="855" spans="1:17" x14ac:dyDescent="0.25">
      <c r="Q855" s="46"/>
    </row>
    <row r="856" spans="1:1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46"/>
    </row>
    <row r="857" spans="1:17" ht="15.75" thickBot="1" x14ac:dyDescent="0.3">
      <c r="Q857" s="46"/>
    </row>
    <row r="858" spans="1:17" ht="16.5" thickBot="1" x14ac:dyDescent="0.3">
      <c r="A858" s="20" t="s">
        <v>305</v>
      </c>
      <c r="B858" s="19" t="s">
        <v>304</v>
      </c>
      <c r="C858" s="18" t="s">
        <v>88</v>
      </c>
      <c r="Q858" s="46"/>
    </row>
    <row r="859" spans="1:17" ht="15.75" thickBot="1" x14ac:dyDescent="0.3">
      <c r="Q859" s="46"/>
    </row>
    <row r="860" spans="1:17" ht="16.5" thickBot="1" x14ac:dyDescent="0.3">
      <c r="A860" s="62" t="s">
        <v>11</v>
      </c>
      <c r="B860" s="63"/>
      <c r="C860" s="63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6"/>
      <c r="P860" s="17"/>
      <c r="Q860" s="46"/>
    </row>
    <row r="861" spans="1:17" ht="15.75" thickBot="1" x14ac:dyDescent="0.3">
      <c r="A861" s="15"/>
      <c r="B861" s="14"/>
      <c r="C861" s="13"/>
      <c r="D861" s="12"/>
      <c r="E861" s="11"/>
      <c r="F861" s="10"/>
      <c r="G861" s="10">
        <f>+E861*F861</f>
        <v>0</v>
      </c>
      <c r="H861" s="12"/>
      <c r="I861" s="11"/>
      <c r="J861" s="10"/>
      <c r="K861" s="10">
        <f>+I861*J861</f>
        <v>0</v>
      </c>
      <c r="L861" s="12"/>
      <c r="M861" s="11"/>
      <c r="N861" s="10"/>
      <c r="O861" s="10">
        <f>+M861*N861</f>
        <v>0</v>
      </c>
      <c r="P861" s="12"/>
      <c r="Q861" s="46"/>
    </row>
    <row r="862" spans="1:17" ht="16.5" thickBot="1" x14ac:dyDescent="0.3">
      <c r="A862" s="62" t="s">
        <v>5</v>
      </c>
      <c r="B862" s="63"/>
      <c r="C862" s="63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6"/>
      <c r="P862" s="17"/>
      <c r="Q862" s="46"/>
    </row>
    <row r="863" spans="1:17" x14ac:dyDescent="0.25">
      <c r="A863" s="15"/>
      <c r="B863" s="14"/>
      <c r="C863" s="13"/>
      <c r="D863" s="12"/>
      <c r="E863" s="11"/>
      <c r="F863" s="10"/>
      <c r="G863" s="10">
        <f>+E863*F863</f>
        <v>0</v>
      </c>
      <c r="H863" s="12"/>
      <c r="I863" s="11"/>
      <c r="J863" s="10"/>
      <c r="K863" s="10">
        <f>+I863*J863</f>
        <v>0</v>
      </c>
      <c r="L863" s="12"/>
      <c r="M863" s="11"/>
      <c r="N863" s="10"/>
      <c r="O863" s="10">
        <f>+M863*N863</f>
        <v>0</v>
      </c>
      <c r="P863" s="12"/>
      <c r="Q863" s="46"/>
    </row>
    <row r="864" spans="1:17" ht="15.75" thickBot="1" x14ac:dyDescent="0.3">
      <c r="A864" s="15"/>
      <c r="B864" s="14"/>
      <c r="C864" s="13"/>
      <c r="D864" s="12"/>
      <c r="E864" s="11"/>
      <c r="F864" s="10"/>
      <c r="G864" s="10">
        <f>+E864*F864</f>
        <v>0</v>
      </c>
      <c r="H864" s="12"/>
      <c r="I864" s="11"/>
      <c r="J864" s="10"/>
      <c r="K864" s="10">
        <f>+I864*J864</f>
        <v>0</v>
      </c>
      <c r="L864" s="12"/>
      <c r="M864" s="11"/>
      <c r="N864" s="10"/>
      <c r="O864" s="10">
        <f>+M864*N864</f>
        <v>0</v>
      </c>
      <c r="P864" s="12"/>
      <c r="Q864" s="46"/>
    </row>
    <row r="865" spans="1:17" ht="16.5" thickBot="1" x14ac:dyDescent="0.3">
      <c r="A865" s="62" t="s">
        <v>2</v>
      </c>
      <c r="B865" s="63"/>
      <c r="C865" s="63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6"/>
      <c r="P865" s="17"/>
      <c r="Q865" s="46"/>
    </row>
    <row r="866" spans="1:17" x14ac:dyDescent="0.25">
      <c r="A866" s="15"/>
      <c r="B866" s="14" t="s">
        <v>329</v>
      </c>
      <c r="C866" s="13" t="s">
        <v>88</v>
      </c>
      <c r="D866" s="12"/>
      <c r="E866" s="11">
        <v>1</v>
      </c>
      <c r="F866" s="42">
        <v>60</v>
      </c>
      <c r="G866" s="10">
        <f>+E866*F866</f>
        <v>60</v>
      </c>
      <c r="H866" s="12"/>
      <c r="I866" s="11">
        <v>1</v>
      </c>
      <c r="J866" s="10">
        <v>40</v>
      </c>
      <c r="K866" s="10">
        <f>+I866*J866</f>
        <v>40</v>
      </c>
      <c r="L866" s="12"/>
      <c r="M866" s="11">
        <v>1</v>
      </c>
      <c r="N866" s="10">
        <v>80</v>
      </c>
      <c r="O866" s="10">
        <f>+M866*N866</f>
        <v>80</v>
      </c>
      <c r="P866" s="12"/>
      <c r="Q866" s="46"/>
    </row>
    <row r="867" spans="1:17" ht="15.75" thickBot="1" x14ac:dyDescent="0.3">
      <c r="Q867" s="46"/>
    </row>
    <row r="868" spans="1:17" ht="21" thickBot="1" x14ac:dyDescent="0.3">
      <c r="A868" s="64" t="s">
        <v>1</v>
      </c>
      <c r="B868" s="65"/>
      <c r="C868" s="66"/>
      <c r="D868" s="5"/>
      <c r="E868" s="9"/>
      <c r="F868" s="8"/>
      <c r="G868" s="7">
        <f>SUM(G860:G867)</f>
        <v>60</v>
      </c>
      <c r="H868" s="5"/>
      <c r="I868" s="9"/>
      <c r="J868" s="8"/>
      <c r="K868" s="7">
        <f>SUM(K858:K866)</f>
        <v>40</v>
      </c>
      <c r="L868" s="5"/>
      <c r="M868" s="9"/>
      <c r="N868" s="8"/>
      <c r="O868" s="7">
        <f>SUM(O858:O866)</f>
        <v>80</v>
      </c>
      <c r="P868" s="5"/>
      <c r="Q868" s="46"/>
    </row>
    <row r="869" spans="1:17" ht="21" thickBot="1" x14ac:dyDescent="0.3">
      <c r="A869" s="60" t="s">
        <v>0</v>
      </c>
      <c r="B869" s="61"/>
      <c r="C869" s="61"/>
      <c r="D869" s="5"/>
      <c r="E869" s="4"/>
      <c r="F869" s="3"/>
      <c r="G869" s="6">
        <f>+G868/E866</f>
        <v>60</v>
      </c>
      <c r="H869" s="5"/>
      <c r="I869" s="4"/>
      <c r="J869" s="3"/>
      <c r="K869" s="6">
        <f>+K868/I866</f>
        <v>40</v>
      </c>
      <c r="L869" s="5"/>
      <c r="M869" s="4"/>
      <c r="N869" s="3"/>
      <c r="O869" s="6">
        <f>+O868/M866</f>
        <v>80</v>
      </c>
      <c r="P869" s="5"/>
      <c r="Q869" s="46"/>
    </row>
    <row r="870" spans="1:17" x14ac:dyDescent="0.25">
      <c r="Q870" s="46"/>
    </row>
    <row r="871" spans="1:1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46"/>
    </row>
    <row r="872" spans="1:17" ht="15.75" thickBot="1" x14ac:dyDescent="0.3">
      <c r="Q872" s="46"/>
    </row>
    <row r="873" spans="1:17" ht="16.5" thickBot="1" x14ac:dyDescent="0.3">
      <c r="A873" s="20" t="s">
        <v>302</v>
      </c>
      <c r="B873" s="19" t="s">
        <v>301</v>
      </c>
      <c r="C873" s="25" t="s">
        <v>6</v>
      </c>
      <c r="Q873" s="46"/>
    </row>
    <row r="874" spans="1:17" ht="15.75" thickBot="1" x14ac:dyDescent="0.3">
      <c r="Q874" s="46"/>
    </row>
    <row r="875" spans="1:17" ht="16.5" thickBot="1" x14ac:dyDescent="0.3">
      <c r="A875" s="62" t="s">
        <v>11</v>
      </c>
      <c r="B875" s="63"/>
      <c r="C875" s="63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6"/>
      <c r="P875" s="17"/>
      <c r="Q875" s="46"/>
    </row>
    <row r="876" spans="1:17" x14ac:dyDescent="0.25">
      <c r="A876" s="15"/>
      <c r="B876" s="14" t="s">
        <v>307</v>
      </c>
      <c r="C876" s="13" t="s">
        <v>8</v>
      </c>
      <c r="D876" s="12"/>
      <c r="E876" s="11"/>
      <c r="F876" s="10"/>
      <c r="G876" s="10">
        <f>+E876*F876</f>
        <v>0</v>
      </c>
      <c r="H876" s="12"/>
      <c r="I876" s="11">
        <v>20</v>
      </c>
      <c r="J876" s="10">
        <v>6.82</v>
      </c>
      <c r="K876" s="10">
        <f>+I876*J876</f>
        <v>136.4</v>
      </c>
      <c r="L876" s="12"/>
      <c r="M876" s="11"/>
      <c r="N876" s="10"/>
      <c r="O876" s="10">
        <f>+M876*N876</f>
        <v>0</v>
      </c>
      <c r="P876" s="12"/>
      <c r="Q876" s="46"/>
    </row>
    <row r="877" spans="1:17" ht="18" x14ac:dyDescent="0.25">
      <c r="A877" s="15"/>
      <c r="B877" s="14" t="s">
        <v>7</v>
      </c>
      <c r="C877" s="13" t="s">
        <v>42</v>
      </c>
      <c r="D877" s="12"/>
      <c r="E877" s="11"/>
      <c r="F877" s="10"/>
      <c r="G877" s="10">
        <f>+E877*F877</f>
        <v>0</v>
      </c>
      <c r="H877" s="12"/>
      <c r="I877" s="11">
        <v>2.84</v>
      </c>
      <c r="J877" s="10">
        <v>12.5</v>
      </c>
      <c r="K877" s="10">
        <f>+I877*J877</f>
        <v>35.5</v>
      </c>
      <c r="L877" s="12"/>
      <c r="M877" s="11"/>
      <c r="N877" s="10"/>
      <c r="O877" s="10">
        <f>+M877*N877</f>
        <v>0</v>
      </c>
      <c r="P877" s="12"/>
      <c r="Q877" s="46"/>
    </row>
    <row r="878" spans="1:17" ht="18" x14ac:dyDescent="0.25">
      <c r="A878" s="15"/>
      <c r="B878" s="14" t="s">
        <v>212</v>
      </c>
      <c r="C878" s="13" t="s">
        <v>42</v>
      </c>
      <c r="D878" s="12"/>
      <c r="E878" s="11"/>
      <c r="F878" s="10"/>
      <c r="G878" s="10">
        <f>+E878*F878</f>
        <v>0</v>
      </c>
      <c r="H878" s="12"/>
      <c r="I878" s="11">
        <v>2.84</v>
      </c>
      <c r="J878" s="10">
        <v>12.5</v>
      </c>
      <c r="K878" s="10">
        <f>+I878*J878</f>
        <v>35.5</v>
      </c>
      <c r="L878" s="12"/>
      <c r="M878" s="11"/>
      <c r="N878" s="10"/>
      <c r="O878" s="10">
        <f>+M878*N878</f>
        <v>0</v>
      </c>
      <c r="P878" s="12"/>
      <c r="Q878" s="46"/>
    </row>
    <row r="879" spans="1:17" ht="15.75" thickBot="1" x14ac:dyDescent="0.3">
      <c r="A879" s="15"/>
      <c r="B879" s="14"/>
      <c r="C879" s="13"/>
      <c r="D879" s="12"/>
      <c r="E879" s="11"/>
      <c r="F879" s="10"/>
      <c r="G879" s="10">
        <f>+E879*F879</f>
        <v>0</v>
      </c>
      <c r="H879" s="12"/>
      <c r="I879" s="11"/>
      <c r="J879" s="10"/>
      <c r="K879" s="10">
        <f>+I879*J879</f>
        <v>0</v>
      </c>
      <c r="L879" s="12"/>
      <c r="M879" s="11"/>
      <c r="N879" s="10"/>
      <c r="O879" s="10">
        <f>+M879*N879</f>
        <v>0</v>
      </c>
      <c r="P879" s="12"/>
      <c r="Q879" s="46"/>
    </row>
    <row r="880" spans="1:17" ht="16.5" thickBot="1" x14ac:dyDescent="0.3">
      <c r="A880" s="62" t="s">
        <v>5</v>
      </c>
      <c r="B880" s="63"/>
      <c r="C880" s="63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6"/>
      <c r="P880" s="17"/>
      <c r="Q880" s="46"/>
    </row>
    <row r="881" spans="1:17" x14ac:dyDescent="0.25">
      <c r="A881" s="15"/>
      <c r="B881" s="14" t="s">
        <v>300</v>
      </c>
      <c r="C881" s="13" t="s">
        <v>6</v>
      </c>
      <c r="D881" s="12"/>
      <c r="E881" s="11"/>
      <c r="F881" s="10"/>
      <c r="G881" s="10">
        <f>+E881*F881</f>
        <v>0</v>
      </c>
      <c r="H881" s="12"/>
      <c r="I881" s="11">
        <v>7.98</v>
      </c>
      <c r="J881" s="42">
        <v>33</v>
      </c>
      <c r="K881" s="10">
        <f>+I881*J881</f>
        <v>263.34000000000003</v>
      </c>
      <c r="L881" s="12"/>
      <c r="M881" s="11"/>
      <c r="N881" s="10"/>
      <c r="O881" s="10">
        <f>+M881*N881</f>
        <v>0</v>
      </c>
      <c r="P881" s="12"/>
      <c r="Q881" s="46"/>
    </row>
    <row r="882" spans="1:17" ht="15.75" thickBot="1" x14ac:dyDescent="0.3">
      <c r="A882" s="15"/>
      <c r="B882" s="14"/>
      <c r="C882" s="13"/>
      <c r="D882" s="12"/>
      <c r="E882" s="11"/>
      <c r="F882" s="10"/>
      <c r="G882" s="10">
        <f>+E882*F882</f>
        <v>0</v>
      </c>
      <c r="H882" s="12"/>
      <c r="I882" s="11"/>
      <c r="J882" s="10"/>
      <c r="K882" s="10">
        <f>+I882*J882</f>
        <v>0</v>
      </c>
      <c r="L882" s="12"/>
      <c r="M882" s="11"/>
      <c r="N882" s="10"/>
      <c r="O882" s="10">
        <f>+M882*N882</f>
        <v>0</v>
      </c>
      <c r="P882" s="12"/>
      <c r="Q882" s="46"/>
    </row>
    <row r="883" spans="1:17" ht="16.5" thickBot="1" x14ac:dyDescent="0.3">
      <c r="A883" s="62" t="s">
        <v>2</v>
      </c>
      <c r="B883" s="63"/>
      <c r="C883" s="63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6"/>
      <c r="P883" s="17"/>
      <c r="Q883" s="46"/>
    </row>
    <row r="884" spans="1:17" x14ac:dyDescent="0.25">
      <c r="A884" s="15"/>
      <c r="B884" s="14"/>
      <c r="C884" s="13"/>
      <c r="D884" s="12"/>
      <c r="E884" s="11"/>
      <c r="F884" s="10"/>
      <c r="G884" s="10">
        <f>+E884*F884</f>
        <v>0</v>
      </c>
      <c r="H884" s="12"/>
      <c r="I884" s="11"/>
      <c r="J884" s="10"/>
      <c r="K884" s="10">
        <f>+I884*J884</f>
        <v>0</v>
      </c>
      <c r="L884" s="12"/>
      <c r="M884" s="11"/>
      <c r="N884" s="10"/>
      <c r="O884" s="10">
        <f>+M884*N884</f>
        <v>0</v>
      </c>
      <c r="P884" s="12"/>
      <c r="Q884" s="46"/>
    </row>
    <row r="885" spans="1:17" x14ac:dyDescent="0.25">
      <c r="A885" s="15"/>
      <c r="B885" s="14"/>
      <c r="C885" s="13"/>
      <c r="D885" s="12"/>
      <c r="E885" s="11"/>
      <c r="F885" s="10"/>
      <c r="G885" s="10">
        <f>+E885*F885</f>
        <v>0</v>
      </c>
      <c r="H885" s="12"/>
      <c r="I885" s="11"/>
      <c r="J885" s="10"/>
      <c r="K885" s="10">
        <f>+I885*J885</f>
        <v>0</v>
      </c>
      <c r="L885" s="12"/>
      <c r="M885" s="11"/>
      <c r="N885" s="10"/>
      <c r="O885" s="10">
        <f>+M885*N885</f>
        <v>0</v>
      </c>
      <c r="P885" s="12"/>
      <c r="Q885" s="46"/>
    </row>
    <row r="886" spans="1:17" ht="15.75" thickBot="1" x14ac:dyDescent="0.3">
      <c r="Q886" s="46"/>
    </row>
    <row r="887" spans="1:17" ht="21" thickBot="1" x14ac:dyDescent="0.3">
      <c r="A887" s="64" t="s">
        <v>1</v>
      </c>
      <c r="B887" s="65"/>
      <c r="C887" s="66"/>
      <c r="D887" s="5"/>
      <c r="E887" s="9"/>
      <c r="F887" s="8"/>
      <c r="G887" s="7">
        <f>SUM(G875:G886)</f>
        <v>0</v>
      </c>
      <c r="H887" s="5"/>
      <c r="I887" s="9"/>
      <c r="J887" s="8"/>
      <c r="K887" s="7">
        <f>SUM(K873:K885)</f>
        <v>470.74</v>
      </c>
      <c r="L887" s="5"/>
      <c r="M887" s="9"/>
      <c r="N887" s="8"/>
      <c r="O887" s="7">
        <f>SUM(O873:O885)</f>
        <v>0</v>
      </c>
      <c r="P887" s="5"/>
      <c r="Q887" s="46"/>
    </row>
    <row r="888" spans="1:17" ht="21" thickBot="1" x14ac:dyDescent="0.3">
      <c r="A888" s="60" t="s">
        <v>0</v>
      </c>
      <c r="B888" s="61"/>
      <c r="C888" s="61"/>
      <c r="D888" s="5"/>
      <c r="E888" s="4"/>
      <c r="F888" s="3"/>
      <c r="G888" s="6" t="e">
        <f>+G887/E881</f>
        <v>#DIV/0!</v>
      </c>
      <c r="H888" s="5"/>
      <c r="I888" s="4"/>
      <c r="J888" s="3"/>
      <c r="K888" s="6">
        <f>+K887/I881</f>
        <v>58.989974937343355</v>
      </c>
      <c r="L888" s="5"/>
      <c r="M888" s="4"/>
      <c r="N888" s="3"/>
      <c r="O888" s="6" t="e">
        <f>+O887/M881</f>
        <v>#DIV/0!</v>
      </c>
      <c r="P888" s="5"/>
      <c r="Q888" s="46"/>
    </row>
    <row r="889" spans="1:17" x14ac:dyDescent="0.25">
      <c r="Q889" s="46"/>
    </row>
    <row r="890" spans="1:1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46"/>
    </row>
    <row r="891" spans="1:17" ht="15.75" thickBot="1" x14ac:dyDescent="0.3">
      <c r="Q891" s="46"/>
    </row>
    <row r="892" spans="1:17" ht="16.5" thickBot="1" x14ac:dyDescent="0.3">
      <c r="A892" s="20" t="s">
        <v>299</v>
      </c>
      <c r="B892" s="19" t="s">
        <v>298</v>
      </c>
      <c r="C892" s="25" t="s">
        <v>6</v>
      </c>
      <c r="Q892" s="46"/>
    </row>
    <row r="893" spans="1:17" ht="15.75" thickBot="1" x14ac:dyDescent="0.3">
      <c r="Q893" s="46"/>
    </row>
    <row r="894" spans="1:17" ht="16.5" thickBot="1" x14ac:dyDescent="0.3">
      <c r="A894" s="62" t="s">
        <v>11</v>
      </c>
      <c r="B894" s="63"/>
      <c r="C894" s="63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6"/>
      <c r="P894" s="17"/>
      <c r="Q894" s="46"/>
    </row>
    <row r="895" spans="1:17" ht="15.75" thickBot="1" x14ac:dyDescent="0.3">
      <c r="A895" s="15"/>
      <c r="B895" s="14"/>
      <c r="C895" s="13"/>
      <c r="D895" s="12"/>
      <c r="E895" s="11"/>
      <c r="F895" s="10"/>
      <c r="G895" s="10">
        <f>+E895*F895</f>
        <v>0</v>
      </c>
      <c r="H895" s="12"/>
      <c r="I895" s="11"/>
      <c r="J895" s="10"/>
      <c r="K895" s="10">
        <f>+I895*J895</f>
        <v>0</v>
      </c>
      <c r="L895" s="12"/>
      <c r="M895" s="11"/>
      <c r="N895" s="10"/>
      <c r="O895" s="10">
        <f>+M895*N895</f>
        <v>0</v>
      </c>
      <c r="P895" s="12"/>
      <c r="Q895" s="46"/>
    </row>
    <row r="896" spans="1:17" ht="16.5" thickBot="1" x14ac:dyDescent="0.3">
      <c r="A896" s="62" t="s">
        <v>5</v>
      </c>
      <c r="B896" s="63"/>
      <c r="C896" s="63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6"/>
      <c r="P896" s="17"/>
      <c r="Q896" s="46"/>
    </row>
    <row r="897" spans="1:17" x14ac:dyDescent="0.25">
      <c r="A897" s="15"/>
      <c r="B897" s="14" t="s">
        <v>297</v>
      </c>
      <c r="C897" s="13" t="s">
        <v>6</v>
      </c>
      <c r="D897" s="12"/>
      <c r="E897" s="11"/>
      <c r="F897" s="10"/>
      <c r="G897" s="10">
        <f>+E897*F897</f>
        <v>0</v>
      </c>
      <c r="H897" s="12"/>
      <c r="I897" s="11">
        <v>0.6</v>
      </c>
      <c r="J897" s="42">
        <f>17.25/1.15</f>
        <v>15.000000000000002</v>
      </c>
      <c r="K897" s="10">
        <f>+I897*J897</f>
        <v>9</v>
      </c>
      <c r="L897" s="12"/>
      <c r="M897" s="11"/>
      <c r="N897" s="10"/>
      <c r="O897" s="10">
        <f>+M897*N897</f>
        <v>0</v>
      </c>
      <c r="P897" s="12"/>
      <c r="Q897" s="46"/>
    </row>
    <row r="898" spans="1:17" ht="15.75" thickBot="1" x14ac:dyDescent="0.3">
      <c r="A898" s="15"/>
      <c r="B898" s="14"/>
      <c r="C898" s="13"/>
      <c r="D898" s="12"/>
      <c r="E898" s="11"/>
      <c r="F898" s="10"/>
      <c r="G898" s="10">
        <f>+E898*F898</f>
        <v>0</v>
      </c>
      <c r="H898" s="12"/>
      <c r="I898" s="11"/>
      <c r="J898" s="10"/>
      <c r="K898" s="10">
        <f>+I898*J898</f>
        <v>0</v>
      </c>
      <c r="L898" s="12"/>
      <c r="M898" s="11"/>
      <c r="N898" s="10"/>
      <c r="O898" s="10">
        <f>+M898*N898</f>
        <v>0</v>
      </c>
      <c r="P898" s="12"/>
      <c r="Q898" s="46"/>
    </row>
    <row r="899" spans="1:17" ht="16.5" thickBot="1" x14ac:dyDescent="0.3">
      <c r="A899" s="62" t="s">
        <v>2</v>
      </c>
      <c r="B899" s="63"/>
      <c r="C899" s="63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6"/>
      <c r="P899" s="17"/>
      <c r="Q899" s="46"/>
    </row>
    <row r="900" spans="1:17" x14ac:dyDescent="0.25">
      <c r="A900" s="15"/>
      <c r="B900" s="14"/>
      <c r="C900" s="13"/>
      <c r="D900" s="12"/>
      <c r="E900" s="11"/>
      <c r="F900" s="10"/>
      <c r="G900" s="10">
        <f>+E900*F900</f>
        <v>0</v>
      </c>
      <c r="H900" s="12"/>
      <c r="I900" s="11"/>
      <c r="J900" s="10"/>
      <c r="K900" s="10">
        <f>+I900*J900</f>
        <v>0</v>
      </c>
      <c r="L900" s="12"/>
      <c r="M900" s="11"/>
      <c r="N900" s="10"/>
      <c r="O900" s="10">
        <f>+M900*N900</f>
        <v>0</v>
      </c>
      <c r="P900" s="12"/>
      <c r="Q900" s="46"/>
    </row>
    <row r="901" spans="1:17" x14ac:dyDescent="0.25">
      <c r="A901" s="15"/>
      <c r="B901" s="14"/>
      <c r="C901" s="13"/>
      <c r="D901" s="12"/>
      <c r="E901" s="11"/>
      <c r="F901" s="10"/>
      <c r="G901" s="10">
        <f>+E901*F901</f>
        <v>0</v>
      </c>
      <c r="H901" s="12"/>
      <c r="I901" s="11"/>
      <c r="J901" s="10"/>
      <c r="K901" s="10">
        <f>+I901*J901</f>
        <v>0</v>
      </c>
      <c r="L901" s="12"/>
      <c r="M901" s="11"/>
      <c r="N901" s="10"/>
      <c r="O901" s="10">
        <f>+M901*N901</f>
        <v>0</v>
      </c>
      <c r="P901" s="12"/>
      <c r="Q901" s="46"/>
    </row>
    <row r="902" spans="1:17" ht="15.75" thickBot="1" x14ac:dyDescent="0.3">
      <c r="Q902" s="46"/>
    </row>
    <row r="903" spans="1:17" ht="21" thickBot="1" x14ac:dyDescent="0.3">
      <c r="A903" s="64" t="s">
        <v>1</v>
      </c>
      <c r="B903" s="65"/>
      <c r="C903" s="66"/>
      <c r="D903" s="5"/>
      <c r="E903" s="9"/>
      <c r="F903" s="8"/>
      <c r="G903" s="7">
        <f>SUM(G894:G902)</f>
        <v>0</v>
      </c>
      <c r="H903" s="5"/>
      <c r="I903" s="9"/>
      <c r="J903" s="8"/>
      <c r="K903" s="7">
        <f>SUM(K892:K901)</f>
        <v>9</v>
      </c>
      <c r="L903" s="5"/>
      <c r="M903" s="9"/>
      <c r="N903" s="8"/>
      <c r="O903" s="7">
        <f>SUM(O892:O901)</f>
        <v>0</v>
      </c>
      <c r="P903" s="5"/>
      <c r="Q903" s="46"/>
    </row>
    <row r="904" spans="1:17" ht="21" thickBot="1" x14ac:dyDescent="0.3">
      <c r="A904" s="60" t="s">
        <v>0</v>
      </c>
      <c r="B904" s="61"/>
      <c r="C904" s="61"/>
      <c r="D904" s="5"/>
      <c r="E904" s="4"/>
      <c r="F904" s="3"/>
      <c r="G904" s="6" t="e">
        <f>+G903/E897</f>
        <v>#DIV/0!</v>
      </c>
      <c r="H904" s="5"/>
      <c r="I904" s="4"/>
      <c r="J904" s="3"/>
      <c r="K904" s="6">
        <f>+K903/I897</f>
        <v>15</v>
      </c>
      <c r="L904" s="5"/>
      <c r="M904" s="4"/>
      <c r="N904" s="3"/>
      <c r="O904" s="6" t="e">
        <f>+O903/M897</f>
        <v>#DIV/0!</v>
      </c>
      <c r="P904" s="5"/>
      <c r="Q904" s="46"/>
    </row>
    <row r="905" spans="1:17" x14ac:dyDescent="0.25">
      <c r="Q905" s="46"/>
    </row>
    <row r="906" spans="1:1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46"/>
    </row>
    <row r="907" spans="1:17" ht="15.75" thickBot="1" x14ac:dyDescent="0.3">
      <c r="Q907" s="46"/>
    </row>
    <row r="908" spans="1:17" ht="24" thickBot="1" x14ac:dyDescent="0.3">
      <c r="A908" s="22" t="s">
        <v>296</v>
      </c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2"/>
      <c r="N908" s="22"/>
      <c r="O908" s="22"/>
      <c r="P908" s="23"/>
      <c r="Q908" s="46"/>
    </row>
    <row r="909" spans="1:17" ht="15.75" thickBot="1" x14ac:dyDescent="0.3">
      <c r="Q909" s="46"/>
    </row>
    <row r="910" spans="1:17" ht="32.25" thickBot="1" x14ac:dyDescent="0.3">
      <c r="A910" s="20" t="s">
        <v>295</v>
      </c>
      <c r="B910" s="19" t="s">
        <v>294</v>
      </c>
      <c r="C910" s="18" t="s">
        <v>19</v>
      </c>
      <c r="Q910" s="46"/>
    </row>
    <row r="911" spans="1:17" ht="15.75" thickBot="1" x14ac:dyDescent="0.3">
      <c r="Q911" s="46"/>
    </row>
    <row r="912" spans="1:17" ht="16.5" thickBot="1" x14ac:dyDescent="0.3">
      <c r="A912" s="62" t="s">
        <v>11</v>
      </c>
      <c r="B912" s="63"/>
      <c r="C912" s="63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6"/>
      <c r="P912" s="17"/>
      <c r="Q912" s="46"/>
    </row>
    <row r="913" spans="1:17" x14ac:dyDescent="0.25">
      <c r="A913" s="15"/>
      <c r="B913" s="14"/>
      <c r="C913" s="13"/>
      <c r="D913" s="12"/>
      <c r="E913" s="11"/>
      <c r="F913" s="10"/>
      <c r="G913" s="10">
        <f>+E913*F913</f>
        <v>0</v>
      </c>
      <c r="H913" s="12"/>
      <c r="I913" s="11"/>
      <c r="J913" s="10"/>
      <c r="K913" s="10">
        <f>+I913*J913</f>
        <v>0</v>
      </c>
      <c r="L913" s="12"/>
      <c r="M913" s="11"/>
      <c r="N913" s="10"/>
      <c r="O913" s="10">
        <f>+M913*N913</f>
        <v>0</v>
      </c>
      <c r="P913" s="12"/>
      <c r="Q913" s="46"/>
    </row>
    <row r="914" spans="1:17" ht="15.75" thickBot="1" x14ac:dyDescent="0.3">
      <c r="A914" s="15"/>
      <c r="B914" s="14"/>
      <c r="C914" s="13"/>
      <c r="D914" s="12"/>
      <c r="E914" s="11"/>
      <c r="F914" s="10"/>
      <c r="G914" s="10">
        <f>+E914*F914</f>
        <v>0</v>
      </c>
      <c r="H914" s="12"/>
      <c r="I914" s="11"/>
      <c r="J914" s="10"/>
      <c r="K914" s="10">
        <f>+I914*J914</f>
        <v>0</v>
      </c>
      <c r="L914" s="12"/>
      <c r="M914" s="11"/>
      <c r="N914" s="10"/>
      <c r="O914" s="10">
        <f>+M914*N914</f>
        <v>0</v>
      </c>
      <c r="P914" s="12"/>
      <c r="Q914" s="46"/>
    </row>
    <row r="915" spans="1:17" ht="16.5" thickBot="1" x14ac:dyDescent="0.3">
      <c r="A915" s="62" t="s">
        <v>5</v>
      </c>
      <c r="B915" s="63"/>
      <c r="C915" s="63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6"/>
      <c r="P915" s="17"/>
      <c r="Q915" s="46"/>
    </row>
    <row r="916" spans="1:17" ht="18" x14ac:dyDescent="0.25">
      <c r="A916" s="15"/>
      <c r="B916" s="14" t="s">
        <v>293</v>
      </c>
      <c r="C916" s="13" t="s">
        <v>13</v>
      </c>
      <c r="D916" s="12"/>
      <c r="E916" s="11">
        <v>120.59</v>
      </c>
      <c r="F916" s="42">
        <v>13.89</v>
      </c>
      <c r="G916" s="10">
        <f>+E916*F916</f>
        <v>1674.9951000000001</v>
      </c>
      <c r="H916" s="12"/>
      <c r="I916" s="11">
        <v>195.83</v>
      </c>
      <c r="J916" s="10">
        <v>9.93</v>
      </c>
      <c r="K916" s="10">
        <f>+I916*J916</f>
        <v>1944.5919000000001</v>
      </c>
      <c r="L916" s="12"/>
      <c r="M916" s="11">
        <v>208.98</v>
      </c>
      <c r="N916" s="10">
        <v>9.93</v>
      </c>
      <c r="O916" s="10">
        <f>+M916*N916</f>
        <v>2075.1713999999997</v>
      </c>
      <c r="P916" s="12"/>
      <c r="Q916" s="46"/>
    </row>
    <row r="917" spans="1:17" ht="15.75" thickBot="1" x14ac:dyDescent="0.3">
      <c r="A917" s="15"/>
      <c r="B917" s="14"/>
      <c r="C917" s="13"/>
      <c r="D917" s="12"/>
      <c r="E917" s="11"/>
      <c r="F917" s="10"/>
      <c r="G917" s="10">
        <f>+E917*F917</f>
        <v>0</v>
      </c>
      <c r="H917" s="12"/>
      <c r="I917" s="11"/>
      <c r="J917" s="10"/>
      <c r="K917" s="10">
        <f>+I917*J917</f>
        <v>0</v>
      </c>
      <c r="L917" s="12"/>
      <c r="M917" s="11"/>
      <c r="N917" s="10"/>
      <c r="O917" s="10">
        <f>+M917*N917</f>
        <v>0</v>
      </c>
      <c r="P917" s="12"/>
      <c r="Q917" s="46"/>
    </row>
    <row r="918" spans="1:17" ht="16.5" thickBot="1" x14ac:dyDescent="0.3">
      <c r="A918" s="62" t="s">
        <v>2</v>
      </c>
      <c r="B918" s="63"/>
      <c r="C918" s="63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6"/>
      <c r="P918" s="17"/>
      <c r="Q918" s="46"/>
    </row>
    <row r="919" spans="1:17" x14ac:dyDescent="0.25">
      <c r="A919" s="15"/>
      <c r="B919" s="14"/>
      <c r="C919" s="13"/>
      <c r="D919" s="12"/>
      <c r="E919" s="11"/>
      <c r="F919" s="10"/>
      <c r="G919" s="10">
        <f>+E919*F919</f>
        <v>0</v>
      </c>
      <c r="H919" s="12"/>
      <c r="I919" s="11"/>
      <c r="J919" s="10"/>
      <c r="K919" s="10">
        <f>+I919*J919</f>
        <v>0</v>
      </c>
      <c r="L919" s="12"/>
      <c r="M919" s="11"/>
      <c r="N919" s="10"/>
      <c r="O919" s="10">
        <f>+M919*N919</f>
        <v>0</v>
      </c>
      <c r="P919" s="12"/>
      <c r="Q919" s="46"/>
    </row>
    <row r="920" spans="1:17" x14ac:dyDescent="0.25">
      <c r="A920" s="15"/>
      <c r="B920" s="14"/>
      <c r="C920" s="13"/>
      <c r="D920" s="12"/>
      <c r="E920" s="11"/>
      <c r="F920" s="10"/>
      <c r="G920" s="10">
        <f>+E920*F920</f>
        <v>0</v>
      </c>
      <c r="H920" s="12"/>
      <c r="I920" s="11"/>
      <c r="J920" s="10"/>
      <c r="K920" s="10">
        <f>+I920*J920</f>
        <v>0</v>
      </c>
      <c r="L920" s="12"/>
      <c r="M920" s="11"/>
      <c r="N920" s="10"/>
      <c r="O920" s="10">
        <f>+M920*N920</f>
        <v>0</v>
      </c>
      <c r="P920" s="12"/>
      <c r="Q920" s="46"/>
    </row>
    <row r="921" spans="1:17" ht="15.75" thickBot="1" x14ac:dyDescent="0.3">
      <c r="Q921" s="46"/>
    </row>
    <row r="922" spans="1:17" ht="21" thickBot="1" x14ac:dyDescent="0.3">
      <c r="A922" s="64" t="s">
        <v>1</v>
      </c>
      <c r="B922" s="65"/>
      <c r="C922" s="66"/>
      <c r="D922" s="5"/>
      <c r="E922" s="9"/>
      <c r="F922" s="8"/>
      <c r="G922" s="7">
        <f>SUM(G912:G921)</f>
        <v>1674.9951000000001</v>
      </c>
      <c r="H922" s="5"/>
      <c r="I922" s="9"/>
      <c r="J922" s="8"/>
      <c r="K922" s="7">
        <f>SUM(K910:K920)</f>
        <v>1944.5919000000001</v>
      </c>
      <c r="L922" s="5"/>
      <c r="M922" s="9"/>
      <c r="N922" s="8"/>
      <c r="O922" s="7">
        <f>SUM(O910:O920)</f>
        <v>2075.1713999999997</v>
      </c>
      <c r="P922" s="5"/>
      <c r="Q922" s="46"/>
    </row>
    <row r="923" spans="1:17" ht="21" thickBot="1" x14ac:dyDescent="0.3">
      <c r="A923" s="60" t="s">
        <v>0</v>
      </c>
      <c r="B923" s="61"/>
      <c r="C923" s="61"/>
      <c r="D923" s="5"/>
      <c r="E923" s="4"/>
      <c r="F923" s="3"/>
      <c r="G923" s="6">
        <f>+G922/E916</f>
        <v>13.89</v>
      </c>
      <c r="H923" s="5"/>
      <c r="I923" s="4"/>
      <c r="J923" s="3"/>
      <c r="K923" s="6">
        <f>+K922/I916</f>
        <v>9.93</v>
      </c>
      <c r="L923" s="5"/>
      <c r="M923" s="4"/>
      <c r="N923" s="3"/>
      <c r="O923" s="6">
        <f>+O922/M916</f>
        <v>9.93</v>
      </c>
      <c r="P923" s="5"/>
      <c r="Q923" s="46"/>
    </row>
    <row r="924" spans="1:17" x14ac:dyDescent="0.25">
      <c r="Q924" s="46"/>
    </row>
    <row r="925" spans="1:1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46"/>
    </row>
    <row r="926" spans="1:17" ht="15.75" thickBot="1" x14ac:dyDescent="0.3">
      <c r="Q926" s="46"/>
    </row>
    <row r="927" spans="1:17" ht="19.5" thickBot="1" x14ac:dyDescent="0.3">
      <c r="A927" s="20" t="s">
        <v>292</v>
      </c>
      <c r="B927" s="19" t="s">
        <v>291</v>
      </c>
      <c r="C927" s="18" t="s">
        <v>19</v>
      </c>
      <c r="Q927" s="46"/>
    </row>
    <row r="928" spans="1:17" ht="15.75" thickBot="1" x14ac:dyDescent="0.3">
      <c r="Q928" s="46"/>
    </row>
    <row r="929" spans="1:17" ht="16.5" thickBot="1" x14ac:dyDescent="0.3">
      <c r="A929" s="62" t="s">
        <v>11</v>
      </c>
      <c r="B929" s="63"/>
      <c r="C929" s="63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6"/>
      <c r="P929" s="17"/>
      <c r="Q929" s="46"/>
    </row>
    <row r="930" spans="1:17" x14ac:dyDescent="0.25">
      <c r="A930" s="15"/>
      <c r="B930" s="14"/>
      <c r="C930" s="13"/>
      <c r="D930" s="12"/>
      <c r="E930" s="11"/>
      <c r="F930" s="10"/>
      <c r="G930" s="10">
        <f>+E930*F930</f>
        <v>0</v>
      </c>
      <c r="H930" s="12"/>
      <c r="I930" s="11"/>
      <c r="J930" s="10"/>
      <c r="K930" s="10">
        <f>+I930*J930</f>
        <v>0</v>
      </c>
      <c r="L930" s="12"/>
      <c r="M930" s="11"/>
      <c r="N930" s="10"/>
      <c r="O930" s="10">
        <f>+M930*N930</f>
        <v>0</v>
      </c>
      <c r="P930" s="12"/>
      <c r="Q930" s="46"/>
    </row>
    <row r="931" spans="1:17" ht="15.75" thickBot="1" x14ac:dyDescent="0.3">
      <c r="A931" s="15"/>
      <c r="B931" s="14"/>
      <c r="C931" s="13"/>
      <c r="D931" s="12"/>
      <c r="E931" s="11"/>
      <c r="F931" s="10"/>
      <c r="G931" s="10">
        <f>+E931*F931</f>
        <v>0</v>
      </c>
      <c r="H931" s="12"/>
      <c r="I931" s="11"/>
      <c r="J931" s="10"/>
      <c r="K931" s="10">
        <f>+I931*J931</f>
        <v>0</v>
      </c>
      <c r="L931" s="12"/>
      <c r="M931" s="11"/>
      <c r="N931" s="10"/>
      <c r="O931" s="10">
        <f>+M931*N931</f>
        <v>0</v>
      </c>
      <c r="P931" s="12"/>
      <c r="Q931" s="46"/>
    </row>
    <row r="932" spans="1:17" ht="16.5" thickBot="1" x14ac:dyDescent="0.3">
      <c r="A932" s="62" t="s">
        <v>5</v>
      </c>
      <c r="B932" s="63"/>
      <c r="C932" s="63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6"/>
      <c r="P932" s="17"/>
      <c r="Q932" s="46"/>
    </row>
    <row r="933" spans="1:17" ht="18" x14ac:dyDescent="0.25">
      <c r="A933" s="15"/>
      <c r="B933" s="14" t="s">
        <v>290</v>
      </c>
      <c r="C933" s="13" t="s">
        <v>13</v>
      </c>
      <c r="D933" s="12"/>
      <c r="E933" s="11">
        <v>26.68</v>
      </c>
      <c r="F933" s="42">
        <v>25.09</v>
      </c>
      <c r="G933" s="10">
        <f>+E933*F933</f>
        <v>669.40120000000002</v>
      </c>
      <c r="H933" s="12"/>
      <c r="I933" s="11"/>
      <c r="J933" s="10"/>
      <c r="K933" s="10">
        <f>+I933*J933</f>
        <v>0</v>
      </c>
      <c r="L933" s="12"/>
      <c r="M933" s="11"/>
      <c r="N933" s="10"/>
      <c r="O933" s="10">
        <f>+M933*N933</f>
        <v>0</v>
      </c>
      <c r="P933" s="12"/>
      <c r="Q933" s="46"/>
    </row>
    <row r="934" spans="1:17" ht="15.75" thickBot="1" x14ac:dyDescent="0.3">
      <c r="A934" s="15"/>
      <c r="B934" s="14"/>
      <c r="C934" s="13"/>
      <c r="D934" s="12"/>
      <c r="E934" s="11"/>
      <c r="F934" s="10"/>
      <c r="G934" s="10">
        <f>+E934*F934</f>
        <v>0</v>
      </c>
      <c r="H934" s="12"/>
      <c r="I934" s="11"/>
      <c r="J934" s="10"/>
      <c r="K934" s="10">
        <f>+I934*J934</f>
        <v>0</v>
      </c>
      <c r="L934" s="12"/>
      <c r="M934" s="11"/>
      <c r="N934" s="10"/>
      <c r="O934" s="10">
        <f>+M934*N934</f>
        <v>0</v>
      </c>
      <c r="P934" s="12"/>
      <c r="Q934" s="46"/>
    </row>
    <row r="935" spans="1:17" ht="16.5" thickBot="1" x14ac:dyDescent="0.3">
      <c r="A935" s="62" t="s">
        <v>2</v>
      </c>
      <c r="B935" s="63"/>
      <c r="C935" s="63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6"/>
      <c r="P935" s="17"/>
      <c r="Q935" s="46"/>
    </row>
    <row r="936" spans="1:17" x14ac:dyDescent="0.25">
      <c r="A936" s="15"/>
      <c r="B936" s="14"/>
      <c r="C936" s="13"/>
      <c r="D936" s="12"/>
      <c r="E936" s="11"/>
      <c r="F936" s="10"/>
      <c r="G936" s="10">
        <f>+E936*F936</f>
        <v>0</v>
      </c>
      <c r="H936" s="12"/>
      <c r="I936" s="11"/>
      <c r="J936" s="10"/>
      <c r="K936" s="10">
        <f>+I936*J936</f>
        <v>0</v>
      </c>
      <c r="L936" s="12"/>
      <c r="M936" s="11"/>
      <c r="N936" s="10"/>
      <c r="O936" s="10">
        <f>+M936*N936</f>
        <v>0</v>
      </c>
      <c r="P936" s="12"/>
      <c r="Q936" s="46"/>
    </row>
    <row r="937" spans="1:17" x14ac:dyDescent="0.25">
      <c r="A937" s="15"/>
      <c r="B937" s="14"/>
      <c r="C937" s="13"/>
      <c r="D937" s="12"/>
      <c r="E937" s="11"/>
      <c r="F937" s="10"/>
      <c r="G937" s="10">
        <f>+E937*F937</f>
        <v>0</v>
      </c>
      <c r="H937" s="12"/>
      <c r="I937" s="11"/>
      <c r="J937" s="10"/>
      <c r="K937" s="10">
        <f>+I937*J937</f>
        <v>0</v>
      </c>
      <c r="L937" s="12"/>
      <c r="M937" s="11"/>
      <c r="N937" s="10"/>
      <c r="O937" s="10">
        <f>+M937*N937</f>
        <v>0</v>
      </c>
      <c r="P937" s="12"/>
      <c r="Q937" s="46"/>
    </row>
    <row r="938" spans="1:17" ht="15.75" thickBot="1" x14ac:dyDescent="0.3">
      <c r="Q938" s="46"/>
    </row>
    <row r="939" spans="1:17" ht="21" thickBot="1" x14ac:dyDescent="0.3">
      <c r="A939" s="64" t="s">
        <v>1</v>
      </c>
      <c r="B939" s="65"/>
      <c r="C939" s="66"/>
      <c r="D939" s="5"/>
      <c r="E939" s="9"/>
      <c r="F939" s="8"/>
      <c r="G939" s="7">
        <f>SUM(G929:G938)</f>
        <v>669.40120000000002</v>
      </c>
      <c r="H939" s="5"/>
      <c r="I939" s="9"/>
      <c r="J939" s="8"/>
      <c r="K939" s="7">
        <f>SUM(K927:K937)</f>
        <v>0</v>
      </c>
      <c r="L939" s="5"/>
      <c r="M939" s="9"/>
      <c r="N939" s="8"/>
      <c r="O939" s="7">
        <f>SUM(O927:O937)</f>
        <v>0</v>
      </c>
      <c r="P939" s="5"/>
      <c r="Q939" s="46"/>
    </row>
    <row r="940" spans="1:17" ht="21" thickBot="1" x14ac:dyDescent="0.3">
      <c r="A940" s="60" t="s">
        <v>0</v>
      </c>
      <c r="B940" s="61"/>
      <c r="C940" s="61"/>
      <c r="D940" s="5"/>
      <c r="E940" s="4"/>
      <c r="F940" s="3"/>
      <c r="G940" s="6">
        <f>+G939/E933</f>
        <v>25.09</v>
      </c>
      <c r="H940" s="5"/>
      <c r="I940" s="4"/>
      <c r="J940" s="3"/>
      <c r="K940" s="6" t="e">
        <f>+K939/I933</f>
        <v>#DIV/0!</v>
      </c>
      <c r="L940" s="5"/>
      <c r="M940" s="4"/>
      <c r="N940" s="3"/>
      <c r="O940" s="6" t="e">
        <f>+O939/M933</f>
        <v>#DIV/0!</v>
      </c>
      <c r="P940" s="5"/>
      <c r="Q940" s="46"/>
    </row>
    <row r="941" spans="1:17" x14ac:dyDescent="0.25">
      <c r="Q941" s="46"/>
    </row>
    <row r="942" spans="1:1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46"/>
    </row>
    <row r="943" spans="1:17" ht="15.75" thickBot="1" x14ac:dyDescent="0.3">
      <c r="Q943" s="46"/>
    </row>
    <row r="944" spans="1:17" ht="19.5" thickBot="1" x14ac:dyDescent="0.3">
      <c r="A944" s="20" t="s">
        <v>289</v>
      </c>
      <c r="B944" s="19" t="s">
        <v>288</v>
      </c>
      <c r="C944" s="18" t="s">
        <v>19</v>
      </c>
      <c r="Q944" s="46"/>
    </row>
    <row r="945" spans="1:17" ht="15.75" thickBot="1" x14ac:dyDescent="0.3">
      <c r="Q945" s="46"/>
    </row>
    <row r="946" spans="1:17" ht="16.5" thickBot="1" x14ac:dyDescent="0.3">
      <c r="A946" s="62" t="s">
        <v>11</v>
      </c>
      <c r="B946" s="63"/>
      <c r="C946" s="63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6"/>
      <c r="P946" s="17"/>
      <c r="Q946" s="46"/>
    </row>
    <row r="947" spans="1:17" ht="15.75" thickBot="1" x14ac:dyDescent="0.3">
      <c r="A947" s="15"/>
      <c r="B947" s="14"/>
      <c r="C947" s="13"/>
      <c r="D947" s="12"/>
      <c r="E947" s="11"/>
      <c r="F947" s="10"/>
      <c r="G947" s="10">
        <f>+E947*F947</f>
        <v>0</v>
      </c>
      <c r="H947" s="12"/>
      <c r="I947" s="11"/>
      <c r="J947" s="10"/>
      <c r="K947" s="10">
        <f>+I947*J947</f>
        <v>0</v>
      </c>
      <c r="L947" s="12"/>
      <c r="M947" s="11"/>
      <c r="N947" s="10"/>
      <c r="O947" s="10">
        <f>+M947*N947</f>
        <v>0</v>
      </c>
      <c r="P947" s="12"/>
      <c r="Q947" s="46"/>
    </row>
    <row r="948" spans="1:17" ht="16.5" thickBot="1" x14ac:dyDescent="0.3">
      <c r="A948" s="62" t="s">
        <v>5</v>
      </c>
      <c r="B948" s="63"/>
      <c r="C948" s="63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6"/>
      <c r="P948" s="17"/>
      <c r="Q948" s="46"/>
    </row>
    <row r="949" spans="1:17" ht="18" x14ac:dyDescent="0.25">
      <c r="A949" s="15"/>
      <c r="B949" s="14" t="s">
        <v>287</v>
      </c>
      <c r="C949" s="13" t="s">
        <v>13</v>
      </c>
      <c r="D949" s="12"/>
      <c r="E949" s="11">
        <v>324.92590000000001</v>
      </c>
      <c r="F949" s="42">
        <v>25.87</v>
      </c>
      <c r="G949" s="10">
        <f>+E949*F949</f>
        <v>8405.8330330000008</v>
      </c>
      <c r="H949" s="12"/>
      <c r="I949" s="11">
        <v>227.32</v>
      </c>
      <c r="J949" s="10">
        <v>11</v>
      </c>
      <c r="K949" s="10">
        <f>+I949*J949</f>
        <v>2500.52</v>
      </c>
      <c r="L949" s="12"/>
      <c r="M949" s="11">
        <v>766.81</v>
      </c>
      <c r="N949" s="10">
        <v>11.5</v>
      </c>
      <c r="O949" s="10">
        <f>+M949*N949</f>
        <v>8818.3149999999987</v>
      </c>
      <c r="P949" s="12"/>
      <c r="Q949" s="46"/>
    </row>
    <row r="950" spans="1:17" ht="15.75" thickBot="1" x14ac:dyDescent="0.3">
      <c r="A950" s="15"/>
      <c r="B950" s="14"/>
      <c r="C950" s="13"/>
      <c r="D950" s="12"/>
      <c r="E950" s="11"/>
      <c r="F950" s="10"/>
      <c r="G950" s="10">
        <f>+E950*F950</f>
        <v>0</v>
      </c>
      <c r="H950" s="12"/>
      <c r="I950" s="11"/>
      <c r="J950" s="10"/>
      <c r="K950" s="10">
        <f>+I950*J950</f>
        <v>0</v>
      </c>
      <c r="L950" s="12"/>
      <c r="M950" s="11"/>
      <c r="N950" s="10"/>
      <c r="O950" s="10">
        <f>+M950*N950</f>
        <v>0</v>
      </c>
      <c r="P950" s="12"/>
      <c r="Q950" s="46"/>
    </row>
    <row r="951" spans="1:17" ht="16.5" thickBot="1" x14ac:dyDescent="0.3">
      <c r="A951" s="62" t="s">
        <v>2</v>
      </c>
      <c r="B951" s="63"/>
      <c r="C951" s="63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6"/>
      <c r="P951" s="17"/>
      <c r="Q951" s="46"/>
    </row>
    <row r="952" spans="1:17" x14ac:dyDescent="0.25">
      <c r="A952" s="15"/>
      <c r="B952" s="14" t="s">
        <v>521</v>
      </c>
      <c r="C952" s="13" t="s">
        <v>15</v>
      </c>
      <c r="D952" s="12"/>
      <c r="E952" s="11"/>
      <c r="F952" s="10"/>
      <c r="G952" s="10">
        <f>+E952*F952</f>
        <v>0</v>
      </c>
      <c r="H952" s="12"/>
      <c r="I952" s="11">
        <v>84</v>
      </c>
      <c r="J952" s="10">
        <v>0.36</v>
      </c>
      <c r="K952" s="10">
        <f>+I952*J952</f>
        <v>30.24</v>
      </c>
      <c r="L952" s="12"/>
      <c r="M952" s="11"/>
      <c r="N952" s="10"/>
      <c r="O952" s="10">
        <f>+M952*N952</f>
        <v>0</v>
      </c>
      <c r="P952" s="12"/>
      <c r="Q952" s="46"/>
    </row>
    <row r="953" spans="1:17" x14ac:dyDescent="0.25">
      <c r="A953" s="15"/>
      <c r="B953" s="14" t="s">
        <v>233</v>
      </c>
      <c r="C953" s="13" t="s">
        <v>15</v>
      </c>
      <c r="D953" s="12"/>
      <c r="E953" s="11"/>
      <c r="F953" s="10"/>
      <c r="G953" s="10">
        <f>+E953*F953</f>
        <v>0</v>
      </c>
      <c r="H953" s="12"/>
      <c r="I953" s="11">
        <v>84</v>
      </c>
      <c r="J953" s="10">
        <v>0.09</v>
      </c>
      <c r="K953" s="10">
        <f>+I953*J953</f>
        <v>7.56</v>
      </c>
      <c r="L953" s="12"/>
      <c r="M953" s="11"/>
      <c r="N953" s="10"/>
      <c r="O953" s="10">
        <f>+M953*N953</f>
        <v>0</v>
      </c>
      <c r="P953" s="12"/>
      <c r="Q953" s="46"/>
    </row>
    <row r="954" spans="1:17" ht="15.75" thickBot="1" x14ac:dyDescent="0.3">
      <c r="Q954" s="46"/>
    </row>
    <row r="955" spans="1:17" ht="21" thickBot="1" x14ac:dyDescent="0.3">
      <c r="A955" s="64" t="s">
        <v>1</v>
      </c>
      <c r="B955" s="65"/>
      <c r="C955" s="66"/>
      <c r="D955" s="5"/>
      <c r="E955" s="9"/>
      <c r="F955" s="8"/>
      <c r="G955" s="7">
        <f>SUM(G946:G954)</f>
        <v>8405.8330330000008</v>
      </c>
      <c r="H955" s="5"/>
      <c r="I955" s="9"/>
      <c r="J955" s="8"/>
      <c r="K955" s="7">
        <f>SUM(K944:K953)</f>
        <v>2538.3199999999997</v>
      </c>
      <c r="L955" s="5"/>
      <c r="M955" s="9"/>
      <c r="N955" s="8"/>
      <c r="O955" s="7">
        <f>SUM(O944:O953)</f>
        <v>8818.3149999999987</v>
      </c>
      <c r="P955" s="5"/>
      <c r="Q955" s="46"/>
    </row>
    <row r="956" spans="1:17" ht="21" thickBot="1" x14ac:dyDescent="0.3">
      <c r="A956" s="60" t="s">
        <v>0</v>
      </c>
      <c r="B956" s="61"/>
      <c r="C956" s="61"/>
      <c r="D956" s="5"/>
      <c r="E956" s="4"/>
      <c r="F956" s="3"/>
      <c r="G956" s="6">
        <f>+G955/E949</f>
        <v>25.87</v>
      </c>
      <c r="H956" s="5"/>
      <c r="I956" s="4"/>
      <c r="J956" s="3"/>
      <c r="K956" s="6">
        <f>+K955/I949</f>
        <v>11.166285412634171</v>
      </c>
      <c r="L956" s="5"/>
      <c r="M956" s="4"/>
      <c r="N956" s="3"/>
      <c r="O956" s="39">
        <f>+O955/M949</f>
        <v>11.499999999999998</v>
      </c>
      <c r="P956" s="5"/>
      <c r="Q956" s="46"/>
    </row>
    <row r="957" spans="1:17" x14ac:dyDescent="0.25">
      <c r="Q957" s="46"/>
    </row>
    <row r="958" spans="1:1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46"/>
    </row>
    <row r="959" spans="1:17" ht="15.75" thickBot="1" x14ac:dyDescent="0.3">
      <c r="Q959" s="46"/>
    </row>
    <row r="960" spans="1:17" ht="16.5" thickBot="1" x14ac:dyDescent="0.3">
      <c r="A960" s="20" t="s">
        <v>506</v>
      </c>
      <c r="B960" s="19" t="s">
        <v>286</v>
      </c>
      <c r="C960" s="18" t="s">
        <v>130</v>
      </c>
      <c r="Q960" s="46"/>
    </row>
    <row r="961" spans="1:17" ht="15.75" thickBot="1" x14ac:dyDescent="0.3">
      <c r="Q961" s="46"/>
    </row>
    <row r="962" spans="1:17" ht="16.5" thickBot="1" x14ac:dyDescent="0.3">
      <c r="A962" s="62" t="s">
        <v>11</v>
      </c>
      <c r="B962" s="63"/>
      <c r="C962" s="63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6"/>
      <c r="P962" s="17"/>
      <c r="Q962" s="46"/>
    </row>
    <row r="963" spans="1:17" x14ac:dyDescent="0.25">
      <c r="A963" s="15"/>
      <c r="B963" s="14"/>
      <c r="C963" s="13"/>
      <c r="D963" s="12"/>
      <c r="E963" s="11"/>
      <c r="F963" s="10"/>
      <c r="G963" s="10">
        <f>+E963*F963</f>
        <v>0</v>
      </c>
      <c r="H963" s="12"/>
      <c r="I963" s="11"/>
      <c r="J963" s="10"/>
      <c r="K963" s="10">
        <f>+I963*J963</f>
        <v>0</v>
      </c>
      <c r="L963" s="12"/>
      <c r="M963" s="11"/>
      <c r="N963" s="10"/>
      <c r="O963" s="10">
        <f>+M963*N963</f>
        <v>0</v>
      </c>
      <c r="P963" s="12"/>
      <c r="Q963" s="46"/>
    </row>
    <row r="964" spans="1:17" ht="15.75" thickBot="1" x14ac:dyDescent="0.3">
      <c r="A964" s="15"/>
      <c r="B964" s="14"/>
      <c r="C964" s="13"/>
      <c r="D964" s="12"/>
      <c r="E964" s="11"/>
      <c r="F964" s="10"/>
      <c r="G964" s="10">
        <f>+E964*F964</f>
        <v>0</v>
      </c>
      <c r="H964" s="12"/>
      <c r="I964" s="11"/>
      <c r="J964" s="10"/>
      <c r="K964" s="10">
        <f>+I964*J964</f>
        <v>0</v>
      </c>
      <c r="L964" s="12"/>
      <c r="M964" s="11"/>
      <c r="N964" s="10"/>
      <c r="O964" s="10">
        <f>+M964*N964</f>
        <v>0</v>
      </c>
      <c r="P964" s="12"/>
      <c r="Q964" s="46"/>
    </row>
    <row r="965" spans="1:17" ht="16.5" thickBot="1" x14ac:dyDescent="0.3">
      <c r="A965" s="62" t="s">
        <v>5</v>
      </c>
      <c r="B965" s="63"/>
      <c r="C965" s="63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6"/>
      <c r="P965" s="17"/>
      <c r="Q965" s="46"/>
    </row>
    <row r="966" spans="1:17" ht="18" x14ac:dyDescent="0.25">
      <c r="A966" s="15"/>
      <c r="B966" s="14" t="s">
        <v>285</v>
      </c>
      <c r="C966" s="13" t="s">
        <v>13</v>
      </c>
      <c r="D966" s="12"/>
      <c r="E966" s="11"/>
      <c r="F966" s="42">
        <v>13.63</v>
      </c>
      <c r="G966" s="10">
        <f>+E966*F966</f>
        <v>0</v>
      </c>
      <c r="H966" s="12"/>
      <c r="I966" s="11">
        <v>13.6</v>
      </c>
      <c r="J966" s="10">
        <v>11.5</v>
      </c>
      <c r="K966" s="10">
        <f>+I966*J966</f>
        <v>156.4</v>
      </c>
      <c r="L966" s="12"/>
      <c r="M966" s="11"/>
      <c r="N966" s="10"/>
      <c r="O966" s="10">
        <f>+M966*N966</f>
        <v>0</v>
      </c>
      <c r="P966" s="12"/>
      <c r="Q966" s="46"/>
    </row>
    <row r="967" spans="1:17" ht="15.75" thickBot="1" x14ac:dyDescent="0.3">
      <c r="A967" s="15"/>
      <c r="B967" s="14"/>
      <c r="C967" s="13"/>
      <c r="D967" s="12"/>
      <c r="E967" s="11"/>
      <c r="F967" s="10"/>
      <c r="G967" s="10">
        <f>+E967*F967</f>
        <v>0</v>
      </c>
      <c r="H967" s="12"/>
      <c r="I967" s="11"/>
      <c r="J967" s="10"/>
      <c r="K967" s="10">
        <f>+I967*J967</f>
        <v>0</v>
      </c>
      <c r="L967" s="12"/>
      <c r="M967" s="11"/>
      <c r="N967" s="10"/>
      <c r="O967" s="10">
        <f>+M967*N967</f>
        <v>0</v>
      </c>
      <c r="P967" s="12"/>
      <c r="Q967" s="46"/>
    </row>
    <row r="968" spans="1:17" ht="16.5" thickBot="1" x14ac:dyDescent="0.3">
      <c r="A968" s="62" t="s">
        <v>2</v>
      </c>
      <c r="B968" s="63"/>
      <c r="C968" s="63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6"/>
      <c r="P968" s="17"/>
      <c r="Q968" s="46"/>
    </row>
    <row r="969" spans="1:17" x14ac:dyDescent="0.25">
      <c r="A969" s="15"/>
      <c r="B969" s="14"/>
      <c r="C969" s="13"/>
      <c r="D969" s="12"/>
      <c r="E969" s="11"/>
      <c r="F969" s="10"/>
      <c r="G969" s="10">
        <f>+E969*F969</f>
        <v>0</v>
      </c>
      <c r="H969" s="12"/>
      <c r="I969" s="11"/>
      <c r="J969" s="10"/>
      <c r="K969" s="10">
        <f>+I969*J969</f>
        <v>0</v>
      </c>
      <c r="L969" s="12"/>
      <c r="M969" s="11"/>
      <c r="N969" s="10"/>
      <c r="O969" s="10">
        <f>+M969*N969</f>
        <v>0</v>
      </c>
      <c r="P969" s="12"/>
      <c r="Q969" s="46"/>
    </row>
    <row r="970" spans="1:17" x14ac:dyDescent="0.25">
      <c r="A970" s="15"/>
      <c r="B970" s="14"/>
      <c r="C970" s="13"/>
      <c r="D970" s="12"/>
      <c r="E970" s="11"/>
      <c r="F970" s="10"/>
      <c r="G970" s="10">
        <f>+E970*F970</f>
        <v>0</v>
      </c>
      <c r="H970" s="12"/>
      <c r="I970" s="11"/>
      <c r="J970" s="10"/>
      <c r="K970" s="10">
        <f>+I970*J970</f>
        <v>0</v>
      </c>
      <c r="L970" s="12"/>
      <c r="M970" s="11"/>
      <c r="N970" s="10"/>
      <c r="O970" s="10">
        <f>+M970*N970</f>
        <v>0</v>
      </c>
      <c r="P970" s="12"/>
      <c r="Q970" s="46"/>
    </row>
    <row r="971" spans="1:17" ht="15.75" thickBot="1" x14ac:dyDescent="0.3">
      <c r="Q971" s="46"/>
    </row>
    <row r="972" spans="1:17" ht="21" thickBot="1" x14ac:dyDescent="0.3">
      <c r="A972" s="64" t="s">
        <v>1</v>
      </c>
      <c r="B972" s="65"/>
      <c r="C972" s="66"/>
      <c r="D972" s="5"/>
      <c r="E972" s="9"/>
      <c r="F972" s="8"/>
      <c r="G972" s="7">
        <f>SUM(G962:G971)</f>
        <v>0</v>
      </c>
      <c r="H972" s="5"/>
      <c r="I972" s="9"/>
      <c r="J972" s="8"/>
      <c r="K972" s="7">
        <f>SUM(K960:K970)</f>
        <v>156.4</v>
      </c>
      <c r="L972" s="5"/>
      <c r="M972" s="9"/>
      <c r="N972" s="8"/>
      <c r="O972" s="7">
        <f>SUM(O960:O970)</f>
        <v>0</v>
      </c>
      <c r="P972" s="5"/>
      <c r="Q972" s="46"/>
    </row>
    <row r="973" spans="1:17" ht="21" thickBot="1" x14ac:dyDescent="0.3">
      <c r="A973" s="60" t="s">
        <v>0</v>
      </c>
      <c r="B973" s="61"/>
      <c r="C973" s="61"/>
      <c r="D973" s="5"/>
      <c r="E973" s="4"/>
      <c r="F973" s="3"/>
      <c r="G973" s="6" t="e">
        <f>+G972/E966</f>
        <v>#DIV/0!</v>
      </c>
      <c r="H973" s="5"/>
      <c r="I973" s="4"/>
      <c r="J973" s="3"/>
      <c r="K973" s="6">
        <f>+K972/I966</f>
        <v>11.5</v>
      </c>
      <c r="L973" s="5"/>
      <c r="M973" s="4"/>
      <c r="N973" s="3"/>
      <c r="O973" s="6" t="e">
        <f>+O972/M966</f>
        <v>#DIV/0!</v>
      </c>
      <c r="P973" s="5"/>
      <c r="Q973" s="46"/>
    </row>
    <row r="974" spans="1:17" x14ac:dyDescent="0.25">
      <c r="Q974" s="46"/>
    </row>
    <row r="975" spans="1:1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46"/>
    </row>
    <row r="976" spans="1:17" ht="15.75" thickBot="1" x14ac:dyDescent="0.3">
      <c r="Q976" s="46"/>
    </row>
    <row r="977" spans="1:17" ht="16.5" thickBot="1" x14ac:dyDescent="0.3">
      <c r="A977" s="20" t="s">
        <v>284</v>
      </c>
      <c r="B977" s="19" t="s">
        <v>283</v>
      </c>
      <c r="C977" s="18" t="s">
        <v>3</v>
      </c>
      <c r="Q977" s="46"/>
    </row>
    <row r="978" spans="1:17" ht="15.75" thickBot="1" x14ac:dyDescent="0.3">
      <c r="Q978" s="46"/>
    </row>
    <row r="979" spans="1:17" ht="16.5" thickBot="1" x14ac:dyDescent="0.3">
      <c r="A979" s="62" t="s">
        <v>11</v>
      </c>
      <c r="B979" s="63"/>
      <c r="C979" s="63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6"/>
      <c r="P979" s="17"/>
      <c r="Q979" s="46"/>
    </row>
    <row r="980" spans="1:17" x14ac:dyDescent="0.25">
      <c r="A980" s="15"/>
      <c r="B980" s="14"/>
      <c r="C980" s="13"/>
      <c r="D980" s="12"/>
      <c r="E980" s="11"/>
      <c r="F980" s="10"/>
      <c r="G980" s="10">
        <f>+E980*F980</f>
        <v>0</v>
      </c>
      <c r="H980" s="12"/>
      <c r="I980" s="11"/>
      <c r="J980" s="10"/>
      <c r="K980" s="10">
        <f>+I980*J980</f>
        <v>0</v>
      </c>
      <c r="L980" s="12"/>
      <c r="M980" s="11"/>
      <c r="N980" s="10"/>
      <c r="O980" s="10">
        <f>+M980*N980</f>
        <v>0</v>
      </c>
      <c r="P980" s="12"/>
      <c r="Q980" s="46"/>
    </row>
    <row r="981" spans="1:17" ht="15.75" thickBot="1" x14ac:dyDescent="0.3">
      <c r="A981" s="15"/>
      <c r="B981" s="14"/>
      <c r="C981" s="13"/>
      <c r="D981" s="12"/>
      <c r="E981" s="11"/>
      <c r="F981" s="10"/>
      <c r="G981" s="10">
        <f>+E981*F981</f>
        <v>0</v>
      </c>
      <c r="H981" s="12"/>
      <c r="I981" s="11"/>
      <c r="J981" s="10"/>
      <c r="K981" s="10">
        <f>+I981*J981</f>
        <v>0</v>
      </c>
      <c r="L981" s="12"/>
      <c r="M981" s="11"/>
      <c r="N981" s="10"/>
      <c r="O981" s="10">
        <f>+M981*N981</f>
        <v>0</v>
      </c>
      <c r="P981" s="12"/>
      <c r="Q981" s="46"/>
    </row>
    <row r="982" spans="1:17" ht="16.5" thickBot="1" x14ac:dyDescent="0.3">
      <c r="A982" s="62" t="s">
        <v>5</v>
      </c>
      <c r="B982" s="63"/>
      <c r="C982" s="63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6"/>
      <c r="P982" s="17"/>
      <c r="Q982" s="46"/>
    </row>
    <row r="983" spans="1:17" x14ac:dyDescent="0.25">
      <c r="A983" s="15"/>
      <c r="B983" s="14" t="s">
        <v>273</v>
      </c>
      <c r="C983" s="13" t="s">
        <v>3</v>
      </c>
      <c r="D983" s="12"/>
      <c r="E983" s="11">
        <v>167.28</v>
      </c>
      <c r="F983" s="42">
        <v>3.85</v>
      </c>
      <c r="G983" s="10">
        <f>+E983*F983</f>
        <v>644.02800000000002</v>
      </c>
      <c r="H983" s="12"/>
      <c r="I983" s="11">
        <v>151.33000000000001</v>
      </c>
      <c r="J983" s="10">
        <v>3.88</v>
      </c>
      <c r="K983" s="10">
        <f>+I983*J983</f>
        <v>587.16039999999998</v>
      </c>
      <c r="L983" s="12"/>
      <c r="M983" s="11">
        <v>773.48</v>
      </c>
      <c r="N983" s="10">
        <v>3.88</v>
      </c>
      <c r="O983" s="10">
        <f>+M983*N983</f>
        <v>3001.1023999999998</v>
      </c>
      <c r="P983" s="12"/>
      <c r="Q983" s="46"/>
    </row>
    <row r="984" spans="1:17" ht="15.75" thickBot="1" x14ac:dyDescent="0.3">
      <c r="A984" s="15"/>
      <c r="B984" s="14"/>
      <c r="C984" s="13"/>
      <c r="D984" s="12"/>
      <c r="E984" s="11"/>
      <c r="F984" s="10"/>
      <c r="G984" s="10">
        <f>+E984*F984</f>
        <v>0</v>
      </c>
      <c r="H984" s="12"/>
      <c r="I984" s="11"/>
      <c r="J984" s="10"/>
      <c r="K984" s="10">
        <f>+I984*J984</f>
        <v>0</v>
      </c>
      <c r="L984" s="12"/>
      <c r="M984" s="11"/>
      <c r="N984" s="10"/>
      <c r="O984" s="10">
        <f>+M984*N984</f>
        <v>0</v>
      </c>
      <c r="P984" s="12"/>
      <c r="Q984" s="46"/>
    </row>
    <row r="985" spans="1:17" ht="16.5" thickBot="1" x14ac:dyDescent="0.3">
      <c r="A985" s="62" t="s">
        <v>2</v>
      </c>
      <c r="B985" s="63"/>
      <c r="C985" s="63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6"/>
      <c r="P985" s="17"/>
      <c r="Q985" s="46"/>
    </row>
    <row r="986" spans="1:17" x14ac:dyDescent="0.25">
      <c r="A986" s="15"/>
      <c r="B986" s="14"/>
      <c r="C986" s="13"/>
      <c r="D986" s="12"/>
      <c r="E986" s="11"/>
      <c r="F986" s="10"/>
      <c r="G986" s="10">
        <f>+E986*F986</f>
        <v>0</v>
      </c>
      <c r="H986" s="12"/>
      <c r="I986" s="11"/>
      <c r="J986" s="10"/>
      <c r="K986" s="10">
        <f>+I986*J986</f>
        <v>0</v>
      </c>
      <c r="L986" s="12"/>
      <c r="M986" s="11"/>
      <c r="N986" s="10"/>
      <c r="O986" s="10">
        <f>+M986*N986</f>
        <v>0</v>
      </c>
      <c r="P986" s="12"/>
      <c r="Q986" s="46"/>
    </row>
    <row r="987" spans="1:17" x14ac:dyDescent="0.25">
      <c r="A987" s="15"/>
      <c r="B987" s="14"/>
      <c r="C987" s="13"/>
      <c r="D987" s="12"/>
      <c r="E987" s="11"/>
      <c r="F987" s="10"/>
      <c r="G987" s="10">
        <f>+E987*F987</f>
        <v>0</v>
      </c>
      <c r="H987" s="12"/>
      <c r="I987" s="11"/>
      <c r="J987" s="10"/>
      <c r="K987" s="10">
        <f>+I987*J987</f>
        <v>0</v>
      </c>
      <c r="L987" s="12"/>
      <c r="M987" s="11"/>
      <c r="N987" s="10"/>
      <c r="O987" s="10">
        <f>+M987*N987</f>
        <v>0</v>
      </c>
      <c r="P987" s="12"/>
      <c r="Q987" s="46"/>
    </row>
    <row r="988" spans="1:17" ht="15.75" thickBot="1" x14ac:dyDescent="0.3">
      <c r="Q988" s="46"/>
    </row>
    <row r="989" spans="1:17" ht="21" thickBot="1" x14ac:dyDescent="0.3">
      <c r="A989" s="64" t="s">
        <v>1</v>
      </c>
      <c r="B989" s="65"/>
      <c r="C989" s="66"/>
      <c r="D989" s="5"/>
      <c r="E989" s="9"/>
      <c r="F989" s="8"/>
      <c r="G989" s="7">
        <f>SUM(G979:G988)</f>
        <v>644.02800000000002</v>
      </c>
      <c r="H989" s="5"/>
      <c r="I989" s="9"/>
      <c r="J989" s="8"/>
      <c r="K989" s="7">
        <f>SUM(K977:K987)</f>
        <v>587.16039999999998</v>
      </c>
      <c r="L989" s="5"/>
      <c r="M989" s="9"/>
      <c r="N989" s="8"/>
      <c r="O989" s="7">
        <f>SUM(O977:O987)</f>
        <v>3001.1023999999998</v>
      </c>
      <c r="P989" s="5"/>
      <c r="Q989" s="46"/>
    </row>
    <row r="990" spans="1:17" ht="21" thickBot="1" x14ac:dyDescent="0.3">
      <c r="A990" s="60" t="s">
        <v>0</v>
      </c>
      <c r="B990" s="61"/>
      <c r="C990" s="61"/>
      <c r="D990" s="5"/>
      <c r="E990" s="4"/>
      <c r="F990" s="3"/>
      <c r="G990" s="6">
        <f>+G989/E983</f>
        <v>3.85</v>
      </c>
      <c r="H990" s="5"/>
      <c r="I990" s="4"/>
      <c r="J990" s="3"/>
      <c r="K990" s="6">
        <f>+K989/I983</f>
        <v>3.8799999999999994</v>
      </c>
      <c r="L990" s="5"/>
      <c r="M990" s="4"/>
      <c r="N990" s="3"/>
      <c r="O990" s="6">
        <f>+O989/M983</f>
        <v>3.8799999999999994</v>
      </c>
      <c r="P990" s="5"/>
      <c r="Q990" s="46"/>
    </row>
    <row r="991" spans="1:17" x14ac:dyDescent="0.25">
      <c r="Q991" s="46"/>
    </row>
    <row r="992" spans="1:1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46"/>
    </row>
    <row r="993" spans="1:17" ht="15.75" thickBot="1" x14ac:dyDescent="0.3">
      <c r="Q993" s="46"/>
    </row>
    <row r="994" spans="1:17" ht="18.75" thickBot="1" x14ac:dyDescent="0.3">
      <c r="A994" s="20" t="s">
        <v>282</v>
      </c>
      <c r="B994" s="19" t="s">
        <v>281</v>
      </c>
      <c r="C994" s="25" t="s">
        <v>13</v>
      </c>
      <c r="Q994" s="46"/>
    </row>
    <row r="995" spans="1:17" ht="15.75" thickBot="1" x14ac:dyDescent="0.3">
      <c r="Q995" s="46"/>
    </row>
    <row r="996" spans="1:17" ht="16.5" thickBot="1" x14ac:dyDescent="0.3">
      <c r="A996" s="62" t="s">
        <v>11</v>
      </c>
      <c r="B996" s="63"/>
      <c r="C996" s="63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6"/>
      <c r="P996" s="17"/>
      <c r="Q996" s="46"/>
    </row>
    <row r="997" spans="1:17" x14ac:dyDescent="0.25">
      <c r="A997" s="15"/>
      <c r="B997" s="14"/>
      <c r="C997" s="13"/>
      <c r="D997" s="12"/>
      <c r="E997" s="11"/>
      <c r="F997" s="10"/>
      <c r="G997" s="10">
        <f>+E997*F997</f>
        <v>0</v>
      </c>
      <c r="H997" s="12"/>
      <c r="I997" s="11"/>
      <c r="J997" s="10"/>
      <c r="K997" s="10">
        <f>+I997*J997</f>
        <v>0</v>
      </c>
      <c r="L997" s="12"/>
      <c r="M997" s="11"/>
      <c r="N997" s="10"/>
      <c r="O997" s="10">
        <f>+M997*N997</f>
        <v>0</v>
      </c>
      <c r="P997" s="12"/>
      <c r="Q997" s="46"/>
    </row>
    <row r="998" spans="1:17" ht="15.75" thickBot="1" x14ac:dyDescent="0.3">
      <c r="A998" s="15"/>
      <c r="B998" s="14"/>
      <c r="C998" s="13"/>
      <c r="D998" s="12"/>
      <c r="E998" s="11"/>
      <c r="F998" s="10"/>
      <c r="G998" s="10">
        <f>+E998*F998</f>
        <v>0</v>
      </c>
      <c r="H998" s="12"/>
      <c r="I998" s="11"/>
      <c r="J998" s="10"/>
      <c r="K998" s="10">
        <f>+I998*J998</f>
        <v>0</v>
      </c>
      <c r="L998" s="12"/>
      <c r="M998" s="11"/>
      <c r="N998" s="10"/>
      <c r="O998" s="10">
        <f>+M998*N998</f>
        <v>0</v>
      </c>
      <c r="P998" s="12"/>
      <c r="Q998" s="46"/>
    </row>
    <row r="999" spans="1:17" ht="16.5" thickBot="1" x14ac:dyDescent="0.3">
      <c r="A999" s="62" t="s">
        <v>5</v>
      </c>
      <c r="B999" s="63"/>
      <c r="C999" s="63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6"/>
      <c r="P999" s="17"/>
      <c r="Q999" s="46"/>
    </row>
    <row r="1000" spans="1:17" ht="18" x14ac:dyDescent="0.25">
      <c r="A1000" s="15"/>
      <c r="B1000" s="14" t="s">
        <v>280</v>
      </c>
      <c r="C1000" s="13" t="s">
        <v>13</v>
      </c>
      <c r="D1000" s="12"/>
      <c r="E1000" s="11">
        <v>90.47</v>
      </c>
      <c r="F1000" s="42">
        <v>12.77</v>
      </c>
      <c r="G1000" s="10">
        <f>+E1000*F1000</f>
        <v>1155.3018999999999</v>
      </c>
      <c r="H1000" s="12"/>
      <c r="I1000" s="11"/>
      <c r="J1000" s="10"/>
      <c r="K1000" s="10">
        <f>+I1000*J1000</f>
        <v>0</v>
      </c>
      <c r="L1000" s="12"/>
      <c r="M1000" s="11">
        <v>475.23</v>
      </c>
      <c r="N1000" s="10">
        <v>9.8000000000000007</v>
      </c>
      <c r="O1000" s="10">
        <f>+M1000*N1000</f>
        <v>4657.2540000000008</v>
      </c>
      <c r="P1000" s="12"/>
      <c r="Q1000" s="46"/>
    </row>
    <row r="1001" spans="1:17" ht="15.75" thickBot="1" x14ac:dyDescent="0.3">
      <c r="A1001" s="15"/>
      <c r="B1001" s="14"/>
      <c r="C1001" s="13"/>
      <c r="D1001" s="12"/>
      <c r="E1001" s="11"/>
      <c r="F1001" s="10"/>
      <c r="G1001" s="10">
        <f>+E1001*F1001</f>
        <v>0</v>
      </c>
      <c r="H1001" s="12"/>
      <c r="I1001" s="11"/>
      <c r="J1001" s="10"/>
      <c r="K1001" s="10">
        <f>+I1001*J1001</f>
        <v>0</v>
      </c>
      <c r="L1001" s="12"/>
      <c r="M1001" s="11"/>
      <c r="N1001" s="10"/>
      <c r="O1001" s="10">
        <f>+M1001*N1001</f>
        <v>0</v>
      </c>
      <c r="P1001" s="12"/>
      <c r="Q1001" s="46"/>
    </row>
    <row r="1002" spans="1:17" ht="16.5" thickBot="1" x14ac:dyDescent="0.3">
      <c r="A1002" s="62" t="s">
        <v>2</v>
      </c>
      <c r="B1002" s="63"/>
      <c r="C1002" s="63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6"/>
      <c r="P1002" s="17"/>
      <c r="Q1002" s="46"/>
    </row>
    <row r="1003" spans="1:17" x14ac:dyDescent="0.25">
      <c r="A1003" s="15"/>
      <c r="B1003" s="14"/>
      <c r="C1003" s="13"/>
      <c r="D1003" s="12"/>
      <c r="E1003" s="11"/>
      <c r="F1003" s="10"/>
      <c r="G1003" s="10">
        <f>+E1003*F1003</f>
        <v>0</v>
      </c>
      <c r="H1003" s="12"/>
      <c r="I1003" s="11"/>
      <c r="J1003" s="10"/>
      <c r="K1003" s="10">
        <f>+I1003*J1003</f>
        <v>0</v>
      </c>
      <c r="L1003" s="12"/>
      <c r="M1003" s="11"/>
      <c r="N1003" s="10"/>
      <c r="O1003" s="10">
        <f>+M1003*N1003</f>
        <v>0</v>
      </c>
      <c r="P1003" s="12"/>
      <c r="Q1003" s="46"/>
    </row>
    <row r="1004" spans="1:17" x14ac:dyDescent="0.25">
      <c r="A1004" s="15"/>
      <c r="B1004" s="14"/>
      <c r="C1004" s="13"/>
      <c r="D1004" s="12"/>
      <c r="E1004" s="11"/>
      <c r="F1004" s="10"/>
      <c r="G1004" s="10">
        <f>+E1004*F1004</f>
        <v>0</v>
      </c>
      <c r="H1004" s="12"/>
      <c r="I1004" s="11"/>
      <c r="J1004" s="10"/>
      <c r="K1004" s="10">
        <f>+I1004*J1004</f>
        <v>0</v>
      </c>
      <c r="L1004" s="12"/>
      <c r="M1004" s="11"/>
      <c r="N1004" s="10"/>
      <c r="O1004" s="10">
        <f>+M1004*N1004</f>
        <v>0</v>
      </c>
      <c r="P1004" s="12"/>
      <c r="Q1004" s="46"/>
    </row>
    <row r="1005" spans="1:17" ht="15.75" thickBot="1" x14ac:dyDescent="0.3">
      <c r="Q1005" s="46"/>
    </row>
    <row r="1006" spans="1:17" ht="21" thickBot="1" x14ac:dyDescent="0.3">
      <c r="A1006" s="64" t="s">
        <v>1</v>
      </c>
      <c r="B1006" s="65"/>
      <c r="C1006" s="66"/>
      <c r="D1006" s="5"/>
      <c r="E1006" s="9"/>
      <c r="F1006" s="8"/>
      <c r="G1006" s="7">
        <f>SUM(G996:G1005)</f>
        <v>1155.3018999999999</v>
      </c>
      <c r="H1006" s="5"/>
      <c r="I1006" s="9"/>
      <c r="J1006" s="8"/>
      <c r="K1006" s="7">
        <f>SUM(K994:K1004)</f>
        <v>0</v>
      </c>
      <c r="L1006" s="5"/>
      <c r="M1006" s="9"/>
      <c r="N1006" s="8"/>
      <c r="O1006" s="7">
        <f>SUM(O994:O1004)</f>
        <v>4657.2540000000008</v>
      </c>
      <c r="P1006" s="5"/>
      <c r="Q1006" s="46"/>
    </row>
    <row r="1007" spans="1:17" ht="21" thickBot="1" x14ac:dyDescent="0.3">
      <c r="A1007" s="60" t="s">
        <v>0</v>
      </c>
      <c r="B1007" s="61"/>
      <c r="C1007" s="61"/>
      <c r="D1007" s="5"/>
      <c r="E1007" s="4"/>
      <c r="F1007" s="3"/>
      <c r="G1007" s="6">
        <f>+G1006/E1000</f>
        <v>12.77</v>
      </c>
      <c r="H1007" s="5"/>
      <c r="I1007" s="4"/>
      <c r="J1007" s="3"/>
      <c r="K1007" s="6" t="e">
        <f>+K1006/I1000</f>
        <v>#DIV/0!</v>
      </c>
      <c r="L1007" s="5"/>
      <c r="M1007" s="4"/>
      <c r="N1007" s="3"/>
      <c r="O1007" s="6">
        <f>+O1006/M1000</f>
        <v>9.8000000000000007</v>
      </c>
      <c r="P1007" s="5"/>
      <c r="Q1007" s="46"/>
    </row>
    <row r="1008" spans="1:17" x14ac:dyDescent="0.25">
      <c r="Q1008" s="46"/>
    </row>
    <row r="1009" spans="1:17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46"/>
    </row>
    <row r="1010" spans="1:17" ht="15.75" thickBot="1" x14ac:dyDescent="0.3">
      <c r="Q1010" s="46"/>
    </row>
    <row r="1011" spans="1:17" ht="18.75" thickBot="1" x14ac:dyDescent="0.3">
      <c r="A1011" s="20" t="s">
        <v>279</v>
      </c>
      <c r="B1011" s="19" t="s">
        <v>278</v>
      </c>
      <c r="C1011" s="25" t="s">
        <v>13</v>
      </c>
      <c r="Q1011" s="46"/>
    </row>
    <row r="1012" spans="1:17" ht="15.75" thickBot="1" x14ac:dyDescent="0.3">
      <c r="Q1012" s="46"/>
    </row>
    <row r="1013" spans="1:17" ht="16.5" thickBot="1" x14ac:dyDescent="0.3">
      <c r="A1013" s="62" t="s">
        <v>11</v>
      </c>
      <c r="B1013" s="63"/>
      <c r="C1013" s="63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6"/>
      <c r="P1013" s="17"/>
      <c r="Q1013" s="46"/>
    </row>
    <row r="1014" spans="1:17" x14ac:dyDescent="0.25">
      <c r="A1014" s="15"/>
      <c r="B1014" s="14"/>
      <c r="C1014" s="13"/>
      <c r="D1014" s="12"/>
      <c r="E1014" s="11"/>
      <c r="F1014" s="10"/>
      <c r="G1014" s="10">
        <f>+E1014*F1014</f>
        <v>0</v>
      </c>
      <c r="H1014" s="12"/>
      <c r="I1014" s="11"/>
      <c r="J1014" s="10"/>
      <c r="K1014" s="10">
        <f>+I1014*J1014</f>
        <v>0</v>
      </c>
      <c r="L1014" s="12"/>
      <c r="M1014" s="11"/>
      <c r="N1014" s="10"/>
      <c r="O1014" s="10">
        <f>+M1014*N1014</f>
        <v>0</v>
      </c>
      <c r="P1014" s="12"/>
      <c r="Q1014" s="46"/>
    </row>
    <row r="1015" spans="1:17" ht="15.75" thickBot="1" x14ac:dyDescent="0.3">
      <c r="A1015" s="15"/>
      <c r="B1015" s="14"/>
      <c r="C1015" s="13"/>
      <c r="D1015" s="12"/>
      <c r="E1015" s="11"/>
      <c r="F1015" s="10"/>
      <c r="G1015" s="10">
        <f>+E1015*F1015</f>
        <v>0</v>
      </c>
      <c r="H1015" s="12"/>
      <c r="I1015" s="11"/>
      <c r="J1015" s="10"/>
      <c r="K1015" s="10">
        <f>+I1015*J1015</f>
        <v>0</v>
      </c>
      <c r="L1015" s="12"/>
      <c r="M1015" s="11"/>
      <c r="N1015" s="10"/>
      <c r="O1015" s="10">
        <f>+M1015*N1015</f>
        <v>0</v>
      </c>
      <c r="P1015" s="12"/>
      <c r="Q1015" s="46"/>
    </row>
    <row r="1016" spans="1:17" ht="16.5" thickBot="1" x14ac:dyDescent="0.3">
      <c r="A1016" s="62" t="s">
        <v>5</v>
      </c>
      <c r="B1016" s="63"/>
      <c r="C1016" s="63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6"/>
      <c r="P1016" s="17"/>
      <c r="Q1016" s="46"/>
    </row>
    <row r="1017" spans="1:17" ht="18" x14ac:dyDescent="0.25">
      <c r="A1017" s="15"/>
      <c r="B1017" s="14" t="s">
        <v>277</v>
      </c>
      <c r="C1017" s="13" t="s">
        <v>13</v>
      </c>
      <c r="D1017" s="12"/>
      <c r="E1017" s="11">
        <v>542.19000000000005</v>
      </c>
      <c r="F1017" s="42">
        <v>1.9</v>
      </c>
      <c r="G1017" s="10">
        <f>+E1017*F1017</f>
        <v>1030.1610000000001</v>
      </c>
      <c r="H1017" s="12"/>
      <c r="I1017" s="11">
        <v>196.51</v>
      </c>
      <c r="J1017" s="10">
        <v>1.36</v>
      </c>
      <c r="K1017" s="10">
        <f>+I1017*J1017</f>
        <v>267.25360000000001</v>
      </c>
      <c r="L1017" s="12"/>
      <c r="M1017" s="11">
        <v>400.44</v>
      </c>
      <c r="N1017" s="10">
        <v>1.36</v>
      </c>
      <c r="O1017" s="10">
        <f>+M1017*N1017</f>
        <v>544.59840000000008</v>
      </c>
      <c r="P1017" s="12"/>
      <c r="Q1017" s="46"/>
    </row>
    <row r="1018" spans="1:17" ht="15.75" thickBot="1" x14ac:dyDescent="0.3">
      <c r="A1018" s="15"/>
      <c r="B1018" s="14"/>
      <c r="C1018" s="13"/>
      <c r="D1018" s="12"/>
      <c r="E1018" s="11"/>
      <c r="F1018" s="10"/>
      <c r="G1018" s="10">
        <f>+E1018*F1018</f>
        <v>0</v>
      </c>
      <c r="H1018" s="12"/>
      <c r="I1018" s="11"/>
      <c r="J1018" s="10"/>
      <c r="K1018" s="10">
        <f>+I1018*J1018</f>
        <v>0</v>
      </c>
      <c r="L1018" s="12"/>
      <c r="M1018" s="11"/>
      <c r="N1018" s="10"/>
      <c r="O1018" s="10">
        <f>+M1018*N1018</f>
        <v>0</v>
      </c>
      <c r="P1018" s="12"/>
      <c r="Q1018" s="46"/>
    </row>
    <row r="1019" spans="1:17" ht="16.5" thickBot="1" x14ac:dyDescent="0.3">
      <c r="A1019" s="62" t="s">
        <v>2</v>
      </c>
      <c r="B1019" s="63"/>
      <c r="C1019" s="63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6"/>
      <c r="P1019" s="17"/>
      <c r="Q1019" s="46"/>
    </row>
    <row r="1020" spans="1:17" x14ac:dyDescent="0.25">
      <c r="A1020" s="15"/>
      <c r="B1020" s="14"/>
      <c r="C1020" s="13"/>
      <c r="D1020" s="12"/>
      <c r="E1020" s="11"/>
      <c r="F1020" s="10"/>
      <c r="G1020" s="10">
        <f>+E1020*F1020</f>
        <v>0</v>
      </c>
      <c r="H1020" s="12"/>
      <c r="I1020" s="11"/>
      <c r="J1020" s="10"/>
      <c r="K1020" s="10">
        <f>+I1020*J1020</f>
        <v>0</v>
      </c>
      <c r="L1020" s="12"/>
      <c r="M1020" s="11"/>
      <c r="N1020" s="10"/>
      <c r="O1020" s="10">
        <f>+M1020*N1020</f>
        <v>0</v>
      </c>
      <c r="P1020" s="12"/>
      <c r="Q1020" s="46"/>
    </row>
    <row r="1021" spans="1:17" x14ac:dyDescent="0.25">
      <c r="A1021" s="15"/>
      <c r="B1021" s="14"/>
      <c r="C1021" s="13"/>
      <c r="D1021" s="12"/>
      <c r="E1021" s="11"/>
      <c r="F1021" s="10"/>
      <c r="G1021" s="10">
        <f>+E1021*F1021</f>
        <v>0</v>
      </c>
      <c r="H1021" s="12"/>
      <c r="I1021" s="11"/>
      <c r="J1021" s="10"/>
      <c r="K1021" s="10">
        <f>+I1021*J1021</f>
        <v>0</v>
      </c>
      <c r="L1021" s="12"/>
      <c r="M1021" s="11"/>
      <c r="N1021" s="10"/>
      <c r="O1021" s="10">
        <f>+M1021*N1021</f>
        <v>0</v>
      </c>
      <c r="P1021" s="12"/>
      <c r="Q1021" s="46"/>
    </row>
    <row r="1022" spans="1:17" ht="15.75" thickBot="1" x14ac:dyDescent="0.3">
      <c r="Q1022" s="46"/>
    </row>
    <row r="1023" spans="1:17" ht="21" thickBot="1" x14ac:dyDescent="0.3">
      <c r="A1023" s="64" t="s">
        <v>1</v>
      </c>
      <c r="B1023" s="65"/>
      <c r="C1023" s="66"/>
      <c r="D1023" s="5"/>
      <c r="E1023" s="9"/>
      <c r="F1023" s="8"/>
      <c r="G1023" s="7">
        <f>SUM(G1013:G1022)</f>
        <v>1030.1610000000001</v>
      </c>
      <c r="H1023" s="5"/>
      <c r="I1023" s="9"/>
      <c r="J1023" s="8"/>
      <c r="K1023" s="7">
        <f>SUM(K1011:K1021)</f>
        <v>267.25360000000001</v>
      </c>
      <c r="L1023" s="5"/>
      <c r="M1023" s="9"/>
      <c r="N1023" s="8"/>
      <c r="O1023" s="7">
        <f>SUM(O1011:O1021)</f>
        <v>544.59840000000008</v>
      </c>
      <c r="P1023" s="5"/>
      <c r="Q1023" s="46"/>
    </row>
    <row r="1024" spans="1:17" ht="21" thickBot="1" x14ac:dyDescent="0.3">
      <c r="A1024" s="60" t="s">
        <v>0</v>
      </c>
      <c r="B1024" s="61"/>
      <c r="C1024" s="61"/>
      <c r="D1024" s="5"/>
      <c r="E1024" s="4"/>
      <c r="F1024" s="3"/>
      <c r="G1024" s="6">
        <f>+G1023/E1017</f>
        <v>1.9</v>
      </c>
      <c r="H1024" s="5"/>
      <c r="I1024" s="4"/>
      <c r="J1024" s="3"/>
      <c r="K1024" s="6">
        <f>+K1023/I1017</f>
        <v>1.36</v>
      </c>
      <c r="L1024" s="5"/>
      <c r="M1024" s="4"/>
      <c r="N1024" s="3"/>
      <c r="O1024" s="6">
        <f>+O1023/M1017</f>
        <v>1.3600000000000003</v>
      </c>
      <c r="P1024" s="5"/>
      <c r="Q1024" s="46"/>
    </row>
    <row r="1025" spans="1:17" x14ac:dyDescent="0.25">
      <c r="Q1025" s="46"/>
    </row>
    <row r="1026" spans="1:17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46"/>
    </row>
    <row r="1027" spans="1:17" ht="15.75" thickBot="1" x14ac:dyDescent="0.3">
      <c r="Q1027" s="46"/>
    </row>
    <row r="1028" spans="1:17" ht="16.5" thickBot="1" x14ac:dyDescent="0.3">
      <c r="A1028" s="20" t="s">
        <v>276</v>
      </c>
      <c r="B1028" s="19" t="s">
        <v>275</v>
      </c>
      <c r="C1028" s="18" t="s">
        <v>3</v>
      </c>
      <c r="Q1028" s="46"/>
    </row>
    <row r="1029" spans="1:17" ht="15.75" thickBot="1" x14ac:dyDescent="0.3">
      <c r="Q1029" s="46"/>
    </row>
    <row r="1030" spans="1:17" ht="16.5" thickBot="1" x14ac:dyDescent="0.3">
      <c r="A1030" s="62" t="s">
        <v>11</v>
      </c>
      <c r="B1030" s="63"/>
      <c r="C1030" s="63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6"/>
      <c r="P1030" s="17"/>
      <c r="Q1030" s="46"/>
    </row>
    <row r="1031" spans="1:17" x14ac:dyDescent="0.25">
      <c r="A1031" s="15"/>
      <c r="B1031" s="14" t="s">
        <v>274</v>
      </c>
      <c r="C1031" s="13" t="s">
        <v>144</v>
      </c>
      <c r="D1031" s="12"/>
      <c r="E1031" s="11"/>
      <c r="F1031" s="10"/>
      <c r="G1031" s="10">
        <f>+E1031*F1031</f>
        <v>0</v>
      </c>
      <c r="H1031" s="12"/>
      <c r="I1031" s="11">
        <v>1</v>
      </c>
      <c r="J1031" s="10">
        <v>92.45</v>
      </c>
      <c r="K1031" s="10">
        <f>+I1031*J1031</f>
        <v>92.45</v>
      </c>
      <c r="L1031" s="12"/>
      <c r="M1031" s="11"/>
      <c r="N1031" s="10"/>
      <c r="O1031" s="10">
        <f>+M1031*N1031</f>
        <v>0</v>
      </c>
      <c r="P1031" s="12"/>
      <c r="Q1031" s="55">
        <f t="shared" ref="Q1031:Q1036" si="51">+(E1031+I1031)/($E$1039+$I$1039)</f>
        <v>6.8585741435869931E-3</v>
      </c>
    </row>
    <row r="1032" spans="1:17" x14ac:dyDescent="0.25">
      <c r="A1032" s="15"/>
      <c r="B1032" s="14" t="s">
        <v>250</v>
      </c>
      <c r="C1032" s="13" t="s">
        <v>30</v>
      </c>
      <c r="D1032" s="12"/>
      <c r="E1032" s="11">
        <v>5</v>
      </c>
      <c r="F1032" s="10">
        <v>3.02</v>
      </c>
      <c r="G1032" s="10">
        <f t="shared" ref="G1032:G1037" si="52">+E1032*F1032</f>
        <v>15.1</v>
      </c>
      <c r="H1032" s="12"/>
      <c r="I1032" s="11">
        <v>1</v>
      </c>
      <c r="J1032" s="10">
        <v>7.2</v>
      </c>
      <c r="K1032" s="10">
        <f t="shared" ref="K1032:K1037" si="53">+I1032*J1032</f>
        <v>7.2</v>
      </c>
      <c r="L1032" s="12"/>
      <c r="M1032" s="11"/>
      <c r="N1032" s="10"/>
      <c r="O1032" s="10">
        <f t="shared" ref="O1032:O1037" si="54">+M1032*N1032</f>
        <v>0</v>
      </c>
      <c r="P1032" s="12"/>
      <c r="Q1032" s="55">
        <f t="shared" si="51"/>
        <v>4.115144486152196E-2</v>
      </c>
    </row>
    <row r="1033" spans="1:17" x14ac:dyDescent="0.25">
      <c r="A1033" s="15"/>
      <c r="B1033" s="14" t="s">
        <v>230</v>
      </c>
      <c r="C1033" s="13" t="s">
        <v>30</v>
      </c>
      <c r="D1033" s="12"/>
      <c r="E1033" s="11">
        <v>1</v>
      </c>
      <c r="F1033" s="10">
        <v>3.08</v>
      </c>
      <c r="G1033" s="10">
        <f t="shared" si="52"/>
        <v>3.08</v>
      </c>
      <c r="H1033" s="12"/>
      <c r="I1033" s="11">
        <v>7</v>
      </c>
      <c r="J1033" s="10">
        <v>3.9380000000000002</v>
      </c>
      <c r="K1033" s="10">
        <f t="shared" si="53"/>
        <v>27.566000000000003</v>
      </c>
      <c r="L1033" s="12"/>
      <c r="M1033" s="11"/>
      <c r="N1033" s="10"/>
      <c r="O1033" s="10">
        <f t="shared" si="54"/>
        <v>0</v>
      </c>
      <c r="P1033" s="12"/>
      <c r="Q1033" s="55">
        <f t="shared" si="51"/>
        <v>5.4868593148695945E-2</v>
      </c>
    </row>
    <row r="1034" spans="1:17" x14ac:dyDescent="0.25">
      <c r="A1034" s="15"/>
      <c r="B1034" s="14" t="s">
        <v>57</v>
      </c>
      <c r="C1034" s="13" t="s">
        <v>30</v>
      </c>
      <c r="D1034" s="12"/>
      <c r="E1034" s="11">
        <v>7.5</v>
      </c>
      <c r="F1034" s="10">
        <v>1.7549999999999999</v>
      </c>
      <c r="G1034" s="10">
        <f t="shared" si="52"/>
        <v>13.1625</v>
      </c>
      <c r="H1034" s="12"/>
      <c r="I1034" s="11">
        <v>3</v>
      </c>
      <c r="J1034" s="10">
        <v>2.0733333333333337</v>
      </c>
      <c r="K1034" s="10">
        <f t="shared" si="53"/>
        <v>6.2200000000000006</v>
      </c>
      <c r="L1034" s="12"/>
      <c r="M1034" s="11"/>
      <c r="N1034" s="10"/>
      <c r="O1034" s="10">
        <f t="shared" si="54"/>
        <v>0</v>
      </c>
      <c r="P1034" s="12"/>
      <c r="Q1034" s="55">
        <f t="shared" si="51"/>
        <v>7.2015028507663434E-2</v>
      </c>
    </row>
    <row r="1035" spans="1:17" x14ac:dyDescent="0.25">
      <c r="A1035" s="15"/>
      <c r="B1035" s="14" t="s">
        <v>56</v>
      </c>
      <c r="C1035" s="13" t="s">
        <v>30</v>
      </c>
      <c r="D1035" s="12"/>
      <c r="E1035" s="11">
        <v>4.5</v>
      </c>
      <c r="F1035" s="10">
        <v>1.68</v>
      </c>
      <c r="G1035" s="10">
        <f t="shared" si="52"/>
        <v>7.56</v>
      </c>
      <c r="H1035" s="12"/>
      <c r="I1035" s="11">
        <v>6</v>
      </c>
      <c r="J1035" s="10">
        <v>1.94</v>
      </c>
      <c r="K1035" s="10">
        <f t="shared" si="53"/>
        <v>11.64</v>
      </c>
      <c r="L1035" s="12"/>
      <c r="M1035" s="11"/>
      <c r="N1035" s="10"/>
      <c r="O1035" s="10">
        <f t="shared" si="54"/>
        <v>0</v>
      </c>
      <c r="P1035" s="12"/>
      <c r="Q1035" s="55">
        <f t="shared" si="51"/>
        <v>7.2015028507663434E-2</v>
      </c>
    </row>
    <row r="1036" spans="1:17" x14ac:dyDescent="0.25">
      <c r="A1036" s="15"/>
      <c r="B1036" s="14" t="s">
        <v>53</v>
      </c>
      <c r="C1036" s="13" t="s">
        <v>15</v>
      </c>
      <c r="D1036" s="12"/>
      <c r="E1036" s="11"/>
      <c r="F1036" s="10"/>
      <c r="G1036" s="10">
        <f t="shared" si="52"/>
        <v>0</v>
      </c>
      <c r="H1036" s="12"/>
      <c r="I1036" s="11">
        <v>45</v>
      </c>
      <c r="J1036" s="10">
        <v>2.4500000000000002</v>
      </c>
      <c r="K1036" s="10">
        <f t="shared" si="53"/>
        <v>110.25000000000001</v>
      </c>
      <c r="L1036" s="12"/>
      <c r="M1036" s="11"/>
      <c r="N1036" s="10"/>
      <c r="O1036" s="10">
        <f t="shared" si="54"/>
        <v>0</v>
      </c>
      <c r="P1036" s="12"/>
      <c r="Q1036" s="55">
        <f t="shared" si="51"/>
        <v>0.30863583646141468</v>
      </c>
    </row>
    <row r="1037" spans="1:17" ht="15.75" thickBot="1" x14ac:dyDescent="0.3">
      <c r="A1037" s="15"/>
      <c r="B1037" s="14"/>
      <c r="C1037" s="13"/>
      <c r="D1037" s="12"/>
      <c r="E1037" s="11"/>
      <c r="F1037" s="10"/>
      <c r="G1037" s="10">
        <f t="shared" si="52"/>
        <v>0</v>
      </c>
      <c r="H1037" s="12"/>
      <c r="I1037" s="11"/>
      <c r="J1037" s="10"/>
      <c r="K1037" s="10">
        <f t="shared" si="53"/>
        <v>0</v>
      </c>
      <c r="L1037" s="12"/>
      <c r="M1037" s="11"/>
      <c r="N1037" s="10"/>
      <c r="O1037" s="10">
        <f t="shared" si="54"/>
        <v>0</v>
      </c>
      <c r="P1037" s="12"/>
      <c r="Q1037" s="46"/>
    </row>
    <row r="1038" spans="1:17" ht="16.5" thickBot="1" x14ac:dyDescent="0.3">
      <c r="A1038" s="62" t="s">
        <v>5</v>
      </c>
      <c r="B1038" s="63"/>
      <c r="C1038" s="63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6"/>
      <c r="P1038" s="17"/>
      <c r="Q1038" s="46"/>
    </row>
    <row r="1039" spans="1:17" ht="30" x14ac:dyDescent="0.25">
      <c r="A1039" s="15"/>
      <c r="B1039" s="14" t="s">
        <v>589</v>
      </c>
      <c r="C1039" s="13" t="s">
        <v>3</v>
      </c>
      <c r="D1039" s="12"/>
      <c r="E1039" s="11">
        <v>135.30289999999999</v>
      </c>
      <c r="F1039" s="42">
        <v>6.5</v>
      </c>
      <c r="G1039" s="10">
        <f>+E1039*F1039</f>
        <v>879.46884999999997</v>
      </c>
      <c r="H1039" s="12"/>
      <c r="I1039" s="11">
        <v>10.5</v>
      </c>
      <c r="J1039" s="10">
        <v>6.5</v>
      </c>
      <c r="K1039" s="10">
        <f>+I1039*J1039</f>
        <v>68.25</v>
      </c>
      <c r="L1039" s="12"/>
      <c r="M1039" s="11">
        <v>113.59</v>
      </c>
      <c r="N1039" s="10">
        <v>6.5</v>
      </c>
      <c r="O1039" s="10">
        <f>+M1039*N1039</f>
        <v>738.33500000000004</v>
      </c>
      <c r="P1039" s="12"/>
      <c r="Q1039" s="46"/>
    </row>
    <row r="1040" spans="1:17" ht="15.75" thickBot="1" x14ac:dyDescent="0.3">
      <c r="A1040" s="15"/>
      <c r="B1040" s="14"/>
      <c r="C1040" s="13"/>
      <c r="D1040" s="12"/>
      <c r="E1040" s="11"/>
      <c r="F1040" s="10"/>
      <c r="G1040" s="10">
        <f>+E1040*F1040</f>
        <v>0</v>
      </c>
      <c r="H1040" s="12"/>
      <c r="I1040" s="11"/>
      <c r="J1040" s="10"/>
      <c r="K1040" s="10">
        <f>+I1040*J1040</f>
        <v>0</v>
      </c>
      <c r="L1040" s="12"/>
      <c r="M1040" s="11"/>
      <c r="N1040" s="10"/>
      <c r="O1040" s="10">
        <f>+M1040*N1040</f>
        <v>0</v>
      </c>
      <c r="P1040" s="12"/>
      <c r="Q1040" s="46"/>
    </row>
    <row r="1041" spans="1:19" ht="16.5" thickBot="1" x14ac:dyDescent="0.3">
      <c r="A1041" s="62" t="s">
        <v>2</v>
      </c>
      <c r="B1041" s="63"/>
      <c r="C1041" s="63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6"/>
      <c r="P1041" s="17"/>
      <c r="Q1041" s="46"/>
    </row>
    <row r="1042" spans="1:19" x14ac:dyDescent="0.25">
      <c r="A1042" s="15"/>
      <c r="B1042" s="14" t="s">
        <v>521</v>
      </c>
      <c r="C1042" s="13" t="s">
        <v>15</v>
      </c>
      <c r="D1042" s="12"/>
      <c r="E1042" s="11"/>
      <c r="F1042" s="10"/>
      <c r="G1042" s="10">
        <f>+E1042*F1042</f>
        <v>0</v>
      </c>
      <c r="H1042" s="12"/>
      <c r="I1042" s="11">
        <v>84</v>
      </c>
      <c r="J1042" s="10">
        <v>0.36</v>
      </c>
      <c r="K1042" s="10">
        <f>+I1042*J1042</f>
        <v>30.24</v>
      </c>
      <c r="L1042" s="12"/>
      <c r="M1042" s="11"/>
      <c r="N1042" s="10"/>
      <c r="O1042" s="10">
        <f>+M1042*N1042</f>
        <v>0</v>
      </c>
      <c r="P1042" s="12"/>
      <c r="Q1042" s="55">
        <f>+(E1042+I1042)/($E$1039+$I$1039)</f>
        <v>0.57612022806130747</v>
      </c>
      <c r="S1042" s="58"/>
    </row>
    <row r="1043" spans="1:19" x14ac:dyDescent="0.25">
      <c r="A1043" s="15"/>
      <c r="B1043" s="14" t="s">
        <v>233</v>
      </c>
      <c r="C1043" s="13" t="s">
        <v>15</v>
      </c>
      <c r="D1043" s="12"/>
      <c r="E1043" s="11"/>
      <c r="F1043" s="10"/>
      <c r="G1043" s="10">
        <f>+E1043*F1043</f>
        <v>0</v>
      </c>
      <c r="H1043" s="12"/>
      <c r="I1043" s="11">
        <v>84</v>
      </c>
      <c r="J1043" s="10">
        <v>0.09</v>
      </c>
      <c r="K1043" s="10">
        <f>+I1043*J1043</f>
        <v>7.56</v>
      </c>
      <c r="L1043" s="12"/>
      <c r="M1043" s="11"/>
      <c r="N1043" s="10"/>
      <c r="O1043" s="10">
        <f>+M1043*N1043</f>
        <v>0</v>
      </c>
      <c r="P1043" s="12"/>
      <c r="Q1043" s="55">
        <f>+(E1043+I1043)/($E$1039+$I$1039)</f>
        <v>0.57612022806130747</v>
      </c>
    </row>
    <row r="1044" spans="1:19" ht="15.75" thickBot="1" x14ac:dyDescent="0.3">
      <c r="Q1044" s="46"/>
    </row>
    <row r="1045" spans="1:19" ht="21" thickBot="1" x14ac:dyDescent="0.3">
      <c r="A1045" s="64" t="s">
        <v>1</v>
      </c>
      <c r="B1045" s="65"/>
      <c r="C1045" s="66"/>
      <c r="D1045" s="5"/>
      <c r="E1045" s="9"/>
      <c r="F1045" s="8"/>
      <c r="G1045" s="7">
        <f>SUM(G1030:G1044)</f>
        <v>918.37135000000001</v>
      </c>
      <c r="H1045" s="5"/>
      <c r="I1045" s="9"/>
      <c r="J1045" s="8"/>
      <c r="K1045" s="7">
        <f>SUM(K1028:K1043)</f>
        <v>361.37600000000003</v>
      </c>
      <c r="L1045" s="5"/>
      <c r="M1045" s="9"/>
      <c r="N1045" s="8"/>
      <c r="O1045" s="7">
        <f>SUM(O1028:O1043)</f>
        <v>738.33500000000004</v>
      </c>
      <c r="P1045" s="5"/>
      <c r="Q1045" s="46"/>
    </row>
    <row r="1046" spans="1:19" ht="21" thickBot="1" x14ac:dyDescent="0.3">
      <c r="A1046" s="60" t="s">
        <v>0</v>
      </c>
      <c r="B1046" s="61"/>
      <c r="C1046" s="61"/>
      <c r="D1046" s="5"/>
      <c r="E1046" s="4"/>
      <c r="F1046" s="3"/>
      <c r="G1046" s="6">
        <f>+G1045/E1039</f>
        <v>6.7875215534922022</v>
      </c>
      <c r="H1046" s="5"/>
      <c r="I1046" s="4"/>
      <c r="J1046" s="3"/>
      <c r="K1046" s="6">
        <f>+K1045/I1039</f>
        <v>34.416761904761906</v>
      </c>
      <c r="L1046" s="5"/>
      <c r="M1046" s="4"/>
      <c r="N1046" s="3"/>
      <c r="O1046" s="6">
        <f>+O1045/M1039</f>
        <v>6.5</v>
      </c>
      <c r="P1046" s="5"/>
      <c r="Q1046" s="46"/>
    </row>
    <row r="1047" spans="1:19" x14ac:dyDescent="0.25">
      <c r="Q1047" s="46"/>
    </row>
    <row r="1048" spans="1:19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46"/>
    </row>
    <row r="1049" spans="1:19" ht="15.75" thickBot="1" x14ac:dyDescent="0.3">
      <c r="Q1049" s="46"/>
    </row>
    <row r="1050" spans="1:19" ht="24" thickBot="1" x14ac:dyDescent="0.3">
      <c r="A1050" s="22" t="s">
        <v>272</v>
      </c>
      <c r="B1050" s="22"/>
      <c r="C1050" s="22"/>
      <c r="D1050" s="22"/>
      <c r="E1050" s="22"/>
      <c r="F1050" s="22"/>
      <c r="G1050" s="22"/>
      <c r="H1050" s="22"/>
      <c r="I1050" s="22"/>
      <c r="J1050" s="22"/>
      <c r="K1050" s="23"/>
      <c r="L1050" s="22"/>
      <c r="M1050" s="22"/>
      <c r="N1050" s="22"/>
      <c r="O1050" s="22"/>
      <c r="P1050" s="22"/>
      <c r="Q1050" s="46"/>
    </row>
    <row r="1051" spans="1:19" ht="15.75" thickBot="1" x14ac:dyDescent="0.3">
      <c r="Q1051" s="46"/>
    </row>
    <row r="1052" spans="1:19" ht="19.5" thickBot="1" x14ac:dyDescent="0.3">
      <c r="A1052" s="20" t="s">
        <v>271</v>
      </c>
      <c r="B1052" s="19" t="s">
        <v>270</v>
      </c>
      <c r="C1052" s="18" t="s">
        <v>19</v>
      </c>
      <c r="Q1052" s="46"/>
    </row>
    <row r="1053" spans="1:19" ht="15.75" thickBot="1" x14ac:dyDescent="0.3">
      <c r="Q1053" s="46"/>
    </row>
    <row r="1054" spans="1:19" ht="16.5" thickBot="1" x14ac:dyDescent="0.3">
      <c r="A1054" s="62" t="s">
        <v>11</v>
      </c>
      <c r="B1054" s="63"/>
      <c r="C1054" s="63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6"/>
      <c r="P1054" s="17"/>
      <c r="Q1054" s="46"/>
    </row>
    <row r="1055" spans="1:19" ht="18" x14ac:dyDescent="0.25">
      <c r="A1055" s="15"/>
      <c r="B1055" s="14" t="s">
        <v>176</v>
      </c>
      <c r="C1055" s="13" t="s">
        <v>42</v>
      </c>
      <c r="D1055" s="12"/>
      <c r="E1055" s="11">
        <f>11.27+0.48</f>
        <v>11.75</v>
      </c>
      <c r="F1055" s="10">
        <v>12.53</v>
      </c>
      <c r="G1055" s="10">
        <f t="shared" ref="G1055:G1063" si="55">+E1055*F1055</f>
        <v>147.22749999999999</v>
      </c>
      <c r="H1055" s="12"/>
      <c r="I1055" s="11">
        <f>4.32+4.48</f>
        <v>8.8000000000000007</v>
      </c>
      <c r="J1055" s="10">
        <v>12.16</v>
      </c>
      <c r="K1055" s="10">
        <f t="shared" ref="K1055:K1063" si="56">+I1055*J1055</f>
        <v>107.00800000000001</v>
      </c>
      <c r="L1055" s="12"/>
      <c r="M1055" s="11">
        <f>6.2+0.56</f>
        <v>6.76</v>
      </c>
      <c r="N1055" s="10">
        <v>11.97</v>
      </c>
      <c r="O1055" s="10">
        <f t="shared" ref="O1055:O1063" si="57">+M1055*N1055</f>
        <v>80.917200000000008</v>
      </c>
      <c r="P1055" s="12"/>
      <c r="Q1055" s="55">
        <f>+(E1055+I1055+M1055)/($E$1065+$I$1065+$M$1065)</f>
        <v>2.522546820907489E-2</v>
      </c>
    </row>
    <row r="1056" spans="1:19" ht="30" x14ac:dyDescent="0.25">
      <c r="A1056" s="15"/>
      <c r="B1056" s="14" t="s">
        <v>269</v>
      </c>
      <c r="C1056" s="13" t="s">
        <v>15</v>
      </c>
      <c r="D1056" s="12"/>
      <c r="E1056" s="11">
        <v>3107</v>
      </c>
      <c r="F1056" s="10">
        <v>0.45390000000000003</v>
      </c>
      <c r="G1056" s="10">
        <f t="shared" si="55"/>
        <v>1410.2673</v>
      </c>
      <c r="H1056" s="12"/>
      <c r="I1056" s="11">
        <v>3153</v>
      </c>
      <c r="J1056" s="10">
        <v>0.42</v>
      </c>
      <c r="K1056" s="10">
        <f t="shared" si="56"/>
        <v>1324.26</v>
      </c>
      <c r="L1056" s="12"/>
      <c r="M1056" s="11">
        <v>1075</v>
      </c>
      <c r="N1056" s="10">
        <v>0.45</v>
      </c>
      <c r="O1056" s="10">
        <f t="shared" si="57"/>
        <v>483.75</v>
      </c>
      <c r="P1056" s="12"/>
      <c r="Q1056" s="56">
        <f>+(E1056+I1056+M1056)/($E$1065+$I$1065+$M$1065)</f>
        <v>6.7751303300462951</v>
      </c>
    </row>
    <row r="1057" spans="1:17" x14ac:dyDescent="0.25">
      <c r="A1057" s="15"/>
      <c r="B1057" s="14" t="s">
        <v>260</v>
      </c>
      <c r="C1057" s="13" t="s">
        <v>222</v>
      </c>
      <c r="D1057" s="12"/>
      <c r="E1057" s="11"/>
      <c r="F1057" s="10"/>
      <c r="G1057" s="10">
        <f>+E1057*F1057</f>
        <v>0</v>
      </c>
      <c r="H1057" s="12"/>
      <c r="I1057" s="11">
        <v>0.73</v>
      </c>
      <c r="J1057" s="10">
        <v>0.51</v>
      </c>
      <c r="K1057" s="10">
        <f>+I1057*J1057</f>
        <v>0.37230000000000002</v>
      </c>
      <c r="L1057" s="12"/>
      <c r="M1057" s="11"/>
      <c r="N1057" s="10"/>
      <c r="O1057" s="10">
        <f>+M1057*N1057</f>
        <v>0</v>
      </c>
      <c r="P1057" s="12"/>
      <c r="Q1057" s="55">
        <f>+(I1057)/($I$1065)</f>
        <v>1.1630871200050985E-3</v>
      </c>
    </row>
    <row r="1058" spans="1:17" x14ac:dyDescent="0.25">
      <c r="A1058" s="15"/>
      <c r="B1058" s="14" t="s">
        <v>48</v>
      </c>
      <c r="C1058" s="13" t="s">
        <v>174</v>
      </c>
      <c r="D1058" s="12"/>
      <c r="E1058" s="11">
        <v>82</v>
      </c>
      <c r="F1058" s="10">
        <v>6.6159999999999997</v>
      </c>
      <c r="G1058" s="10">
        <f t="shared" si="55"/>
        <v>542.51199999999994</v>
      </c>
      <c r="H1058" s="12"/>
      <c r="I1058" s="11">
        <v>84</v>
      </c>
      <c r="J1058" s="10">
        <v>6.8</v>
      </c>
      <c r="K1058" s="10">
        <f t="shared" si="56"/>
        <v>571.19999999999993</v>
      </c>
      <c r="L1058" s="12"/>
      <c r="M1058" s="11">
        <v>33</v>
      </c>
      <c r="N1058" s="10">
        <v>6.79</v>
      </c>
      <c r="O1058" s="10">
        <f t="shared" si="57"/>
        <v>224.07</v>
      </c>
      <c r="P1058" s="12"/>
      <c r="Q1058" s="55">
        <f>+(E1058+I1058+M1058)/($E$1065+$I$1065+$M$1065)</f>
        <v>0.18381062517780677</v>
      </c>
    </row>
    <row r="1059" spans="1:17" ht="30" x14ac:dyDescent="0.25">
      <c r="A1059" s="15"/>
      <c r="B1059" s="14" t="s">
        <v>229</v>
      </c>
      <c r="C1059" s="13" t="s">
        <v>15</v>
      </c>
      <c r="D1059" s="12"/>
      <c r="E1059" s="11">
        <v>20</v>
      </c>
      <c r="F1059" s="10">
        <v>5.34</v>
      </c>
      <c r="G1059" s="10">
        <f t="shared" si="55"/>
        <v>106.8</v>
      </c>
      <c r="H1059" s="12"/>
      <c r="I1059" s="11"/>
      <c r="J1059" s="10"/>
      <c r="K1059" s="10">
        <f t="shared" si="56"/>
        <v>0</v>
      </c>
      <c r="L1059" s="12"/>
      <c r="M1059" s="11">
        <v>4</v>
      </c>
      <c r="N1059" s="10">
        <v>5.34</v>
      </c>
      <c r="O1059" s="10">
        <f t="shared" si="57"/>
        <v>21.36</v>
      </c>
      <c r="P1059" s="12"/>
      <c r="Q1059" s="56">
        <f>+(E1059+M1059)/($E$1065+$M$1065)</f>
        <v>5.2747716463441438E-2</v>
      </c>
    </row>
    <row r="1060" spans="1:17" x14ac:dyDescent="0.25">
      <c r="A1060" s="15"/>
      <c r="B1060" s="14" t="s">
        <v>241</v>
      </c>
      <c r="C1060" s="13" t="s">
        <v>15</v>
      </c>
      <c r="D1060" s="12"/>
      <c r="E1060" s="11"/>
      <c r="F1060" s="10"/>
      <c r="G1060" s="10">
        <f>+E1060*F1060</f>
        <v>0</v>
      </c>
      <c r="H1060" s="12"/>
      <c r="I1060" s="11">
        <v>2</v>
      </c>
      <c r="J1060" s="10">
        <v>4.32</v>
      </c>
      <c r="K1060" s="10">
        <f>+I1060*J1060</f>
        <v>8.64</v>
      </c>
      <c r="L1060" s="12"/>
      <c r="M1060" s="11">
        <v>2</v>
      </c>
      <c r="N1060" s="10">
        <v>3.95</v>
      </c>
      <c r="O1060" s="10">
        <f>+M1060*N1060</f>
        <v>7.9</v>
      </c>
      <c r="P1060" s="12"/>
      <c r="Q1060" s="55">
        <f>+(+I1060+M1060)/(+$I$1065+$M$1065)</f>
        <v>5.1028869582966565E-3</v>
      </c>
    </row>
    <row r="1061" spans="1:17" x14ac:dyDescent="0.25">
      <c r="A1061" s="15"/>
      <c r="B1061" s="14" t="s">
        <v>247</v>
      </c>
      <c r="C1061" s="13" t="s">
        <v>15</v>
      </c>
      <c r="D1061" s="12"/>
      <c r="E1061" s="11">
        <v>6</v>
      </c>
      <c r="F1061" s="10">
        <v>26.23</v>
      </c>
      <c r="G1061" s="10">
        <f t="shared" si="55"/>
        <v>157.38</v>
      </c>
      <c r="H1061" s="12"/>
      <c r="I1061" s="11"/>
      <c r="J1061" s="10"/>
      <c r="K1061" s="10">
        <f t="shared" si="56"/>
        <v>0</v>
      </c>
      <c r="L1061" s="12"/>
      <c r="M1061" s="11">
        <v>5</v>
      </c>
      <c r="N1061" s="10">
        <v>23.17</v>
      </c>
      <c r="O1061" s="10">
        <f t="shared" si="57"/>
        <v>115.85000000000001</v>
      </c>
      <c r="P1061" s="12"/>
      <c r="Q1061" s="55">
        <f>+(E1061+M1061)/($E$1065+$M$1065)</f>
        <v>2.417603671241066E-2</v>
      </c>
    </row>
    <row r="1062" spans="1:17" ht="30" x14ac:dyDescent="0.25">
      <c r="A1062" s="15"/>
      <c r="B1062" s="14" t="s">
        <v>237</v>
      </c>
      <c r="C1062" s="13" t="s">
        <v>15</v>
      </c>
      <c r="D1062" s="12"/>
      <c r="E1062" s="11"/>
      <c r="F1062" s="10"/>
      <c r="G1062" s="10">
        <f t="shared" si="55"/>
        <v>0</v>
      </c>
      <c r="H1062" s="12"/>
      <c r="I1062" s="11"/>
      <c r="J1062" s="10"/>
      <c r="K1062" s="10">
        <f t="shared" si="56"/>
        <v>0</v>
      </c>
      <c r="L1062" s="12"/>
      <c r="M1062" s="11">
        <v>4</v>
      </c>
      <c r="N1062" s="10">
        <v>11.51</v>
      </c>
      <c r="O1062" s="10">
        <f t="shared" si="57"/>
        <v>46.04</v>
      </c>
      <c r="P1062" s="12"/>
      <c r="Q1062" s="56">
        <f>+(M1062)/($M$1065)</f>
        <v>2.5603277219484095E-2</v>
      </c>
    </row>
    <row r="1063" spans="1:17" ht="15.75" thickBot="1" x14ac:dyDescent="0.3">
      <c r="A1063" s="15"/>
      <c r="B1063" s="14"/>
      <c r="C1063" s="13"/>
      <c r="D1063" s="12"/>
      <c r="E1063" s="11"/>
      <c r="F1063" s="10"/>
      <c r="G1063" s="10">
        <f t="shared" si="55"/>
        <v>0</v>
      </c>
      <c r="H1063" s="12"/>
      <c r="I1063" s="11"/>
      <c r="J1063" s="10"/>
      <c r="K1063" s="10">
        <f t="shared" si="56"/>
        <v>0</v>
      </c>
      <c r="L1063" s="12"/>
      <c r="M1063" s="11"/>
      <c r="N1063" s="10"/>
      <c r="O1063" s="10">
        <f t="shared" si="57"/>
        <v>0</v>
      </c>
      <c r="P1063" s="12"/>
      <c r="Q1063" s="46"/>
    </row>
    <row r="1064" spans="1:17" ht="16.5" thickBot="1" x14ac:dyDescent="0.3">
      <c r="A1064" s="62" t="s">
        <v>5</v>
      </c>
      <c r="B1064" s="63"/>
      <c r="C1064" s="63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6"/>
      <c r="P1064" s="17"/>
      <c r="Q1064" s="46"/>
    </row>
    <row r="1065" spans="1:17" ht="18" x14ac:dyDescent="0.25">
      <c r="A1065" s="15"/>
      <c r="B1065" s="14" t="s">
        <v>268</v>
      </c>
      <c r="C1065" s="13" t="s">
        <v>13</v>
      </c>
      <c r="D1065" s="12"/>
      <c r="E1065" s="11">
        <v>298.76600000000002</v>
      </c>
      <c r="F1065" s="42">
        <v>7.38</v>
      </c>
      <c r="G1065" s="10">
        <f>+E1065*F1065</f>
        <v>2204.8930800000003</v>
      </c>
      <c r="H1065" s="12"/>
      <c r="I1065" s="11">
        <v>627.64</v>
      </c>
      <c r="J1065" s="10">
        <v>5.5</v>
      </c>
      <c r="K1065" s="10">
        <f>+I1065*J1065</f>
        <v>3452.02</v>
      </c>
      <c r="L1065" s="12"/>
      <c r="M1065" s="11">
        <v>156.22999999999999</v>
      </c>
      <c r="N1065" s="10">
        <v>5.5</v>
      </c>
      <c r="O1065" s="10">
        <f>+M1065*N1065</f>
        <v>859.26499999999999</v>
      </c>
      <c r="P1065" s="12"/>
      <c r="Q1065" s="46"/>
    </row>
    <row r="1066" spans="1:17" ht="15.75" thickBot="1" x14ac:dyDescent="0.3">
      <c r="A1066" s="15"/>
      <c r="B1066" s="14"/>
      <c r="C1066" s="13"/>
      <c r="D1066" s="12"/>
      <c r="E1066" s="11"/>
      <c r="F1066" s="10"/>
      <c r="G1066" s="10">
        <f>+E1066*F1066</f>
        <v>0</v>
      </c>
      <c r="H1066" s="12"/>
      <c r="I1066" s="11"/>
      <c r="J1066" s="10"/>
      <c r="K1066" s="10">
        <f>+I1066*J1066</f>
        <v>0</v>
      </c>
      <c r="L1066" s="12"/>
      <c r="M1066" s="11"/>
      <c r="N1066" s="10"/>
      <c r="O1066" s="10">
        <f>+M1066*N1066</f>
        <v>0</v>
      </c>
      <c r="P1066" s="12"/>
      <c r="Q1066" s="46"/>
    </row>
    <row r="1067" spans="1:17" ht="16.5" thickBot="1" x14ac:dyDescent="0.3">
      <c r="A1067" s="62" t="s">
        <v>2</v>
      </c>
      <c r="B1067" s="63"/>
      <c r="C1067" s="63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6"/>
      <c r="P1067" s="17"/>
      <c r="Q1067" s="46"/>
    </row>
    <row r="1068" spans="1:17" x14ac:dyDescent="0.25">
      <c r="A1068" s="15"/>
      <c r="B1068" s="14" t="s">
        <v>234</v>
      </c>
      <c r="C1068" s="13" t="s">
        <v>15</v>
      </c>
      <c r="D1068" s="12"/>
      <c r="E1068" s="11">
        <v>492.05</v>
      </c>
      <c r="F1068" s="10">
        <v>0.36</v>
      </c>
      <c r="G1068" s="10">
        <f>+E1068*F1068</f>
        <v>177.13800000000001</v>
      </c>
      <c r="H1068" s="12"/>
      <c r="I1068" s="11">
        <v>294</v>
      </c>
      <c r="J1068" s="10">
        <v>0.36</v>
      </c>
      <c r="K1068" s="10">
        <f>+I1068*J1068</f>
        <v>105.83999999999999</v>
      </c>
      <c r="L1068" s="12"/>
      <c r="M1068" s="11">
        <v>193</v>
      </c>
      <c r="N1068" s="10">
        <v>0.36</v>
      </c>
      <c r="O1068" s="10">
        <f>+M1068*N1068</f>
        <v>69.48</v>
      </c>
      <c r="P1068" s="12"/>
      <c r="Q1068" s="55">
        <f>+(E1068+I1068+M1068)/($E$1065+$I$1065+$M$1065)</f>
        <v>0.90432056573031006</v>
      </c>
    </row>
    <row r="1069" spans="1:17" x14ac:dyDescent="0.25">
      <c r="A1069" s="15"/>
      <c r="B1069" s="14" t="s">
        <v>233</v>
      </c>
      <c r="C1069" s="13" t="s">
        <v>15</v>
      </c>
      <c r="D1069" s="12"/>
      <c r="E1069" s="11">
        <v>492</v>
      </c>
      <c r="F1069" s="10">
        <v>0.09</v>
      </c>
      <c r="G1069" s="10">
        <f>+E1069*F1069</f>
        <v>44.28</v>
      </c>
      <c r="H1069" s="12"/>
      <c r="I1069" s="11">
        <v>294</v>
      </c>
      <c r="J1069" s="10">
        <v>0.09</v>
      </c>
      <c r="K1069" s="10">
        <f>+I1069*J1069</f>
        <v>26.459999999999997</v>
      </c>
      <c r="L1069" s="12"/>
      <c r="M1069" s="11">
        <v>193</v>
      </c>
      <c r="N1069" s="10">
        <v>0.09</v>
      </c>
      <c r="O1069" s="10">
        <f>+M1069*N1069</f>
        <v>17.37</v>
      </c>
      <c r="P1069" s="12"/>
      <c r="Q1069" s="55">
        <f>+(E1069+I1069+M1069)/($E$1065+$I$1065+$M$1065)</f>
        <v>0.90427438215614486</v>
      </c>
    </row>
    <row r="1070" spans="1:17" x14ac:dyDescent="0.25">
      <c r="A1070" s="15"/>
      <c r="B1070" s="14"/>
      <c r="C1070" s="13"/>
      <c r="D1070" s="12"/>
      <c r="E1070" s="11"/>
      <c r="F1070" s="10"/>
      <c r="G1070" s="10">
        <f>+E1070*F1070</f>
        <v>0</v>
      </c>
      <c r="H1070" s="12"/>
      <c r="I1070" s="11"/>
      <c r="J1070" s="10"/>
      <c r="K1070" s="10">
        <f>+I1070*J1070</f>
        <v>0</v>
      </c>
      <c r="L1070" s="12"/>
      <c r="M1070" s="11"/>
      <c r="N1070" s="10"/>
      <c r="O1070" s="10">
        <f>+M1070*N1070</f>
        <v>0</v>
      </c>
      <c r="P1070" s="12"/>
      <c r="Q1070" s="46"/>
    </row>
    <row r="1071" spans="1:17" ht="15.75" thickBot="1" x14ac:dyDescent="0.3">
      <c r="Q1071" s="46"/>
    </row>
    <row r="1072" spans="1:17" ht="21" thickBot="1" x14ac:dyDescent="0.3">
      <c r="A1072" s="64" t="s">
        <v>1</v>
      </c>
      <c r="B1072" s="65"/>
      <c r="C1072" s="66"/>
      <c r="D1072" s="5"/>
      <c r="E1072" s="9"/>
      <c r="F1072" s="8"/>
      <c r="G1072" s="7">
        <f>SUM(G1054:G1071)</f>
        <v>4790.4978800000008</v>
      </c>
      <c r="H1072" s="5"/>
      <c r="I1072" s="9"/>
      <c r="J1072" s="8"/>
      <c r="K1072" s="7">
        <f>SUM(K1052:K1070)</f>
        <v>5595.8002999999999</v>
      </c>
      <c r="L1072" s="5"/>
      <c r="M1072" s="9"/>
      <c r="N1072" s="8"/>
      <c r="O1072" s="7">
        <f>SUM(O1052:O1070)</f>
        <v>1926.0021999999999</v>
      </c>
      <c r="P1072" s="5"/>
      <c r="Q1072" s="46"/>
    </row>
    <row r="1073" spans="1:17" ht="21" thickBot="1" x14ac:dyDescent="0.3">
      <c r="A1073" s="60" t="s">
        <v>0</v>
      </c>
      <c r="B1073" s="61"/>
      <c r="C1073" s="61"/>
      <c r="D1073" s="5"/>
      <c r="E1073" s="4"/>
      <c r="F1073" s="3"/>
      <c r="G1073" s="6">
        <f>+G1072/E1065</f>
        <v>16.03428060756579</v>
      </c>
      <c r="H1073" s="5"/>
      <c r="I1073" s="4"/>
      <c r="J1073" s="3"/>
      <c r="K1073" s="6">
        <f>+K1072/I1065</f>
        <v>8.9156208973296796</v>
      </c>
      <c r="L1073" s="5"/>
      <c r="M1073" s="4"/>
      <c r="N1073" s="3"/>
      <c r="O1073" s="6">
        <f>+O1072/M1065</f>
        <v>12.327992062984062</v>
      </c>
      <c r="P1073" s="5"/>
      <c r="Q1073" s="46"/>
    </row>
    <row r="1074" spans="1:17" x14ac:dyDescent="0.25">
      <c r="Q1074" s="46"/>
    </row>
    <row r="1075" spans="1:17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46"/>
    </row>
    <row r="1076" spans="1:17" ht="15.75" thickBot="1" x14ac:dyDescent="0.3">
      <c r="Q1076" s="46"/>
    </row>
    <row r="1077" spans="1:17" ht="19.5" thickBot="1" x14ac:dyDescent="0.3">
      <c r="A1077" s="20" t="s">
        <v>267</v>
      </c>
      <c r="B1077" s="19" t="s">
        <v>266</v>
      </c>
      <c r="C1077" s="18" t="s">
        <v>19</v>
      </c>
      <c r="G1077" s="26"/>
      <c r="Q1077" s="46"/>
    </row>
    <row r="1078" spans="1:17" ht="15.75" thickBot="1" x14ac:dyDescent="0.3">
      <c r="Q1078" s="46"/>
    </row>
    <row r="1079" spans="1:17" ht="16.5" thickBot="1" x14ac:dyDescent="0.3">
      <c r="A1079" s="62" t="s">
        <v>11</v>
      </c>
      <c r="B1079" s="63"/>
      <c r="C1079" s="63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6"/>
      <c r="P1079" s="17"/>
      <c r="Q1079" s="46"/>
    </row>
    <row r="1080" spans="1:17" ht="18" x14ac:dyDescent="0.25">
      <c r="A1080" s="15"/>
      <c r="B1080" s="14" t="s">
        <v>176</v>
      </c>
      <c r="C1080" s="13" t="s">
        <v>42</v>
      </c>
      <c r="D1080" s="12"/>
      <c r="E1080" s="11">
        <f>12.66+1.52</f>
        <v>14.18</v>
      </c>
      <c r="F1080" s="10">
        <v>12.65</v>
      </c>
      <c r="G1080" s="10">
        <f t="shared" ref="G1080:G1089" si="58">+E1080*F1080</f>
        <v>179.37700000000001</v>
      </c>
      <c r="H1080" s="12"/>
      <c r="I1080" s="11">
        <v>16</v>
      </c>
      <c r="J1080" s="10">
        <v>12.17</v>
      </c>
      <c r="K1080" s="10">
        <f t="shared" ref="K1080:K1089" si="59">+I1080*J1080</f>
        <v>194.72</v>
      </c>
      <c r="L1080" s="12"/>
      <c r="M1080" s="11">
        <f>13.4+1.4</f>
        <v>14.8</v>
      </c>
      <c r="N1080" s="10">
        <v>12</v>
      </c>
      <c r="O1080" s="10">
        <f t="shared" ref="O1080:O1089" si="60">+M1080*N1080</f>
        <v>177.60000000000002</v>
      </c>
      <c r="P1080" s="12"/>
      <c r="Q1080" s="55">
        <f>+(E1080+I1080+M1080)/($E$1091+$I$1091+$M$1091)</f>
        <v>3.8115090966096381E-2</v>
      </c>
    </row>
    <row r="1081" spans="1:17" ht="30" x14ac:dyDescent="0.25">
      <c r="A1081" s="15"/>
      <c r="B1081" s="14" t="s">
        <v>265</v>
      </c>
      <c r="C1081" s="13" t="s">
        <v>15</v>
      </c>
      <c r="D1081" s="12"/>
      <c r="E1081" s="11">
        <v>4071</v>
      </c>
      <c r="F1081" s="10">
        <v>0.35</v>
      </c>
      <c r="G1081" s="10">
        <f t="shared" si="58"/>
        <v>1424.85</v>
      </c>
      <c r="H1081" s="12"/>
      <c r="I1081" s="11">
        <v>1925</v>
      </c>
      <c r="J1081" s="10">
        <v>0.34</v>
      </c>
      <c r="K1081" s="10">
        <f t="shared" si="59"/>
        <v>654.5</v>
      </c>
      <c r="L1081" s="12"/>
      <c r="M1081" s="11">
        <f>5005+750</f>
        <v>5755</v>
      </c>
      <c r="N1081" s="10">
        <v>0.34399999999999997</v>
      </c>
      <c r="O1081" s="10">
        <f t="shared" si="60"/>
        <v>1979.7199999999998</v>
      </c>
      <c r="P1081" s="12"/>
      <c r="Q1081" s="56">
        <f>+(E1081+I1081+M1081)/($E$1091+$I$1091+$M$1091)</f>
        <v>9.9575463304268244</v>
      </c>
    </row>
    <row r="1082" spans="1:17" x14ac:dyDescent="0.25">
      <c r="A1082" s="15"/>
      <c r="B1082" s="14" t="s">
        <v>251</v>
      </c>
      <c r="C1082" s="13" t="s">
        <v>15</v>
      </c>
      <c r="D1082" s="12"/>
      <c r="E1082" s="11">
        <v>2</v>
      </c>
      <c r="F1082" s="10">
        <v>5.0999999999999996</v>
      </c>
      <c r="G1082" s="10">
        <f t="shared" si="58"/>
        <v>10.199999999999999</v>
      </c>
      <c r="H1082" s="12"/>
      <c r="I1082" s="11"/>
      <c r="J1082" s="10"/>
      <c r="K1082" s="10">
        <f t="shared" si="59"/>
        <v>0</v>
      </c>
      <c r="L1082" s="12"/>
      <c r="M1082" s="11">
        <v>1</v>
      </c>
      <c r="N1082" s="10">
        <v>5.0999999999999996</v>
      </c>
      <c r="O1082" s="10">
        <f t="shared" si="60"/>
        <v>5.0999999999999996</v>
      </c>
      <c r="P1082" s="12"/>
      <c r="Q1082" s="55">
        <f>+(E1082+M1082)/($E$1091+$M$1091)</f>
        <v>3.0312828388974213E-3</v>
      </c>
    </row>
    <row r="1083" spans="1:17" x14ac:dyDescent="0.25">
      <c r="A1083" s="15"/>
      <c r="B1083" s="14" t="s">
        <v>260</v>
      </c>
      <c r="C1083" s="13" t="s">
        <v>222</v>
      </c>
      <c r="D1083" s="12"/>
      <c r="E1083" s="11"/>
      <c r="F1083" s="10"/>
      <c r="G1083" s="10">
        <f>+E1083*F1083</f>
        <v>0</v>
      </c>
      <c r="H1083" s="12"/>
      <c r="I1083" s="11">
        <v>0.73</v>
      </c>
      <c r="J1083" s="10">
        <v>0.51</v>
      </c>
      <c r="K1083" s="10">
        <f>+I1083*J1083</f>
        <v>0.37230000000000002</v>
      </c>
      <c r="L1083" s="12"/>
      <c r="M1083" s="11"/>
      <c r="N1083" s="10"/>
      <c r="O1083" s="10">
        <f>+M1083*N1083</f>
        <v>0</v>
      </c>
      <c r="P1083" s="12"/>
      <c r="Q1083" s="55">
        <f>+(I1083)/($I$1091)</f>
        <v>3.8334296066796195E-3</v>
      </c>
    </row>
    <row r="1084" spans="1:17" x14ac:dyDescent="0.25">
      <c r="A1084" s="15"/>
      <c r="B1084" s="14" t="s">
        <v>48</v>
      </c>
      <c r="C1084" s="13" t="s">
        <v>174</v>
      </c>
      <c r="D1084" s="12"/>
      <c r="E1084" s="11">
        <v>72</v>
      </c>
      <c r="F1084" s="10">
        <v>6.61</v>
      </c>
      <c r="G1084" s="10">
        <f t="shared" si="58"/>
        <v>475.92</v>
      </c>
      <c r="H1084" s="12"/>
      <c r="I1084" s="11">
        <v>39</v>
      </c>
      <c r="J1084" s="10">
        <v>6.81</v>
      </c>
      <c r="K1084" s="10">
        <f t="shared" si="59"/>
        <v>265.58999999999997</v>
      </c>
      <c r="L1084" s="12"/>
      <c r="M1084" s="11">
        <v>78</v>
      </c>
      <c r="N1084" s="10">
        <v>6.79</v>
      </c>
      <c r="O1084" s="10">
        <f t="shared" si="60"/>
        <v>529.62</v>
      </c>
      <c r="P1084" s="12"/>
      <c r="Q1084" s="55">
        <f>+(E1084+I1084+M1084)/($E$1091+$I$1091+$M$1091)</f>
        <v>0.16015456186287716</v>
      </c>
    </row>
    <row r="1085" spans="1:17" ht="30" x14ac:dyDescent="0.25">
      <c r="A1085" s="15"/>
      <c r="B1085" s="14" t="s">
        <v>229</v>
      </c>
      <c r="C1085" s="13" t="s">
        <v>15</v>
      </c>
      <c r="D1085" s="12"/>
      <c r="E1085" s="11">
        <v>9</v>
      </c>
      <c r="F1085" s="10">
        <v>5.35</v>
      </c>
      <c r="G1085" s="10">
        <f t="shared" si="58"/>
        <v>48.15</v>
      </c>
      <c r="H1085" s="12"/>
      <c r="I1085" s="11"/>
      <c r="J1085" s="10"/>
      <c r="K1085" s="10">
        <f t="shared" si="59"/>
        <v>0</v>
      </c>
      <c r="L1085" s="12"/>
      <c r="M1085" s="11">
        <v>5</v>
      </c>
      <c r="N1085" s="10">
        <v>5.35</v>
      </c>
      <c r="O1085" s="10">
        <f t="shared" si="60"/>
        <v>26.75</v>
      </c>
      <c r="P1085" s="12"/>
      <c r="Q1085" s="56">
        <f>+(E1085+M1085)/($E$1091+$M$1091)</f>
        <v>1.4145986581521299E-2</v>
      </c>
    </row>
    <row r="1086" spans="1:17" x14ac:dyDescent="0.25">
      <c r="A1086" s="15"/>
      <c r="B1086" s="14" t="s">
        <v>241</v>
      </c>
      <c r="C1086" s="13" t="s">
        <v>15</v>
      </c>
      <c r="D1086" s="12"/>
      <c r="E1086" s="11"/>
      <c r="F1086" s="10"/>
      <c r="G1086" s="10">
        <f>+E1086*F1086</f>
        <v>0</v>
      </c>
      <c r="H1086" s="12"/>
      <c r="I1086" s="11">
        <v>8</v>
      </c>
      <c r="J1086" s="10">
        <v>4.32</v>
      </c>
      <c r="K1086" s="10">
        <f>+I1086*J1086</f>
        <v>34.56</v>
      </c>
      <c r="L1086" s="12"/>
      <c r="M1086" s="11">
        <v>4</v>
      </c>
      <c r="N1086" s="10">
        <v>3.95</v>
      </c>
      <c r="O1086" s="10">
        <f>+M1086*N1086</f>
        <v>15.8</v>
      </c>
      <c r="P1086" s="12"/>
      <c r="Q1086" s="55">
        <f>+(I1086+M1086)/($I$1091+$M$1091)</f>
        <v>1.5357444521231665E-2</v>
      </c>
    </row>
    <row r="1087" spans="1:17" x14ac:dyDescent="0.25">
      <c r="A1087" s="15"/>
      <c r="B1087" s="14" t="s">
        <v>247</v>
      </c>
      <c r="C1087" s="13" t="s">
        <v>15</v>
      </c>
      <c r="D1087" s="12"/>
      <c r="E1087" s="11">
        <v>10</v>
      </c>
      <c r="F1087" s="10">
        <v>26.33</v>
      </c>
      <c r="G1087" s="10">
        <f t="shared" si="58"/>
        <v>263.29999999999995</v>
      </c>
      <c r="H1087" s="12"/>
      <c r="I1087" s="11"/>
      <c r="J1087" s="10"/>
      <c r="K1087" s="10">
        <f t="shared" si="59"/>
        <v>0</v>
      </c>
      <c r="L1087" s="12"/>
      <c r="M1087" s="11">
        <v>6</v>
      </c>
      <c r="N1087" s="10">
        <v>23.2</v>
      </c>
      <c r="O1087" s="10">
        <f t="shared" si="60"/>
        <v>139.19999999999999</v>
      </c>
      <c r="P1087" s="12"/>
      <c r="Q1087" s="56">
        <f>+(E1087+M1087)/($E$1091+$M$1091)</f>
        <v>1.6166841807452911E-2</v>
      </c>
    </row>
    <row r="1088" spans="1:17" ht="30" x14ac:dyDescent="0.25">
      <c r="A1088" s="15"/>
      <c r="B1088" s="14" t="s">
        <v>63</v>
      </c>
      <c r="C1088" s="13" t="s">
        <v>15</v>
      </c>
      <c r="D1088" s="12"/>
      <c r="E1088" s="11"/>
      <c r="F1088" s="10"/>
      <c r="G1088" s="10">
        <f t="shared" si="58"/>
        <v>0</v>
      </c>
      <c r="H1088" s="12"/>
      <c r="I1088" s="11"/>
      <c r="J1088" s="10"/>
      <c r="K1088" s="10">
        <f t="shared" si="59"/>
        <v>0</v>
      </c>
      <c r="L1088" s="12"/>
      <c r="M1088" s="11">
        <v>10</v>
      </c>
      <c r="N1088" s="10">
        <v>8.16</v>
      </c>
      <c r="O1088" s="10">
        <f t="shared" si="60"/>
        <v>81.599999999999994</v>
      </c>
      <c r="P1088" s="12"/>
      <c r="Q1088" s="56">
        <f>+(M1088)/($M$1091)</f>
        <v>1.6921905406548775E-2</v>
      </c>
    </row>
    <row r="1089" spans="1:17" ht="15.75" thickBot="1" x14ac:dyDescent="0.3">
      <c r="A1089" s="15"/>
      <c r="B1089" s="14"/>
      <c r="C1089" s="13"/>
      <c r="D1089" s="12"/>
      <c r="E1089" s="11"/>
      <c r="F1089" s="10"/>
      <c r="G1089" s="10">
        <f t="shared" si="58"/>
        <v>0</v>
      </c>
      <c r="H1089" s="12"/>
      <c r="I1089" s="11"/>
      <c r="J1089" s="10"/>
      <c r="K1089" s="10">
        <f t="shared" si="59"/>
        <v>0</v>
      </c>
      <c r="L1089" s="12"/>
      <c r="M1089" s="11"/>
      <c r="N1089" s="10"/>
      <c r="O1089" s="10">
        <f t="shared" si="60"/>
        <v>0</v>
      </c>
      <c r="P1089" s="12"/>
      <c r="Q1089" s="46"/>
    </row>
    <row r="1090" spans="1:17" ht="16.5" thickBot="1" x14ac:dyDescent="0.3">
      <c r="A1090" s="62" t="s">
        <v>5</v>
      </c>
      <c r="B1090" s="63"/>
      <c r="C1090" s="63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6"/>
      <c r="P1090" s="17"/>
      <c r="Q1090" s="46"/>
    </row>
    <row r="1091" spans="1:17" ht="18" x14ac:dyDescent="0.25">
      <c r="A1091" s="15"/>
      <c r="B1091" s="14" t="s">
        <v>264</v>
      </c>
      <c r="C1091" s="13" t="s">
        <v>13</v>
      </c>
      <c r="D1091" s="12"/>
      <c r="E1091" s="11">
        <v>398.73</v>
      </c>
      <c r="F1091" s="42">
        <v>6.92</v>
      </c>
      <c r="G1091" s="10">
        <f>+E1091*F1091</f>
        <v>2759.2116000000001</v>
      </c>
      <c r="H1091" s="12"/>
      <c r="I1091" s="11">
        <v>190.43</v>
      </c>
      <c r="J1091" s="10">
        <v>5.3</v>
      </c>
      <c r="K1091" s="10">
        <f>+I1091*J1091</f>
        <v>1009.279</v>
      </c>
      <c r="L1091" s="12"/>
      <c r="M1091" s="11">
        <v>590.95000000000005</v>
      </c>
      <c r="N1091" s="10">
        <v>5.3</v>
      </c>
      <c r="O1091" s="10">
        <f>+M1091*N1091</f>
        <v>3132.0350000000003</v>
      </c>
      <c r="P1091" s="12"/>
      <c r="Q1091" s="46"/>
    </row>
    <row r="1092" spans="1:17" ht="15.75" thickBot="1" x14ac:dyDescent="0.3">
      <c r="A1092" s="15"/>
      <c r="B1092" s="14"/>
      <c r="C1092" s="13"/>
      <c r="D1092" s="12"/>
      <c r="E1092" s="11"/>
      <c r="F1092" s="10"/>
      <c r="G1092" s="10">
        <f>+E1092*F1092</f>
        <v>0</v>
      </c>
      <c r="H1092" s="12"/>
      <c r="I1092" s="11"/>
      <c r="J1092" s="10"/>
      <c r="K1092" s="10">
        <f>+I1092*J1092</f>
        <v>0</v>
      </c>
      <c r="L1092" s="12"/>
      <c r="M1092" s="11"/>
      <c r="N1092" s="10"/>
      <c r="O1092" s="10">
        <f>+M1092*N1092</f>
        <v>0</v>
      </c>
      <c r="P1092" s="12"/>
      <c r="Q1092" s="46"/>
    </row>
    <row r="1093" spans="1:17" ht="16.5" thickBot="1" x14ac:dyDescent="0.3">
      <c r="A1093" s="62" t="s">
        <v>2</v>
      </c>
      <c r="B1093" s="63"/>
      <c r="C1093" s="63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6"/>
      <c r="P1093" s="17"/>
      <c r="Q1093" s="46"/>
    </row>
    <row r="1094" spans="1:17" x14ac:dyDescent="0.25">
      <c r="A1094" s="15"/>
      <c r="B1094" s="14" t="s">
        <v>234</v>
      </c>
      <c r="C1094" s="13" t="s">
        <v>15</v>
      </c>
      <c r="D1094" s="12"/>
      <c r="E1094" s="11">
        <v>500</v>
      </c>
      <c r="F1094" s="10">
        <v>0.36</v>
      </c>
      <c r="G1094" s="10">
        <f>+E1094*F1094</f>
        <v>180</v>
      </c>
      <c r="H1094" s="12"/>
      <c r="I1094" s="11">
        <v>60</v>
      </c>
      <c r="J1094" s="10">
        <v>0.36</v>
      </c>
      <c r="K1094" s="10">
        <f>+I1094*J1094</f>
        <v>21.599999999999998</v>
      </c>
      <c r="L1094" s="12"/>
      <c r="M1094" s="11">
        <v>217</v>
      </c>
      <c r="N1094" s="10">
        <v>0.36</v>
      </c>
      <c r="O1094" s="10">
        <f>+M1094*N1094</f>
        <v>78.11999999999999</v>
      </c>
      <c r="P1094" s="12"/>
      <c r="Q1094" s="55">
        <f>+(E1094+I1094+M1094)/($E$1091+$I$1091+$M$1091)</f>
        <v>0.65841319876960613</v>
      </c>
    </row>
    <row r="1095" spans="1:17" x14ac:dyDescent="0.25">
      <c r="A1095" s="15"/>
      <c r="B1095" s="14" t="s">
        <v>233</v>
      </c>
      <c r="C1095" s="13" t="s">
        <v>15</v>
      </c>
      <c r="D1095" s="12"/>
      <c r="E1095" s="11">
        <v>500</v>
      </c>
      <c r="F1095" s="10">
        <v>0.09</v>
      </c>
      <c r="G1095" s="10">
        <f>+E1095*F1095</f>
        <v>45</v>
      </c>
      <c r="H1095" s="12"/>
      <c r="I1095" s="11">
        <v>60</v>
      </c>
      <c r="J1095" s="10">
        <v>0.09</v>
      </c>
      <c r="K1095" s="10">
        <f>+I1095*J1095</f>
        <v>5.3999999999999995</v>
      </c>
      <c r="L1095" s="12"/>
      <c r="M1095" s="11">
        <v>217</v>
      </c>
      <c r="N1095" s="10">
        <v>0.09</v>
      </c>
      <c r="O1095" s="10">
        <f>+M1095*N1095</f>
        <v>19.529999999999998</v>
      </c>
      <c r="P1095" s="12"/>
      <c r="Q1095" s="55">
        <f>+(E1095+I1095+M1095)/($E$1091+$I$1091+$M$1091)</f>
        <v>0.65841319876960613</v>
      </c>
    </row>
    <row r="1096" spans="1:17" x14ac:dyDescent="0.25">
      <c r="A1096" s="15"/>
      <c r="B1096" s="14"/>
      <c r="C1096" s="13"/>
      <c r="D1096" s="12"/>
      <c r="E1096" s="11"/>
      <c r="F1096" s="10"/>
      <c r="G1096" s="10">
        <f>+E1096*F1096</f>
        <v>0</v>
      </c>
      <c r="H1096" s="12"/>
      <c r="I1096" s="11"/>
      <c r="J1096" s="10"/>
      <c r="K1096" s="10">
        <f>+I1096*J1096</f>
        <v>0</v>
      </c>
      <c r="L1096" s="12"/>
      <c r="M1096" s="11"/>
      <c r="N1096" s="10"/>
      <c r="O1096" s="10">
        <f>+M1096*N1096</f>
        <v>0</v>
      </c>
      <c r="P1096" s="12"/>
      <c r="Q1096" s="46"/>
    </row>
    <row r="1097" spans="1:17" ht="15.75" thickBot="1" x14ac:dyDescent="0.3">
      <c r="Q1097" s="46"/>
    </row>
    <row r="1098" spans="1:17" ht="21" thickBot="1" x14ac:dyDescent="0.3">
      <c r="A1098" s="64" t="s">
        <v>1</v>
      </c>
      <c r="B1098" s="65"/>
      <c r="C1098" s="66"/>
      <c r="D1098" s="5"/>
      <c r="E1098" s="9"/>
      <c r="F1098" s="8"/>
      <c r="G1098" s="7">
        <f>SUM(G1079:G1097)</f>
        <v>5386.0085999999992</v>
      </c>
      <c r="H1098" s="5"/>
      <c r="I1098" s="9"/>
      <c r="J1098" s="8"/>
      <c r="K1098" s="7">
        <f>SUM(K1077:K1096)</f>
        <v>2186.0212999999999</v>
      </c>
      <c r="L1098" s="5"/>
      <c r="M1098" s="9"/>
      <c r="N1098" s="8"/>
      <c r="O1098" s="7">
        <f>SUM(O1077:O1096)</f>
        <v>6185.0749999999989</v>
      </c>
      <c r="P1098" s="5"/>
      <c r="Q1098" s="46"/>
    </row>
    <row r="1099" spans="1:17" ht="21" thickBot="1" x14ac:dyDescent="0.3">
      <c r="A1099" s="60" t="s">
        <v>0</v>
      </c>
      <c r="B1099" s="61"/>
      <c r="C1099" s="61"/>
      <c r="D1099" s="5"/>
      <c r="E1099" s="4"/>
      <c r="F1099" s="3"/>
      <c r="G1099" s="6">
        <f>+G1098/E1091</f>
        <v>13.507909111428784</v>
      </c>
      <c r="H1099" s="5"/>
      <c r="I1099" s="4"/>
      <c r="J1099" s="3"/>
      <c r="K1099" s="6">
        <f>+K1098/I1091</f>
        <v>11.479395578427768</v>
      </c>
      <c r="L1099" s="5"/>
      <c r="M1099" s="4"/>
      <c r="N1099" s="3"/>
      <c r="O1099" s="6">
        <f>+O1098/M1091</f>
        <v>10.466325408240966</v>
      </c>
      <c r="P1099" s="5"/>
      <c r="Q1099" s="46"/>
    </row>
    <row r="1100" spans="1:17" x14ac:dyDescent="0.25">
      <c r="Q1100" s="46"/>
    </row>
    <row r="1101" spans="1:17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46"/>
    </row>
    <row r="1102" spans="1:17" ht="15.75" thickBot="1" x14ac:dyDescent="0.3">
      <c r="Q1102" s="46"/>
    </row>
    <row r="1103" spans="1:17" ht="19.5" thickBot="1" x14ac:dyDescent="0.3">
      <c r="A1103" s="20" t="s">
        <v>263</v>
      </c>
      <c r="B1103" s="19" t="s">
        <v>262</v>
      </c>
      <c r="C1103" s="18" t="s">
        <v>19</v>
      </c>
      <c r="Q1103" s="46"/>
    </row>
    <row r="1104" spans="1:17" ht="15.75" thickBot="1" x14ac:dyDescent="0.3">
      <c r="Q1104" s="46"/>
    </row>
    <row r="1105" spans="1:17" ht="16.5" thickBot="1" x14ac:dyDescent="0.3">
      <c r="A1105" s="62" t="s">
        <v>11</v>
      </c>
      <c r="B1105" s="63"/>
      <c r="C1105" s="63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6"/>
      <c r="P1105" s="17"/>
      <c r="Q1105" s="46"/>
    </row>
    <row r="1106" spans="1:17" ht="18" x14ac:dyDescent="0.25">
      <c r="A1106" s="15"/>
      <c r="B1106" s="14" t="s">
        <v>176</v>
      </c>
      <c r="C1106" s="13" t="s">
        <v>42</v>
      </c>
      <c r="D1106" s="12"/>
      <c r="E1106" s="11">
        <v>5.75</v>
      </c>
      <c r="F1106" s="10">
        <v>12.36</v>
      </c>
      <c r="G1106" s="10">
        <f t="shared" ref="G1106:G1113" si="61">+E1106*F1106</f>
        <v>71.069999999999993</v>
      </c>
      <c r="H1106" s="12"/>
      <c r="I1106" s="11">
        <v>0.8</v>
      </c>
      <c r="J1106" s="10">
        <v>12.16</v>
      </c>
      <c r="K1106" s="10">
        <f t="shared" ref="K1106:K1113" si="62">+I1106*J1106</f>
        <v>9.7280000000000015</v>
      </c>
      <c r="L1106" s="12"/>
      <c r="M1106" s="11">
        <v>5.12</v>
      </c>
      <c r="N1106" s="10">
        <v>12.08</v>
      </c>
      <c r="O1106" s="10">
        <f t="shared" ref="O1106:O1113" si="63">+M1106*N1106</f>
        <v>61.849600000000002</v>
      </c>
      <c r="P1106" s="12"/>
      <c r="Q1106" s="56">
        <f>+(E1106+I1106+M1106)/($E$1115+$I$1115+$M$1115)</f>
        <v>2.5067663358680239E-2</v>
      </c>
    </row>
    <row r="1107" spans="1:17" ht="30" x14ac:dyDescent="0.25">
      <c r="A1107" s="15"/>
      <c r="B1107" s="14" t="s">
        <v>245</v>
      </c>
      <c r="C1107" s="13" t="s">
        <v>15</v>
      </c>
      <c r="D1107" s="12"/>
      <c r="E1107" s="11">
        <v>1768</v>
      </c>
      <c r="F1107" s="10">
        <v>0.34</v>
      </c>
      <c r="G1107" s="10">
        <f t="shared" si="61"/>
        <v>601.12</v>
      </c>
      <c r="H1107" s="12"/>
      <c r="I1107" s="11">
        <v>2185</v>
      </c>
      <c r="J1107" s="10">
        <v>0.33</v>
      </c>
      <c r="K1107" s="10">
        <f t="shared" si="62"/>
        <v>721.05000000000007</v>
      </c>
      <c r="L1107" s="12"/>
      <c r="M1107" s="11">
        <f>1099+32</f>
        <v>1131</v>
      </c>
      <c r="N1107" s="10">
        <v>0.33300000000000002</v>
      </c>
      <c r="O1107" s="10">
        <f t="shared" si="63"/>
        <v>376.62300000000005</v>
      </c>
      <c r="P1107" s="12"/>
      <c r="Q1107" s="56">
        <f>+(E1107+I1107+M1107)/($E$1115+$I$1115+$M$1115)</f>
        <v>10.920651286677835</v>
      </c>
    </row>
    <row r="1108" spans="1:17" x14ac:dyDescent="0.25">
      <c r="A1108" s="15"/>
      <c r="B1108" s="14" t="s">
        <v>260</v>
      </c>
      <c r="C1108" s="13" t="s">
        <v>222</v>
      </c>
      <c r="D1108" s="12"/>
      <c r="E1108" s="11"/>
      <c r="F1108" s="10"/>
      <c r="G1108" s="10">
        <f>+E1108*F1108</f>
        <v>0</v>
      </c>
      <c r="H1108" s="12"/>
      <c r="I1108" s="11">
        <v>0.73128000000000004</v>
      </c>
      <c r="J1108" s="10">
        <v>0.51</v>
      </c>
      <c r="K1108" s="10">
        <f>+I1108*J1108</f>
        <v>0.37295280000000003</v>
      </c>
      <c r="L1108" s="12"/>
      <c r="M1108" s="11"/>
      <c r="N1108" s="10"/>
      <c r="O1108" s="10">
        <f>+M1108*N1108</f>
        <v>0</v>
      </c>
      <c r="P1108" s="12"/>
      <c r="Q1108" s="56">
        <f>+(I1108)/($I$1115)</f>
        <v>3.6125080274662848E-3</v>
      </c>
    </row>
    <row r="1109" spans="1:17" x14ac:dyDescent="0.25">
      <c r="A1109" s="15"/>
      <c r="B1109" s="14" t="s">
        <v>48</v>
      </c>
      <c r="C1109" s="13" t="s">
        <v>8</v>
      </c>
      <c r="D1109" s="12"/>
      <c r="E1109" s="11">
        <v>36</v>
      </c>
      <c r="F1109" s="10">
        <v>6.62</v>
      </c>
      <c r="G1109" s="10">
        <f t="shared" si="61"/>
        <v>238.32</v>
      </c>
      <c r="H1109" s="12"/>
      <c r="I1109" s="11">
        <v>44</v>
      </c>
      <c r="J1109" s="10">
        <v>6.81</v>
      </c>
      <c r="K1109" s="10">
        <f t="shared" si="62"/>
        <v>299.64</v>
      </c>
      <c r="L1109" s="12"/>
      <c r="M1109" s="11">
        <v>28</v>
      </c>
      <c r="N1109" s="10">
        <v>6.78</v>
      </c>
      <c r="O1109" s="10">
        <f t="shared" si="63"/>
        <v>189.84</v>
      </c>
      <c r="P1109" s="12"/>
      <c r="Q1109" s="56">
        <f>+(E1109+I1109+M1109)/($E$1115+$I$1115+$M$1115)</f>
        <v>0.23198865833225926</v>
      </c>
    </row>
    <row r="1110" spans="1:17" ht="30" x14ac:dyDescent="0.25">
      <c r="A1110" s="15"/>
      <c r="B1110" s="14" t="s">
        <v>229</v>
      </c>
      <c r="C1110" s="13" t="s">
        <v>15</v>
      </c>
      <c r="D1110" s="12"/>
      <c r="E1110" s="11">
        <v>3</v>
      </c>
      <c r="F1110" s="10">
        <v>5.36</v>
      </c>
      <c r="G1110" s="10">
        <f t="shared" si="61"/>
        <v>16.080000000000002</v>
      </c>
      <c r="H1110" s="12"/>
      <c r="I1110" s="11"/>
      <c r="J1110" s="10"/>
      <c r="K1110" s="10">
        <f t="shared" si="62"/>
        <v>0</v>
      </c>
      <c r="L1110" s="12"/>
      <c r="M1110" s="11">
        <v>3</v>
      </c>
      <c r="N1110" s="10">
        <v>5.36</v>
      </c>
      <c r="O1110" s="10">
        <f t="shared" si="63"/>
        <v>16.080000000000002</v>
      </c>
      <c r="P1110" s="12"/>
      <c r="Q1110" s="56">
        <f>+(E1110+M1110)/($E$1115+$M$1115)</f>
        <v>2.2804150355364674E-2</v>
      </c>
    </row>
    <row r="1111" spans="1:17" x14ac:dyDescent="0.25">
      <c r="A1111" s="15"/>
      <c r="B1111" s="14" t="s">
        <v>241</v>
      </c>
      <c r="C1111" s="13" t="s">
        <v>15</v>
      </c>
      <c r="D1111" s="12"/>
      <c r="E1111" s="11"/>
      <c r="F1111" s="10"/>
      <c r="G1111" s="10">
        <f>+E1111*F1111</f>
        <v>0</v>
      </c>
      <c r="H1111" s="12"/>
      <c r="I1111" s="11"/>
      <c r="J1111" s="10"/>
      <c r="K1111" s="10">
        <f>+I1111*J1111</f>
        <v>0</v>
      </c>
      <c r="L1111" s="12"/>
      <c r="M1111" s="11">
        <v>4</v>
      </c>
      <c r="N1111" s="10">
        <v>3.95</v>
      </c>
      <c r="O1111" s="10">
        <f>+M1111*N1111</f>
        <v>15.8</v>
      </c>
      <c r="P1111" s="12"/>
      <c r="Q1111" s="56">
        <f>+(M1111)/($M$1115)</f>
        <v>4.0987806127677016E-2</v>
      </c>
    </row>
    <row r="1112" spans="1:17" x14ac:dyDescent="0.25">
      <c r="A1112" s="15"/>
      <c r="B1112" s="14" t="s">
        <v>247</v>
      </c>
      <c r="C1112" s="13" t="s">
        <v>15</v>
      </c>
      <c r="D1112" s="12"/>
      <c r="E1112" s="11">
        <v>2</v>
      </c>
      <c r="F1112" s="10">
        <v>26.18</v>
      </c>
      <c r="G1112" s="10">
        <f t="shared" si="61"/>
        <v>52.36</v>
      </c>
      <c r="H1112" s="12"/>
      <c r="I1112" s="11"/>
      <c r="J1112" s="10"/>
      <c r="K1112" s="10">
        <f t="shared" si="62"/>
        <v>0</v>
      </c>
      <c r="L1112" s="12"/>
      <c r="M1112" s="11">
        <v>4</v>
      </c>
      <c r="N1112" s="10">
        <v>22.96</v>
      </c>
      <c r="O1112" s="10">
        <f t="shared" si="63"/>
        <v>91.84</v>
      </c>
      <c r="P1112" s="12"/>
      <c r="Q1112" s="56">
        <f>+(E1112+M1112)/($E$1115+$M$1115)</f>
        <v>2.2804150355364674E-2</v>
      </c>
    </row>
    <row r="1113" spans="1:17" ht="15.75" thickBot="1" x14ac:dyDescent="0.3">
      <c r="A1113" s="15"/>
      <c r="B1113" s="14"/>
      <c r="C1113" s="13"/>
      <c r="D1113" s="12"/>
      <c r="E1113" s="11"/>
      <c r="F1113" s="10"/>
      <c r="G1113" s="10">
        <f t="shared" si="61"/>
        <v>0</v>
      </c>
      <c r="H1113" s="12"/>
      <c r="I1113" s="11"/>
      <c r="J1113" s="10"/>
      <c r="K1113" s="10">
        <f t="shared" si="62"/>
        <v>0</v>
      </c>
      <c r="L1113" s="12"/>
      <c r="M1113" s="11"/>
      <c r="N1113" s="10"/>
      <c r="O1113" s="10">
        <f t="shared" si="63"/>
        <v>0</v>
      </c>
      <c r="P1113" s="12"/>
      <c r="Q1113" s="46"/>
    </row>
    <row r="1114" spans="1:17" ht="16.5" thickBot="1" x14ac:dyDescent="0.3">
      <c r="A1114" s="62" t="s">
        <v>5</v>
      </c>
      <c r="B1114" s="63"/>
      <c r="C1114" s="63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6"/>
      <c r="P1114" s="17"/>
      <c r="Q1114" s="46"/>
    </row>
    <row r="1115" spans="1:17" ht="18" x14ac:dyDescent="0.25">
      <c r="A1115" s="15"/>
      <c r="B1115" s="14" t="s">
        <v>258</v>
      </c>
      <c r="C1115" s="13" t="s">
        <v>13</v>
      </c>
      <c r="D1115" s="12"/>
      <c r="E1115" s="11">
        <v>165.52</v>
      </c>
      <c r="F1115" s="42">
        <v>6.92</v>
      </c>
      <c r="G1115" s="10">
        <f>+E1115*F1115</f>
        <v>1145.3984</v>
      </c>
      <c r="H1115" s="12"/>
      <c r="I1115" s="11">
        <v>202.43</v>
      </c>
      <c r="J1115" s="10">
        <v>5.3</v>
      </c>
      <c r="K1115" s="10">
        <f>+I1115*J1115</f>
        <v>1072.8789999999999</v>
      </c>
      <c r="L1115" s="12"/>
      <c r="M1115" s="11">
        <v>97.59</v>
      </c>
      <c r="N1115" s="10">
        <v>5.3</v>
      </c>
      <c r="O1115" s="10">
        <f>+M1115*N1115</f>
        <v>517.22699999999998</v>
      </c>
      <c r="P1115" s="12"/>
      <c r="Q1115" s="46"/>
    </row>
    <row r="1116" spans="1:17" ht="15.75" thickBot="1" x14ac:dyDescent="0.3">
      <c r="A1116" s="15"/>
      <c r="B1116" s="14"/>
      <c r="C1116" s="13"/>
      <c r="D1116" s="12"/>
      <c r="E1116" s="11"/>
      <c r="F1116" s="10"/>
      <c r="G1116" s="10">
        <f>+E1116*F1116</f>
        <v>0</v>
      </c>
      <c r="H1116" s="12"/>
      <c r="I1116" s="11"/>
      <c r="J1116" s="10"/>
      <c r="K1116" s="10">
        <f>+I1116*J1116</f>
        <v>0</v>
      </c>
      <c r="L1116" s="12"/>
      <c r="M1116" s="11"/>
      <c r="N1116" s="10"/>
      <c r="O1116" s="10">
        <f>+M1116*N1116</f>
        <v>0</v>
      </c>
      <c r="P1116" s="12"/>
      <c r="Q1116" s="46"/>
    </row>
    <row r="1117" spans="1:17" ht="16.5" thickBot="1" x14ac:dyDescent="0.3">
      <c r="A1117" s="62" t="s">
        <v>2</v>
      </c>
      <c r="B1117" s="63"/>
      <c r="C1117" s="63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6"/>
      <c r="P1117" s="17"/>
      <c r="Q1117" s="46"/>
    </row>
    <row r="1118" spans="1:17" x14ac:dyDescent="0.25">
      <c r="A1118" s="15"/>
      <c r="B1118" s="14" t="s">
        <v>234</v>
      </c>
      <c r="C1118" s="13" t="s">
        <v>15</v>
      </c>
      <c r="D1118" s="12"/>
      <c r="E1118" s="11"/>
      <c r="F1118" s="10"/>
      <c r="G1118" s="10">
        <f>+E1118*F1118</f>
        <v>0</v>
      </c>
      <c r="H1118" s="12"/>
      <c r="I1118" s="11">
        <v>24</v>
      </c>
      <c r="J1118" s="10">
        <v>0.36</v>
      </c>
      <c r="K1118" s="10">
        <f>+I1118*J1118</f>
        <v>8.64</v>
      </c>
      <c r="L1118" s="12"/>
      <c r="M1118" s="11">
        <v>145</v>
      </c>
      <c r="N1118" s="10">
        <v>0.36</v>
      </c>
      <c r="O1118" s="10">
        <f>+M1118*N1118</f>
        <v>52.199999999999996</v>
      </c>
      <c r="P1118" s="12"/>
      <c r="Q1118" s="56">
        <f>+(E1118+I1118+M1118)/($E$1115+$I$1115+$M$1115)</f>
        <v>0.36301928942733164</v>
      </c>
    </row>
    <row r="1119" spans="1:17" x14ac:dyDescent="0.25">
      <c r="A1119" s="15"/>
      <c r="B1119" s="14" t="s">
        <v>233</v>
      </c>
      <c r="C1119" s="13" t="s">
        <v>15</v>
      </c>
      <c r="D1119" s="12"/>
      <c r="E1119" s="11"/>
      <c r="F1119" s="10"/>
      <c r="G1119" s="10">
        <f>+E1119*F1119</f>
        <v>0</v>
      </c>
      <c r="H1119" s="12"/>
      <c r="I1119" s="11">
        <v>24</v>
      </c>
      <c r="J1119" s="10">
        <v>0.09</v>
      </c>
      <c r="K1119" s="10">
        <f>+I1119*J1119</f>
        <v>2.16</v>
      </c>
      <c r="L1119" s="12"/>
      <c r="M1119" s="11">
        <v>145</v>
      </c>
      <c r="N1119" s="10">
        <v>0.09</v>
      </c>
      <c r="O1119" s="10">
        <f>+M1119*N1119</f>
        <v>13.049999999999999</v>
      </c>
      <c r="P1119" s="12"/>
      <c r="Q1119" s="56">
        <f>+(E1119+I1119+M1119)/($E$1115+$I$1115+$M$1115)</f>
        <v>0.36301928942733164</v>
      </c>
    </row>
    <row r="1120" spans="1:17" ht="15.75" thickBot="1" x14ac:dyDescent="0.3">
      <c r="Q1120" s="46"/>
    </row>
    <row r="1121" spans="1:17" ht="21" thickBot="1" x14ac:dyDescent="0.3">
      <c r="A1121" s="64" t="s">
        <v>1</v>
      </c>
      <c r="B1121" s="65"/>
      <c r="C1121" s="66"/>
      <c r="D1121" s="5"/>
      <c r="E1121" s="9"/>
      <c r="F1121" s="8"/>
      <c r="G1121" s="7">
        <f>SUM(G1105:G1120)</f>
        <v>2124.3483999999999</v>
      </c>
      <c r="H1121" s="5"/>
      <c r="I1121" s="9"/>
      <c r="J1121" s="8"/>
      <c r="K1121" s="7">
        <f>SUM(K1103:K1119)</f>
        <v>2114.4699527999996</v>
      </c>
      <c r="L1121" s="5"/>
      <c r="M1121" s="9"/>
      <c r="N1121" s="8"/>
      <c r="O1121" s="7">
        <f>SUM(O1103:O1119)</f>
        <v>1334.5096000000001</v>
      </c>
      <c r="P1121" s="5"/>
      <c r="Q1121" s="46"/>
    </row>
    <row r="1122" spans="1:17" ht="21" thickBot="1" x14ac:dyDescent="0.3">
      <c r="A1122" s="60" t="s">
        <v>0</v>
      </c>
      <c r="B1122" s="61"/>
      <c r="C1122" s="61"/>
      <c r="D1122" s="5"/>
      <c r="E1122" s="4"/>
      <c r="F1122" s="3"/>
      <c r="G1122" s="6">
        <f>+G1121/E1115</f>
        <v>12.83439101014983</v>
      </c>
      <c r="H1122" s="5"/>
      <c r="I1122" s="4"/>
      <c r="J1122" s="3"/>
      <c r="K1122" s="6">
        <f>+K1121/I1115</f>
        <v>10.445437695993675</v>
      </c>
      <c r="L1122" s="5"/>
      <c r="M1122" s="4"/>
      <c r="N1122" s="3"/>
      <c r="O1122" s="6">
        <f>+O1121/M1115</f>
        <v>13.674655190080951</v>
      </c>
      <c r="P1122" s="5"/>
      <c r="Q1122" s="46"/>
    </row>
    <row r="1123" spans="1:17" x14ac:dyDescent="0.25">
      <c r="Q1123" s="46"/>
    </row>
    <row r="1124" spans="1:17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46"/>
    </row>
    <row r="1125" spans="1:17" ht="15.75" thickBot="1" x14ac:dyDescent="0.3">
      <c r="Q1125" s="46"/>
    </row>
    <row r="1126" spans="1:17" ht="16.5" thickBot="1" x14ac:dyDescent="0.3">
      <c r="A1126" s="20" t="s">
        <v>257</v>
      </c>
      <c r="B1126" s="19" t="s">
        <v>256</v>
      </c>
      <c r="C1126" s="18" t="s">
        <v>58</v>
      </c>
      <c r="Q1126" s="46"/>
    </row>
    <row r="1127" spans="1:17" ht="15.75" thickBot="1" x14ac:dyDescent="0.3">
      <c r="Q1127" s="46"/>
    </row>
    <row r="1128" spans="1:17" ht="16.5" thickBot="1" x14ac:dyDescent="0.3">
      <c r="A1128" s="62" t="s">
        <v>11</v>
      </c>
      <c r="B1128" s="63"/>
      <c r="C1128" s="63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6"/>
      <c r="P1128" s="17"/>
      <c r="Q1128" s="46"/>
    </row>
    <row r="1129" spans="1:17" x14ac:dyDescent="0.25">
      <c r="A1129" s="15"/>
      <c r="B1129" s="14" t="s">
        <v>252</v>
      </c>
      <c r="C1129" s="13" t="s">
        <v>144</v>
      </c>
      <c r="D1129" s="12"/>
      <c r="E1129" s="11">
        <v>1</v>
      </c>
      <c r="F1129" s="10">
        <v>86.17</v>
      </c>
      <c r="G1129" s="10">
        <f t="shared" ref="G1129:G1155" si="64">+E1129*F1129</f>
        <v>86.17</v>
      </c>
      <c r="H1129" s="12"/>
      <c r="I1129" s="11"/>
      <c r="J1129" s="10"/>
      <c r="K1129" s="10">
        <f t="shared" ref="K1129:K1155" si="65">+I1129*J1129</f>
        <v>0</v>
      </c>
      <c r="L1129" s="12"/>
      <c r="M1129" s="11"/>
      <c r="N1129" s="10"/>
      <c r="O1129" s="10">
        <f t="shared" ref="O1129:O1155" si="66">+M1129*N1129</f>
        <v>0</v>
      </c>
      <c r="P1129" s="12"/>
      <c r="Q1129" s="56">
        <f>+(E1129)/($E$1157)</f>
        <v>8.8261253309797009E-3</v>
      </c>
    </row>
    <row r="1130" spans="1:17" ht="30" x14ac:dyDescent="0.25">
      <c r="A1130" s="15"/>
      <c r="B1130" s="14" t="s">
        <v>543</v>
      </c>
      <c r="C1130" s="13" t="s">
        <v>144</v>
      </c>
      <c r="D1130" s="12"/>
      <c r="E1130" s="11"/>
      <c r="F1130" s="10"/>
      <c r="G1130" s="10">
        <f t="shared" si="64"/>
        <v>0</v>
      </c>
      <c r="H1130" s="12"/>
      <c r="I1130" s="11"/>
      <c r="J1130" s="10"/>
      <c r="K1130" s="10">
        <f t="shared" si="65"/>
        <v>0</v>
      </c>
      <c r="L1130" s="12"/>
      <c r="M1130" s="11">
        <v>1</v>
      </c>
      <c r="N1130" s="10">
        <v>31.8</v>
      </c>
      <c r="O1130" s="10">
        <f t="shared" si="66"/>
        <v>31.8</v>
      </c>
      <c r="P1130" s="12"/>
      <c r="Q1130" s="56">
        <f>+(M1130)/($M$1157)</f>
        <v>5.7803468208092483E-3</v>
      </c>
    </row>
    <row r="1131" spans="1:17" ht="18" x14ac:dyDescent="0.25">
      <c r="A1131" s="15"/>
      <c r="B1131" s="14" t="s">
        <v>176</v>
      </c>
      <c r="C1131" s="13" t="s">
        <v>42</v>
      </c>
      <c r="D1131" s="12"/>
      <c r="E1131" s="11">
        <v>1.04</v>
      </c>
      <c r="F1131" s="10">
        <v>13.75</v>
      </c>
      <c r="G1131" s="10">
        <f>+E1131*F1131</f>
        <v>14.3</v>
      </c>
      <c r="H1131" s="12"/>
      <c r="I1131" s="11"/>
      <c r="J1131" s="10"/>
      <c r="K1131" s="10">
        <f>+I1131*J1131</f>
        <v>0</v>
      </c>
      <c r="L1131" s="12"/>
      <c r="M1131" s="11">
        <v>0.72</v>
      </c>
      <c r="N1131" s="10">
        <v>14</v>
      </c>
      <c r="O1131" s="10">
        <f>+M1131*N1131</f>
        <v>10.08</v>
      </c>
      <c r="P1131" s="12"/>
      <c r="Q1131" s="56">
        <f>+(E1131+M1131)/($E$1157+$M$1157)</f>
        <v>6.1473978344393993E-3</v>
      </c>
    </row>
    <row r="1132" spans="1:17" x14ac:dyDescent="0.25">
      <c r="A1132" s="15"/>
      <c r="B1132" s="14" t="s">
        <v>251</v>
      </c>
      <c r="C1132" s="13" t="s">
        <v>15</v>
      </c>
      <c r="D1132" s="12"/>
      <c r="E1132" s="11">
        <v>8</v>
      </c>
      <c r="F1132" s="10">
        <v>5.0999999999999996</v>
      </c>
      <c r="G1132" s="10">
        <f t="shared" si="64"/>
        <v>40.799999999999997</v>
      </c>
      <c r="H1132" s="12"/>
      <c r="I1132" s="11"/>
      <c r="J1132" s="10"/>
      <c r="K1132" s="10">
        <f t="shared" si="65"/>
        <v>0</v>
      </c>
      <c r="L1132" s="12"/>
      <c r="M1132" s="11">
        <v>8</v>
      </c>
      <c r="N1132" s="10">
        <v>1.89</v>
      </c>
      <c r="O1132" s="10">
        <f t="shared" si="66"/>
        <v>15.12</v>
      </c>
      <c r="P1132" s="12"/>
      <c r="Q1132" s="56">
        <f>+(E1132+M1132)/($E$1157+$M$1157)</f>
        <v>5.5885434858539994E-2</v>
      </c>
    </row>
    <row r="1133" spans="1:17" x14ac:dyDescent="0.25">
      <c r="A1133" s="15"/>
      <c r="B1133" s="14" t="s">
        <v>486</v>
      </c>
      <c r="C1133" s="13" t="s">
        <v>15</v>
      </c>
      <c r="D1133" s="12"/>
      <c r="E1133" s="11"/>
      <c r="F1133" s="10"/>
      <c r="G1133" s="10">
        <f t="shared" si="64"/>
        <v>0</v>
      </c>
      <c r="H1133" s="12"/>
      <c r="I1133" s="11"/>
      <c r="J1133" s="10"/>
      <c r="K1133" s="10">
        <f t="shared" si="65"/>
        <v>0</v>
      </c>
      <c r="L1133" s="12"/>
      <c r="M1133" s="11">
        <v>2</v>
      </c>
      <c r="N1133" s="10">
        <v>1.01</v>
      </c>
      <c r="O1133" s="10">
        <f t="shared" si="66"/>
        <v>2.02</v>
      </c>
      <c r="P1133" s="12"/>
      <c r="Q1133" s="56">
        <f>+(M1133)/($M$1157)</f>
        <v>1.1560693641618497E-2</v>
      </c>
    </row>
    <row r="1134" spans="1:17" x14ac:dyDescent="0.25">
      <c r="A1134" s="15"/>
      <c r="B1134" s="14" t="s">
        <v>48</v>
      </c>
      <c r="C1134" s="13" t="s">
        <v>174</v>
      </c>
      <c r="D1134" s="12"/>
      <c r="E1134" s="11">
        <v>52</v>
      </c>
      <c r="F1134" s="10">
        <v>6.61</v>
      </c>
      <c r="G1134" s="10">
        <f t="shared" si="64"/>
        <v>343.72</v>
      </c>
      <c r="H1134" s="12"/>
      <c r="I1134" s="11">
        <v>26</v>
      </c>
      <c r="J1134" s="10">
        <v>6.79</v>
      </c>
      <c r="K1134" s="10">
        <f t="shared" si="65"/>
        <v>176.54</v>
      </c>
      <c r="L1134" s="12"/>
      <c r="M1134" s="11">
        <v>79</v>
      </c>
      <c r="N1134" s="10">
        <v>6.76</v>
      </c>
      <c r="O1134" s="10">
        <f t="shared" si="66"/>
        <v>534.04</v>
      </c>
      <c r="P1134" s="12"/>
      <c r="Q1134" s="56">
        <f>+(E1134+I1134+M1134)/($E$1157+$I$1157+$M$1157)</f>
        <v>0.40886481418786946</v>
      </c>
    </row>
    <row r="1135" spans="1:17" ht="30" x14ac:dyDescent="0.25">
      <c r="A1135" s="15"/>
      <c r="B1135" s="14" t="s">
        <v>173</v>
      </c>
      <c r="C1135" s="13" t="s">
        <v>30</v>
      </c>
      <c r="D1135" s="12"/>
      <c r="E1135" s="11">
        <v>1</v>
      </c>
      <c r="F1135" s="10">
        <v>3.14</v>
      </c>
      <c r="G1135" s="10">
        <f t="shared" si="64"/>
        <v>3.14</v>
      </c>
      <c r="H1135" s="12"/>
      <c r="I1135" s="11"/>
      <c r="J1135" s="10"/>
      <c r="K1135" s="10">
        <f t="shared" si="65"/>
        <v>0</v>
      </c>
      <c r="L1135" s="12"/>
      <c r="M1135" s="11"/>
      <c r="N1135" s="10"/>
      <c r="O1135" s="10">
        <f t="shared" si="66"/>
        <v>0</v>
      </c>
      <c r="P1135" s="12"/>
      <c r="Q1135" s="56">
        <f>+(E1135)/($E$1157)</f>
        <v>8.8261253309797009E-3</v>
      </c>
    </row>
    <row r="1136" spans="1:17" x14ac:dyDescent="0.25">
      <c r="A1136" s="15"/>
      <c r="B1136" s="14" t="s">
        <v>250</v>
      </c>
      <c r="C1136" s="13" t="s">
        <v>30</v>
      </c>
      <c r="D1136" s="12"/>
      <c r="E1136" s="11">
        <v>4.5</v>
      </c>
      <c r="F1136" s="10">
        <v>3.08</v>
      </c>
      <c r="G1136" s="10">
        <f t="shared" si="64"/>
        <v>13.86</v>
      </c>
      <c r="H1136" s="12"/>
      <c r="I1136" s="11"/>
      <c r="J1136" s="10"/>
      <c r="K1136" s="10">
        <f t="shared" si="65"/>
        <v>0</v>
      </c>
      <c r="L1136" s="12"/>
      <c r="M1136" s="11"/>
      <c r="N1136" s="10"/>
      <c r="O1136" s="10">
        <f t="shared" si="66"/>
        <v>0</v>
      </c>
      <c r="P1136" s="12"/>
      <c r="Q1136" s="56">
        <f>+(E1136)/($E$1157)</f>
        <v>3.971756398940865E-2</v>
      </c>
    </row>
    <row r="1137" spans="1:17" x14ac:dyDescent="0.25">
      <c r="A1137" s="15"/>
      <c r="B1137" s="14" t="s">
        <v>230</v>
      </c>
      <c r="C1137" s="13" t="s">
        <v>30</v>
      </c>
      <c r="D1137" s="12"/>
      <c r="E1137" s="11">
        <v>3</v>
      </c>
      <c r="F1137" s="10">
        <v>3.08</v>
      </c>
      <c r="G1137" s="10">
        <f t="shared" si="64"/>
        <v>9.24</v>
      </c>
      <c r="H1137" s="12"/>
      <c r="I1137" s="11">
        <v>1</v>
      </c>
      <c r="J1137" s="10">
        <v>3.4</v>
      </c>
      <c r="K1137" s="10">
        <f t="shared" si="65"/>
        <v>3.4</v>
      </c>
      <c r="L1137" s="12"/>
      <c r="M1137" s="11">
        <v>6</v>
      </c>
      <c r="N1137" s="10">
        <v>3.94</v>
      </c>
      <c r="O1137" s="10">
        <f t="shared" si="66"/>
        <v>23.64</v>
      </c>
      <c r="P1137" s="12"/>
      <c r="Q1137" s="56">
        <f>+(E1137+I1137+M1137)/($E$1157+$I$1157+$M$1157)</f>
        <v>2.6042344852730541E-2</v>
      </c>
    </row>
    <row r="1138" spans="1:17" x14ac:dyDescent="0.25">
      <c r="A1138" s="15"/>
      <c r="B1138" s="14" t="s">
        <v>57</v>
      </c>
      <c r="C1138" s="13" t="s">
        <v>30</v>
      </c>
      <c r="D1138" s="12"/>
      <c r="E1138" s="11">
        <v>6.25</v>
      </c>
      <c r="F1138" s="10">
        <v>1.78</v>
      </c>
      <c r="G1138" s="10">
        <f t="shared" si="64"/>
        <v>11.125</v>
      </c>
      <c r="H1138" s="12"/>
      <c r="I1138" s="11"/>
      <c r="J1138" s="10"/>
      <c r="K1138" s="10">
        <f t="shared" si="65"/>
        <v>0</v>
      </c>
      <c r="L1138" s="12"/>
      <c r="M1138" s="11">
        <v>12.5</v>
      </c>
      <c r="N1138" s="10">
        <v>2.0099999999999998</v>
      </c>
      <c r="O1138" s="10">
        <f t="shared" si="66"/>
        <v>25.124999999999996</v>
      </c>
      <c r="P1138" s="12"/>
      <c r="Q1138" s="56">
        <f>+(E1138+M1138)/($E$1157+$M$1157)</f>
        <v>6.5490743974851551E-2</v>
      </c>
    </row>
    <row r="1139" spans="1:17" x14ac:dyDescent="0.25">
      <c r="A1139" s="15"/>
      <c r="B1139" s="14" t="s">
        <v>56</v>
      </c>
      <c r="C1139" s="13" t="s">
        <v>30</v>
      </c>
      <c r="D1139" s="12"/>
      <c r="E1139" s="11">
        <v>7</v>
      </c>
      <c r="F1139" s="10">
        <v>1.68</v>
      </c>
      <c r="G1139" s="10">
        <f t="shared" si="64"/>
        <v>11.76</v>
      </c>
      <c r="H1139" s="12"/>
      <c r="I1139" s="11">
        <v>1</v>
      </c>
      <c r="J1139" s="10">
        <v>1.96</v>
      </c>
      <c r="K1139" s="10">
        <f t="shared" si="65"/>
        <v>1.96</v>
      </c>
      <c r="L1139" s="12"/>
      <c r="M1139" s="11">
        <v>10</v>
      </c>
      <c r="N1139" s="10">
        <v>1.9</v>
      </c>
      <c r="O1139" s="10">
        <f t="shared" si="66"/>
        <v>19</v>
      </c>
      <c r="P1139" s="12"/>
      <c r="Q1139" s="56">
        <f>+(E1139+I1139+M1139)/($E$1157+$I$1157+$M$1157)</f>
        <v>4.6876220734914972E-2</v>
      </c>
    </row>
    <row r="1140" spans="1:17" x14ac:dyDescent="0.25">
      <c r="A1140" s="15"/>
      <c r="B1140" s="14" t="s">
        <v>54</v>
      </c>
      <c r="C1140" s="13" t="s">
        <v>15</v>
      </c>
      <c r="D1140" s="12"/>
      <c r="E1140" s="11">
        <v>2</v>
      </c>
      <c r="F1140" s="10">
        <v>9.08</v>
      </c>
      <c r="G1140" s="10">
        <f t="shared" si="64"/>
        <v>18.16</v>
      </c>
      <c r="H1140" s="12"/>
      <c r="I1140" s="11"/>
      <c r="J1140" s="10"/>
      <c r="K1140" s="10">
        <f t="shared" si="65"/>
        <v>0</v>
      </c>
      <c r="L1140" s="12"/>
      <c r="M1140" s="11">
        <v>1</v>
      </c>
      <c r="N1140" s="10">
        <v>7.4</v>
      </c>
      <c r="O1140" s="10">
        <f t="shared" si="66"/>
        <v>7.4</v>
      </c>
      <c r="P1140" s="12"/>
      <c r="Q1140" s="56">
        <f>+(E1140+M1140)/($E$1157+$M$1157)</f>
        <v>1.0478519035976248E-2</v>
      </c>
    </row>
    <row r="1141" spans="1:17" x14ac:dyDescent="0.25">
      <c r="A1141" s="15"/>
      <c r="B1141" s="14" t="s">
        <v>249</v>
      </c>
      <c r="C1141" s="13" t="s">
        <v>15</v>
      </c>
      <c r="D1141" s="12"/>
      <c r="E1141" s="11">
        <v>6</v>
      </c>
      <c r="F1141" s="10">
        <v>2.5299999999999998</v>
      </c>
      <c r="G1141" s="10">
        <f t="shared" si="64"/>
        <v>15.18</v>
      </c>
      <c r="H1141" s="12"/>
      <c r="I1141" s="11"/>
      <c r="J1141" s="10"/>
      <c r="K1141" s="10">
        <f t="shared" si="65"/>
        <v>0</v>
      </c>
      <c r="L1141" s="12"/>
      <c r="M1141" s="11"/>
      <c r="N1141" s="10"/>
      <c r="O1141" s="10">
        <f t="shared" si="66"/>
        <v>0</v>
      </c>
      <c r="P1141" s="12"/>
      <c r="Q1141" s="56">
        <f>+(E1141)/($E$1157)</f>
        <v>5.2956751985878202E-2</v>
      </c>
    </row>
    <row r="1142" spans="1:17" ht="30" x14ac:dyDescent="0.25">
      <c r="A1142" s="15"/>
      <c r="B1142" s="14" t="s">
        <v>229</v>
      </c>
      <c r="C1142" s="13" t="s">
        <v>15</v>
      </c>
      <c r="D1142" s="12"/>
      <c r="E1142" s="11">
        <v>1</v>
      </c>
      <c r="F1142" s="10">
        <v>5.31</v>
      </c>
      <c r="G1142" s="10">
        <f t="shared" si="64"/>
        <v>5.31</v>
      </c>
      <c r="H1142" s="12"/>
      <c r="I1142" s="11"/>
      <c r="J1142" s="10"/>
      <c r="K1142" s="10">
        <f t="shared" si="65"/>
        <v>0</v>
      </c>
      <c r="L1142" s="12"/>
      <c r="M1142" s="11">
        <v>13</v>
      </c>
      <c r="N1142" s="10">
        <v>2.46</v>
      </c>
      <c r="O1142" s="10">
        <f t="shared" si="66"/>
        <v>31.98</v>
      </c>
      <c r="P1142" s="12"/>
      <c r="Q1142" s="56">
        <f>+(E1142+I1142+M1142)/($E$1157+$I$1157+$M$1157)</f>
        <v>3.6459282793822753E-2</v>
      </c>
    </row>
    <row r="1143" spans="1:17" ht="30" x14ac:dyDescent="0.25">
      <c r="A1143" s="15"/>
      <c r="B1143" s="14" t="s">
        <v>64</v>
      </c>
      <c r="C1143" s="13" t="s">
        <v>15</v>
      </c>
      <c r="D1143" s="12"/>
      <c r="E1143" s="11">
        <v>1</v>
      </c>
      <c r="F1143" s="10">
        <v>51.87</v>
      </c>
      <c r="G1143" s="10">
        <f t="shared" si="64"/>
        <v>51.87</v>
      </c>
      <c r="H1143" s="12"/>
      <c r="I1143" s="11"/>
      <c r="J1143" s="10"/>
      <c r="K1143" s="10">
        <f t="shared" si="65"/>
        <v>0</v>
      </c>
      <c r="L1143" s="12"/>
      <c r="M1143" s="11"/>
      <c r="N1143" s="10"/>
      <c r="O1143" s="10">
        <f t="shared" si="66"/>
        <v>0</v>
      </c>
      <c r="P1143" s="12"/>
      <c r="Q1143" s="56">
        <f>+(E1143)/($E$1157)</f>
        <v>8.8261253309797009E-3</v>
      </c>
    </row>
    <row r="1144" spans="1:17" x14ac:dyDescent="0.25">
      <c r="A1144" s="15"/>
      <c r="B1144" s="14" t="s">
        <v>155</v>
      </c>
      <c r="C1144" s="13" t="s">
        <v>144</v>
      </c>
      <c r="D1144" s="12"/>
      <c r="E1144" s="11"/>
      <c r="F1144" s="10"/>
      <c r="G1144" s="10">
        <f t="shared" si="64"/>
        <v>0</v>
      </c>
      <c r="H1144" s="12"/>
      <c r="I1144" s="11"/>
      <c r="J1144" s="10"/>
      <c r="K1144" s="10">
        <f t="shared" si="65"/>
        <v>0</v>
      </c>
      <c r="L1144" s="12"/>
      <c r="M1144" s="11">
        <v>1</v>
      </c>
      <c r="N1144" s="10">
        <v>13.16</v>
      </c>
      <c r="O1144" s="10">
        <f t="shared" si="66"/>
        <v>13.16</v>
      </c>
      <c r="P1144" s="12"/>
      <c r="Q1144" s="56">
        <f>+(M1144)/($M$1157)</f>
        <v>5.7803468208092483E-3</v>
      </c>
    </row>
    <row r="1145" spans="1:17" ht="18" x14ac:dyDescent="0.25">
      <c r="A1145" s="15"/>
      <c r="B1145" s="14" t="s">
        <v>7</v>
      </c>
      <c r="C1145" s="13" t="s">
        <v>42</v>
      </c>
      <c r="D1145" s="12"/>
      <c r="E1145" s="11">
        <v>2.2000000000000002</v>
      </c>
      <c r="F1145" s="10">
        <v>12.46</v>
      </c>
      <c r="G1145" s="10">
        <f t="shared" si="64"/>
        <v>27.412000000000003</v>
      </c>
      <c r="H1145" s="12"/>
      <c r="I1145" s="11">
        <v>2.12</v>
      </c>
      <c r="J1145" s="10">
        <v>14.75</v>
      </c>
      <c r="K1145" s="10">
        <f t="shared" si="65"/>
        <v>31.270000000000003</v>
      </c>
      <c r="L1145" s="12"/>
      <c r="M1145" s="11">
        <v>5.36</v>
      </c>
      <c r="N1145" s="10">
        <v>13.02</v>
      </c>
      <c r="O1145" s="10">
        <f t="shared" si="66"/>
        <v>69.787199999999999</v>
      </c>
      <c r="P1145" s="12"/>
      <c r="Q1145" s="56">
        <f>+(E1145+I1145+M1145)/($E$1157+$I$1157+$M$1157)</f>
        <v>2.5208989817443163E-2</v>
      </c>
    </row>
    <row r="1146" spans="1:17" ht="18" x14ac:dyDescent="0.25">
      <c r="A1146" s="15"/>
      <c r="B1146" s="14" t="s">
        <v>212</v>
      </c>
      <c r="C1146" s="13" t="s">
        <v>42</v>
      </c>
      <c r="D1146" s="12"/>
      <c r="E1146" s="11">
        <v>2.42</v>
      </c>
      <c r="F1146" s="10">
        <v>12.86</v>
      </c>
      <c r="G1146" s="10">
        <f t="shared" si="64"/>
        <v>31.121199999999998</v>
      </c>
      <c r="H1146" s="12"/>
      <c r="I1146" s="11">
        <v>1.64</v>
      </c>
      <c r="J1146" s="10">
        <v>11.84</v>
      </c>
      <c r="K1146" s="10">
        <f t="shared" si="65"/>
        <v>19.4176</v>
      </c>
      <c r="L1146" s="12"/>
      <c r="M1146" s="11">
        <v>4.4000000000000004</v>
      </c>
      <c r="N1146" s="10">
        <v>12.39</v>
      </c>
      <c r="O1146" s="10">
        <f t="shared" si="66"/>
        <v>54.516000000000005</v>
      </c>
      <c r="P1146" s="12"/>
      <c r="Q1146" s="56">
        <f>+(E1146+I1146+M1146)/($E$1157+$I$1157+$M$1157)</f>
        <v>2.2031823745410038E-2</v>
      </c>
    </row>
    <row r="1147" spans="1:17" x14ac:dyDescent="0.25">
      <c r="A1147" s="15"/>
      <c r="B1147" s="14" t="s">
        <v>248</v>
      </c>
      <c r="C1147" s="13" t="s">
        <v>15</v>
      </c>
      <c r="D1147" s="12"/>
      <c r="E1147" s="11"/>
      <c r="F1147" s="10"/>
      <c r="G1147" s="10">
        <f t="shared" si="64"/>
        <v>0</v>
      </c>
      <c r="H1147" s="12"/>
      <c r="I1147" s="11"/>
      <c r="J1147" s="10"/>
      <c r="K1147" s="10">
        <f t="shared" si="65"/>
        <v>0</v>
      </c>
      <c r="L1147" s="12"/>
      <c r="M1147" s="11">
        <v>6</v>
      </c>
      <c r="N1147" s="10">
        <v>0.96</v>
      </c>
      <c r="O1147" s="10">
        <f t="shared" si="66"/>
        <v>5.76</v>
      </c>
      <c r="P1147" s="12"/>
      <c r="Q1147" s="56">
        <f>+(M1147)/($M$1157)</f>
        <v>3.4682080924855488E-2</v>
      </c>
    </row>
    <row r="1148" spans="1:17" x14ac:dyDescent="0.25">
      <c r="A1148" s="15"/>
      <c r="B1148" s="14" t="s">
        <v>247</v>
      </c>
      <c r="C1148" s="13" t="s">
        <v>15</v>
      </c>
      <c r="D1148" s="12"/>
      <c r="E1148" s="11">
        <v>15</v>
      </c>
      <c r="F1148" s="10">
        <v>26.4</v>
      </c>
      <c r="G1148" s="10">
        <f t="shared" si="64"/>
        <v>396</v>
      </c>
      <c r="H1148" s="12"/>
      <c r="I1148" s="11"/>
      <c r="J1148" s="10"/>
      <c r="K1148" s="10">
        <f t="shared" si="65"/>
        <v>0</v>
      </c>
      <c r="L1148" s="12"/>
      <c r="M1148" s="11">
        <v>4</v>
      </c>
      <c r="N1148" s="10">
        <v>24.72</v>
      </c>
      <c r="O1148" s="10">
        <f t="shared" si="66"/>
        <v>98.88</v>
      </c>
      <c r="P1148" s="12"/>
      <c r="Q1148" s="56">
        <f>+(E1148+M1148)/($E$1157+$M$1157)</f>
        <v>6.6363953894516242E-2</v>
      </c>
    </row>
    <row r="1149" spans="1:17" x14ac:dyDescent="0.25">
      <c r="A1149" s="15"/>
      <c r="B1149" s="14" t="s">
        <v>597</v>
      </c>
      <c r="C1149" s="13" t="s">
        <v>15</v>
      </c>
      <c r="D1149" s="12"/>
      <c r="E1149" s="11">
        <v>1</v>
      </c>
      <c r="F1149" s="10">
        <v>52.87</v>
      </c>
      <c r="G1149" s="10">
        <f t="shared" si="64"/>
        <v>52.87</v>
      </c>
      <c r="H1149" s="12"/>
      <c r="I1149" s="11"/>
      <c r="J1149" s="10"/>
      <c r="K1149" s="10">
        <f t="shared" si="65"/>
        <v>0</v>
      </c>
      <c r="L1149" s="12"/>
      <c r="M1149" s="11">
        <v>1</v>
      </c>
      <c r="N1149" s="10">
        <v>87.71</v>
      </c>
      <c r="O1149" s="10">
        <f t="shared" si="66"/>
        <v>87.71</v>
      </c>
      <c r="P1149" s="12"/>
      <c r="Q1149" s="56">
        <f>+(E1149+M1149)/($E$1157+$M$1157)</f>
        <v>6.9856793573174992E-3</v>
      </c>
    </row>
    <row r="1150" spans="1:17" x14ac:dyDescent="0.25">
      <c r="A1150" s="15"/>
      <c r="B1150" s="14" t="s">
        <v>53</v>
      </c>
      <c r="C1150" s="13" t="s">
        <v>15</v>
      </c>
      <c r="D1150" s="12"/>
      <c r="E1150" s="11">
        <v>20</v>
      </c>
      <c r="F1150" s="10">
        <v>2.34</v>
      </c>
      <c r="G1150" s="10">
        <f t="shared" si="64"/>
        <v>46.8</v>
      </c>
      <c r="H1150" s="12"/>
      <c r="I1150" s="11">
        <v>4</v>
      </c>
      <c r="J1150" s="10">
        <v>2.39</v>
      </c>
      <c r="K1150" s="10">
        <f t="shared" si="65"/>
        <v>9.56</v>
      </c>
      <c r="L1150" s="12"/>
      <c r="M1150" s="11">
        <v>43</v>
      </c>
      <c r="N1150" s="10">
        <v>2.39</v>
      </c>
      <c r="O1150" s="10">
        <f t="shared" si="66"/>
        <v>102.77000000000001</v>
      </c>
      <c r="P1150" s="12"/>
      <c r="Q1150" s="56">
        <f>+(E1150+I1150+M1150)/($E$1157+$I$1157+$M$1157)</f>
        <v>0.17448371051329462</v>
      </c>
    </row>
    <row r="1151" spans="1:17" x14ac:dyDescent="0.25">
      <c r="A1151" s="15"/>
      <c r="B1151" s="14" t="s">
        <v>238</v>
      </c>
      <c r="C1151" s="13" t="s">
        <v>15</v>
      </c>
      <c r="D1151" s="12"/>
      <c r="E1151" s="11">
        <v>1</v>
      </c>
      <c r="F1151" s="10">
        <v>0.11</v>
      </c>
      <c r="G1151" s="10">
        <f t="shared" si="64"/>
        <v>0.11</v>
      </c>
      <c r="H1151" s="12"/>
      <c r="I1151" s="11"/>
      <c r="J1151" s="10"/>
      <c r="K1151" s="10">
        <f t="shared" si="65"/>
        <v>0</v>
      </c>
      <c r="L1151" s="12"/>
      <c r="M1151" s="11">
        <v>14</v>
      </c>
      <c r="N1151" s="10">
        <v>0.11</v>
      </c>
      <c r="O1151" s="10">
        <f t="shared" si="66"/>
        <v>1.54</v>
      </c>
      <c r="P1151" s="12"/>
      <c r="Q1151" s="56">
        <f>+(E1151+M1151)/($E$1157+$M$1157)</f>
        <v>5.2392595179881242E-2</v>
      </c>
    </row>
    <row r="1152" spans="1:17" x14ac:dyDescent="0.25">
      <c r="A1152" s="15"/>
      <c r="B1152" s="14" t="s">
        <v>544</v>
      </c>
      <c r="C1152" s="13" t="s">
        <v>545</v>
      </c>
      <c r="D1152" s="12"/>
      <c r="E1152" s="11"/>
      <c r="F1152" s="10"/>
      <c r="G1152" s="10">
        <f>+E1152*F1152</f>
        <v>0</v>
      </c>
      <c r="H1152" s="12"/>
      <c r="I1152" s="11"/>
      <c r="J1152" s="10"/>
      <c r="K1152" s="10">
        <f>+I1152*J1152</f>
        <v>0</v>
      </c>
      <c r="L1152" s="12"/>
      <c r="M1152" s="11">
        <v>2</v>
      </c>
      <c r="N1152" s="10">
        <v>5.32</v>
      </c>
      <c r="O1152" s="10">
        <f>+M1152*N1152</f>
        <v>10.64</v>
      </c>
      <c r="P1152" s="12"/>
      <c r="Q1152" s="56">
        <f>+(M1152)/($M$1157)</f>
        <v>1.1560693641618497E-2</v>
      </c>
    </row>
    <row r="1153" spans="1:17" ht="30" x14ac:dyDescent="0.25">
      <c r="A1153" s="15"/>
      <c r="B1153" s="14" t="s">
        <v>63</v>
      </c>
      <c r="C1153" s="13" t="s">
        <v>62</v>
      </c>
      <c r="D1153" s="12"/>
      <c r="E1153" s="11">
        <v>3</v>
      </c>
      <c r="F1153" s="10">
        <v>8.14</v>
      </c>
      <c r="G1153" s="10">
        <f t="shared" si="64"/>
        <v>24.42</v>
      </c>
      <c r="H1153" s="12"/>
      <c r="I1153" s="11">
        <v>41</v>
      </c>
      <c r="J1153" s="10">
        <v>8.06</v>
      </c>
      <c r="K1153" s="10">
        <f t="shared" si="65"/>
        <v>330.46000000000004</v>
      </c>
      <c r="L1153" s="12"/>
      <c r="M1153" s="11">
        <v>165</v>
      </c>
      <c r="N1153" s="10">
        <v>8.2899999999999991</v>
      </c>
      <c r="O1153" s="10">
        <f t="shared" si="66"/>
        <v>1367.85</v>
      </c>
      <c r="P1153" s="12"/>
      <c r="Q1153" s="56">
        <f>+(E1153+I1153+M1153)/($E$1157+$I$1157+$M$1157)</f>
        <v>0.54428500742206831</v>
      </c>
    </row>
    <row r="1154" spans="1:17" ht="30" x14ac:dyDescent="0.25">
      <c r="A1154" s="15"/>
      <c r="B1154" s="14" t="s">
        <v>246</v>
      </c>
      <c r="C1154" s="13" t="s">
        <v>15</v>
      </c>
      <c r="D1154" s="12"/>
      <c r="E1154" s="11">
        <v>16</v>
      </c>
      <c r="F1154" s="10">
        <v>15.86</v>
      </c>
      <c r="G1154" s="10">
        <f t="shared" si="64"/>
        <v>253.76</v>
      </c>
      <c r="H1154" s="12"/>
      <c r="I1154" s="11"/>
      <c r="J1154" s="10"/>
      <c r="K1154" s="10">
        <f t="shared" si="65"/>
        <v>0</v>
      </c>
      <c r="L1154" s="12"/>
      <c r="M1154" s="11"/>
      <c r="N1154" s="10"/>
      <c r="O1154" s="10">
        <f t="shared" si="66"/>
        <v>0</v>
      </c>
      <c r="P1154" s="12"/>
      <c r="Q1154" s="56">
        <f>+(E1154)/($E$1157)</f>
        <v>0.14121800529567521</v>
      </c>
    </row>
    <row r="1155" spans="1:17" ht="15.75" thickBot="1" x14ac:dyDescent="0.3">
      <c r="A1155" s="15"/>
      <c r="B1155" s="14"/>
      <c r="C1155" s="13"/>
      <c r="D1155" s="12"/>
      <c r="E1155" s="11"/>
      <c r="F1155" s="10"/>
      <c r="G1155" s="10">
        <f t="shared" si="64"/>
        <v>0</v>
      </c>
      <c r="H1155" s="12"/>
      <c r="I1155" s="11"/>
      <c r="J1155" s="10"/>
      <c r="K1155" s="10">
        <f t="shared" si="65"/>
        <v>0</v>
      </c>
      <c r="L1155" s="12"/>
      <c r="M1155" s="11"/>
      <c r="N1155" s="10"/>
      <c r="O1155" s="10">
        <f t="shared" si="66"/>
        <v>0</v>
      </c>
      <c r="P1155" s="12"/>
      <c r="Q1155" s="46"/>
    </row>
    <row r="1156" spans="1:17" ht="16.5" thickBot="1" x14ac:dyDescent="0.3">
      <c r="A1156" s="62" t="s">
        <v>5</v>
      </c>
      <c r="B1156" s="63"/>
      <c r="C1156" s="63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6"/>
      <c r="P1156" s="17"/>
      <c r="Q1156" s="46"/>
    </row>
    <row r="1157" spans="1:17" x14ac:dyDescent="0.25">
      <c r="A1157" s="15"/>
      <c r="B1157" s="14" t="s">
        <v>255</v>
      </c>
      <c r="C1157" s="13" t="s">
        <v>58</v>
      </c>
      <c r="D1157" s="12"/>
      <c r="E1157" s="11">
        <v>113.3</v>
      </c>
      <c r="F1157" s="42">
        <v>6.37</v>
      </c>
      <c r="G1157" s="10">
        <f>+E1157*F1157</f>
        <v>721.721</v>
      </c>
      <c r="H1157" s="12"/>
      <c r="I1157" s="11">
        <v>97.69</v>
      </c>
      <c r="J1157" s="10">
        <v>6.370048111372709</v>
      </c>
      <c r="K1157" s="10">
        <f>+I1157*J1157</f>
        <v>622.29</v>
      </c>
      <c r="L1157" s="12"/>
      <c r="M1157" s="11">
        <v>173</v>
      </c>
      <c r="N1157" s="10">
        <v>6.37</v>
      </c>
      <c r="O1157" s="10">
        <f>+M1157*N1157</f>
        <v>1102.01</v>
      </c>
      <c r="P1157" s="12"/>
      <c r="Q1157" s="46"/>
    </row>
    <row r="1158" spans="1:17" ht="15.75" thickBot="1" x14ac:dyDescent="0.3">
      <c r="A1158" s="15"/>
      <c r="B1158" s="14"/>
      <c r="C1158" s="13"/>
      <c r="D1158" s="12"/>
      <c r="E1158" s="11"/>
      <c r="F1158" s="10"/>
      <c r="G1158" s="10">
        <f>+E1158*F1158</f>
        <v>0</v>
      </c>
      <c r="H1158" s="12"/>
      <c r="I1158" s="11"/>
      <c r="J1158" s="10"/>
      <c r="K1158" s="10">
        <f>+I1158*J1158</f>
        <v>0</v>
      </c>
      <c r="L1158" s="12"/>
      <c r="M1158" s="11"/>
      <c r="N1158" s="10"/>
      <c r="O1158" s="10">
        <f>+M1158*N1158</f>
        <v>0</v>
      </c>
      <c r="P1158" s="12"/>
      <c r="Q1158" s="46"/>
    </row>
    <row r="1159" spans="1:17" ht="16.5" thickBot="1" x14ac:dyDescent="0.3">
      <c r="A1159" s="62" t="s">
        <v>2</v>
      </c>
      <c r="B1159" s="63"/>
      <c r="C1159" s="63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6"/>
      <c r="P1159" s="17"/>
      <c r="Q1159" s="46"/>
    </row>
    <row r="1160" spans="1:17" x14ac:dyDescent="0.25">
      <c r="A1160" s="15"/>
      <c r="B1160" s="14" t="s">
        <v>234</v>
      </c>
      <c r="C1160" s="13" t="s">
        <v>15</v>
      </c>
      <c r="D1160" s="12"/>
      <c r="E1160" s="11">
        <v>502</v>
      </c>
      <c r="F1160" s="10">
        <v>0.36</v>
      </c>
      <c r="G1160" s="10">
        <f>+E1160*F1160</f>
        <v>180.72</v>
      </c>
      <c r="H1160" s="12"/>
      <c r="I1160" s="11">
        <v>42</v>
      </c>
      <c r="J1160" s="10">
        <v>0.36</v>
      </c>
      <c r="K1160" s="10">
        <f>+I1160*J1160</f>
        <v>15.12</v>
      </c>
      <c r="L1160" s="12"/>
      <c r="M1160" s="11">
        <v>778</v>
      </c>
      <c r="N1160" s="10">
        <v>0.36</v>
      </c>
      <c r="O1160" s="10">
        <f>+M1160*N1160</f>
        <v>280.08</v>
      </c>
      <c r="P1160" s="12"/>
      <c r="Q1160" s="56">
        <f>+(E1160+I1160+M1160)/($E$1157+$I$1157+$M$1157)</f>
        <v>3.4427979895309773</v>
      </c>
    </row>
    <row r="1161" spans="1:17" x14ac:dyDescent="0.25">
      <c r="A1161" s="15"/>
      <c r="B1161" s="14" t="s">
        <v>233</v>
      </c>
      <c r="C1161" s="13" t="s">
        <v>15</v>
      </c>
      <c r="D1161" s="12"/>
      <c r="E1161" s="11">
        <v>502</v>
      </c>
      <c r="F1161" s="10">
        <v>0.09</v>
      </c>
      <c r="G1161" s="10">
        <f>+E1161*F1161</f>
        <v>45.18</v>
      </c>
      <c r="H1161" s="12"/>
      <c r="I1161" s="11">
        <v>42</v>
      </c>
      <c r="J1161" s="10">
        <v>0.09</v>
      </c>
      <c r="K1161" s="10">
        <f>+I1161*J1161</f>
        <v>3.78</v>
      </c>
      <c r="L1161" s="12"/>
      <c r="M1161" s="11">
        <v>778</v>
      </c>
      <c r="N1161" s="10">
        <v>0.09</v>
      </c>
      <c r="O1161" s="10">
        <f>+M1161*N1161</f>
        <v>70.02</v>
      </c>
      <c r="P1161" s="12"/>
      <c r="Q1161" s="56">
        <f>+(E1161+I1161+M1161)/($E$1157+$I$1157+$M$1157)</f>
        <v>3.4427979895309773</v>
      </c>
    </row>
    <row r="1162" spans="1:17" x14ac:dyDescent="0.25">
      <c r="A1162" s="15"/>
      <c r="B1162" s="14" t="s">
        <v>546</v>
      </c>
      <c r="C1162" s="13" t="s">
        <v>15</v>
      </c>
      <c r="D1162" s="12"/>
      <c r="E1162" s="11"/>
      <c r="F1162" s="10"/>
      <c r="G1162" s="10">
        <f>+E1162*F1162</f>
        <v>0</v>
      </c>
      <c r="H1162" s="12"/>
      <c r="I1162" s="11"/>
      <c r="J1162" s="10"/>
      <c r="K1162" s="10">
        <f>+I1162*J1162</f>
        <v>0</v>
      </c>
      <c r="L1162" s="12"/>
      <c r="M1162" s="11">
        <v>940</v>
      </c>
      <c r="N1162" s="10">
        <v>0.05</v>
      </c>
      <c r="O1162" s="10">
        <f>+M1162*N1162</f>
        <v>47</v>
      </c>
      <c r="P1162" s="12"/>
      <c r="Q1162" s="56">
        <f>+(M1162)/($M$1157)</f>
        <v>5.4335260115606934</v>
      </c>
    </row>
    <row r="1163" spans="1:17" x14ac:dyDescent="0.25">
      <c r="A1163" s="15"/>
      <c r="B1163" s="14"/>
      <c r="C1163" s="13"/>
      <c r="D1163" s="12"/>
      <c r="E1163" s="11"/>
      <c r="F1163" s="10"/>
      <c r="G1163" s="10">
        <f>+E1163*F1163</f>
        <v>0</v>
      </c>
      <c r="H1163" s="12"/>
      <c r="I1163" s="11"/>
      <c r="J1163" s="10"/>
      <c r="K1163" s="10">
        <f>+I1163*J1163</f>
        <v>0</v>
      </c>
      <c r="L1163" s="12"/>
      <c r="M1163" s="11"/>
      <c r="N1163" s="10"/>
      <c r="O1163" s="10">
        <f>+M1163*N1163</f>
        <v>0</v>
      </c>
      <c r="P1163" s="12"/>
      <c r="Q1163" s="46"/>
    </row>
    <row r="1164" spans="1:17" ht="15.75" thickBot="1" x14ac:dyDescent="0.3">
      <c r="Q1164" s="46"/>
    </row>
    <row r="1165" spans="1:17" ht="21" thickBot="1" x14ac:dyDescent="0.3">
      <c r="A1165" s="64" t="s">
        <v>1</v>
      </c>
      <c r="B1165" s="65"/>
      <c r="C1165" s="66"/>
      <c r="D1165" s="5"/>
      <c r="E1165" s="9"/>
      <c r="F1165" s="8"/>
      <c r="G1165" s="7">
        <f>SUM(G1128:G1164)</f>
        <v>2404.7491999999993</v>
      </c>
      <c r="H1165" s="5"/>
      <c r="I1165" s="9"/>
      <c r="J1165" s="8"/>
      <c r="K1165" s="7">
        <f>SUM(K1126:K1163)</f>
        <v>1213.7975999999999</v>
      </c>
      <c r="L1165" s="5"/>
      <c r="M1165" s="9"/>
      <c r="N1165" s="8"/>
      <c r="O1165" s="7">
        <f>SUM(O1126:O1163)</f>
        <v>4011.9281999999998</v>
      </c>
      <c r="P1165" s="5"/>
      <c r="Q1165" s="46"/>
    </row>
    <row r="1166" spans="1:17" ht="21" thickBot="1" x14ac:dyDescent="0.3">
      <c r="A1166" s="60" t="s">
        <v>0</v>
      </c>
      <c r="B1166" s="61"/>
      <c r="C1166" s="61"/>
      <c r="D1166" s="5"/>
      <c r="E1166" s="4"/>
      <c r="F1166" s="3"/>
      <c r="G1166" s="6">
        <f>+G1165/E1157</f>
        <v>21.224617828773162</v>
      </c>
      <c r="H1166" s="5"/>
      <c r="I1166" s="4"/>
      <c r="J1166" s="3"/>
      <c r="K1166" s="6">
        <f>+K1165/I1157</f>
        <v>12.424993346299518</v>
      </c>
      <c r="L1166" s="5"/>
      <c r="M1166" s="4"/>
      <c r="N1166" s="3"/>
      <c r="O1166" s="6">
        <f>+O1165/M1157</f>
        <v>23.190336416184969</v>
      </c>
      <c r="P1166" s="5"/>
      <c r="Q1166" s="46"/>
    </row>
    <row r="1167" spans="1:17" x14ac:dyDescent="0.25">
      <c r="Q1167" s="46"/>
    </row>
    <row r="1168" spans="1:17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46"/>
    </row>
    <row r="1169" spans="1:17" ht="15.75" thickBot="1" x14ac:dyDescent="0.3">
      <c r="Q1169" s="46"/>
    </row>
    <row r="1170" spans="1:17" ht="16.5" thickBot="1" x14ac:dyDescent="0.3">
      <c r="A1170" s="20" t="s">
        <v>254</v>
      </c>
      <c r="B1170" s="19" t="s">
        <v>253</v>
      </c>
      <c r="C1170" s="18" t="s">
        <v>3</v>
      </c>
      <c r="Q1170" s="46"/>
    </row>
    <row r="1171" spans="1:17" ht="15.75" thickBot="1" x14ac:dyDescent="0.3">
      <c r="Q1171" s="46"/>
    </row>
    <row r="1172" spans="1:17" ht="16.5" thickBot="1" x14ac:dyDescent="0.3">
      <c r="A1172" s="62" t="s">
        <v>11</v>
      </c>
      <c r="B1172" s="63"/>
      <c r="C1172" s="63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6"/>
      <c r="P1172" s="17"/>
      <c r="Q1172" s="46"/>
    </row>
    <row r="1173" spans="1:17" x14ac:dyDescent="0.25">
      <c r="A1173" s="15"/>
      <c r="B1173" s="14" t="s">
        <v>252</v>
      </c>
      <c r="C1173" s="13" t="s">
        <v>144</v>
      </c>
      <c r="D1173" s="12"/>
      <c r="E1173" s="11">
        <v>1</v>
      </c>
      <c r="F1173" s="10">
        <v>86.17</v>
      </c>
      <c r="G1173" s="10">
        <f t="shared" ref="G1173:G1201" si="67">+E1173*F1173</f>
        <v>86.17</v>
      </c>
      <c r="H1173" s="12"/>
      <c r="I1173" s="11"/>
      <c r="J1173" s="10"/>
      <c r="K1173" s="10">
        <f t="shared" ref="K1173:K1201" si="68">+I1173*J1173</f>
        <v>0</v>
      </c>
      <c r="L1173" s="12"/>
      <c r="M1173" s="11"/>
      <c r="N1173" s="10"/>
      <c r="O1173" s="10">
        <f t="shared" ref="O1173:O1201" si="69">+M1173*N1173</f>
        <v>0</v>
      </c>
      <c r="P1173" s="12"/>
      <c r="Q1173" s="56">
        <f>+(E1173)/($E$1203)</f>
        <v>3.8535645472061657E-3</v>
      </c>
    </row>
    <row r="1174" spans="1:17" x14ac:dyDescent="0.25">
      <c r="A1174" s="15"/>
      <c r="B1174" s="14" t="s">
        <v>175</v>
      </c>
      <c r="C1174" s="13" t="s">
        <v>15</v>
      </c>
      <c r="D1174" s="12"/>
      <c r="E1174" s="11">
        <v>9</v>
      </c>
      <c r="F1174" s="10">
        <v>6.63</v>
      </c>
      <c r="G1174" s="10">
        <f t="shared" si="67"/>
        <v>59.67</v>
      </c>
      <c r="H1174" s="12"/>
      <c r="I1174" s="11"/>
      <c r="J1174" s="10"/>
      <c r="K1174" s="10">
        <f t="shared" si="68"/>
        <v>0</v>
      </c>
      <c r="L1174" s="12"/>
      <c r="M1174" s="11"/>
      <c r="N1174" s="10"/>
      <c r="O1174" s="10">
        <f t="shared" si="69"/>
        <v>0</v>
      </c>
      <c r="P1174" s="12"/>
      <c r="Q1174" s="56">
        <f>+(E1174)/($E$1203)</f>
        <v>3.4682080924855488E-2</v>
      </c>
    </row>
    <row r="1175" spans="1:17" x14ac:dyDescent="0.25">
      <c r="A1175" s="15"/>
      <c r="B1175" s="14" t="s">
        <v>244</v>
      </c>
      <c r="C1175" s="13" t="s">
        <v>15</v>
      </c>
      <c r="D1175" s="12"/>
      <c r="E1175" s="11">
        <v>3</v>
      </c>
      <c r="F1175" s="10"/>
      <c r="G1175" s="10">
        <f>+E1175*F1175</f>
        <v>0</v>
      </c>
      <c r="H1175" s="12"/>
      <c r="I1175" s="11">
        <v>10</v>
      </c>
      <c r="J1175" s="10">
        <v>1.78</v>
      </c>
      <c r="K1175" s="10">
        <f>+I1175*J1175</f>
        <v>17.8</v>
      </c>
      <c r="L1175" s="12"/>
      <c r="M1175" s="11"/>
      <c r="N1175" s="10"/>
      <c r="O1175" s="10">
        <f>+M1175*N1175</f>
        <v>0</v>
      </c>
      <c r="P1175" s="12"/>
      <c r="Q1175" s="56">
        <f>+(I1175)/($I$1203)</f>
        <v>4.5524902121460438E-2</v>
      </c>
    </row>
    <row r="1176" spans="1:17" x14ac:dyDescent="0.25">
      <c r="A1176" s="15"/>
      <c r="B1176" s="14" t="s">
        <v>48</v>
      </c>
      <c r="C1176" s="13" t="s">
        <v>8</v>
      </c>
      <c r="D1176" s="12"/>
      <c r="E1176" s="11">
        <v>55</v>
      </c>
      <c r="F1176" s="10">
        <v>6.62</v>
      </c>
      <c r="G1176" s="10">
        <f t="shared" si="67"/>
        <v>364.1</v>
      </c>
      <c r="H1176" s="12"/>
      <c r="I1176" s="11">
        <v>20</v>
      </c>
      <c r="J1176" s="10">
        <v>6.79</v>
      </c>
      <c r="K1176" s="10">
        <f t="shared" si="68"/>
        <v>135.80000000000001</v>
      </c>
      <c r="L1176" s="12"/>
      <c r="M1176" s="11"/>
      <c r="N1176" s="10"/>
      <c r="O1176" s="10">
        <f t="shared" si="69"/>
        <v>0</v>
      </c>
      <c r="P1176" s="12"/>
      <c r="Q1176" s="56">
        <f>+(E1176+I1176)/($E$1203+$I$1203)</f>
        <v>0.15652391685449538</v>
      </c>
    </row>
    <row r="1177" spans="1:17" ht="30" x14ac:dyDescent="0.25">
      <c r="A1177" s="15"/>
      <c r="B1177" s="14" t="s">
        <v>243</v>
      </c>
      <c r="C1177" s="13" t="s">
        <v>15</v>
      </c>
      <c r="D1177" s="12"/>
      <c r="E1177" s="11"/>
      <c r="F1177" s="10"/>
      <c r="G1177" s="10">
        <f>+E1177*F1177</f>
        <v>0</v>
      </c>
      <c r="H1177" s="12"/>
      <c r="I1177" s="11">
        <v>4</v>
      </c>
      <c r="J1177" s="10">
        <v>1.45</v>
      </c>
      <c r="K1177" s="10">
        <f>+I1177*J1177</f>
        <v>5.8</v>
      </c>
      <c r="L1177" s="12"/>
      <c r="M1177" s="11"/>
      <c r="N1177" s="10"/>
      <c r="O1177" s="10">
        <f>+M1177*N1177</f>
        <v>0</v>
      </c>
      <c r="P1177" s="12"/>
      <c r="Q1177" s="56">
        <f>+(I1177)/($I$1203)</f>
        <v>1.8209960848584176E-2</v>
      </c>
    </row>
    <row r="1178" spans="1:17" x14ac:dyDescent="0.25">
      <c r="A1178" s="15"/>
      <c r="B1178" s="14" t="s">
        <v>157</v>
      </c>
      <c r="C1178" s="13" t="s">
        <v>15</v>
      </c>
      <c r="D1178" s="12"/>
      <c r="E1178" s="11">
        <v>10</v>
      </c>
      <c r="F1178" s="10">
        <v>7.4</v>
      </c>
      <c r="G1178" s="10">
        <f t="shared" si="67"/>
        <v>74</v>
      </c>
      <c r="H1178" s="12"/>
      <c r="I1178" s="11">
        <v>1</v>
      </c>
      <c r="J1178" s="10">
        <v>8.06</v>
      </c>
      <c r="K1178" s="10">
        <f t="shared" si="68"/>
        <v>8.06</v>
      </c>
      <c r="L1178" s="12"/>
      <c r="M1178" s="11"/>
      <c r="N1178" s="10"/>
      <c r="O1178" s="10">
        <f t="shared" si="69"/>
        <v>0</v>
      </c>
      <c r="P1178" s="12"/>
      <c r="Q1178" s="56">
        <f>+(E1178+I1178)/($E$1203+$I$1203)</f>
        <v>2.2956841138659322E-2</v>
      </c>
    </row>
    <row r="1179" spans="1:17" ht="30" x14ac:dyDescent="0.25">
      <c r="A1179" s="15"/>
      <c r="B1179" s="14" t="s">
        <v>173</v>
      </c>
      <c r="C1179" s="13" t="s">
        <v>30</v>
      </c>
      <c r="D1179" s="12"/>
      <c r="E1179" s="11">
        <v>0.5</v>
      </c>
      <c r="F1179" s="10">
        <v>3.14</v>
      </c>
      <c r="G1179" s="10">
        <f t="shared" si="67"/>
        <v>1.57</v>
      </c>
      <c r="H1179" s="12"/>
      <c r="I1179" s="11"/>
      <c r="J1179" s="10"/>
      <c r="K1179" s="10">
        <f t="shared" si="68"/>
        <v>0</v>
      </c>
      <c r="L1179" s="12"/>
      <c r="M1179" s="11"/>
      <c r="N1179" s="10"/>
      <c r="O1179" s="10">
        <f t="shared" si="69"/>
        <v>0</v>
      </c>
      <c r="P1179" s="12"/>
      <c r="Q1179" s="56">
        <f>+(E1179)/($E$1203)</f>
        <v>1.9267822736030828E-3</v>
      </c>
    </row>
    <row r="1180" spans="1:17" x14ac:dyDescent="0.25">
      <c r="A1180" s="15"/>
      <c r="B1180" s="14" t="s">
        <v>250</v>
      </c>
      <c r="C1180" s="13" t="s">
        <v>30</v>
      </c>
      <c r="D1180" s="12"/>
      <c r="E1180" s="11">
        <v>3.5</v>
      </c>
      <c r="F1180" s="10">
        <v>3.06</v>
      </c>
      <c r="G1180" s="10">
        <f t="shared" si="67"/>
        <v>10.71</v>
      </c>
      <c r="H1180" s="12"/>
      <c r="I1180" s="11">
        <v>1</v>
      </c>
      <c r="J1180" s="10">
        <v>7.2</v>
      </c>
      <c r="K1180" s="10">
        <f t="shared" si="68"/>
        <v>7.2</v>
      </c>
      <c r="L1180" s="12"/>
      <c r="M1180" s="11"/>
      <c r="N1180" s="10"/>
      <c r="O1180" s="10">
        <f t="shared" si="69"/>
        <v>0</v>
      </c>
      <c r="P1180" s="12"/>
      <c r="Q1180" s="56">
        <f>+(E1180+I1180)/($E$1203+$I$1203)</f>
        <v>9.3914350112697231E-3</v>
      </c>
    </row>
    <row r="1181" spans="1:17" x14ac:dyDescent="0.25">
      <c r="A1181" s="15"/>
      <c r="B1181" s="14" t="s">
        <v>57</v>
      </c>
      <c r="C1181" s="13" t="s">
        <v>30</v>
      </c>
      <c r="D1181" s="12"/>
      <c r="E1181" s="11">
        <v>4.0999999999999996</v>
      </c>
      <c r="F1181" s="10">
        <v>1.84</v>
      </c>
      <c r="G1181" s="10">
        <f t="shared" si="67"/>
        <v>7.5439999999999996</v>
      </c>
      <c r="H1181" s="12"/>
      <c r="I1181" s="11">
        <v>1</v>
      </c>
      <c r="J1181" s="10">
        <v>2.08</v>
      </c>
      <c r="K1181" s="10">
        <f t="shared" si="68"/>
        <v>2.08</v>
      </c>
      <c r="L1181" s="12"/>
      <c r="M1181" s="11"/>
      <c r="N1181" s="10"/>
      <c r="O1181" s="10">
        <f t="shared" si="69"/>
        <v>0</v>
      </c>
      <c r="P1181" s="12"/>
      <c r="Q1181" s="56">
        <f>+(E1181+I1181)/($E$1203+$I$1203)</f>
        <v>1.0643626346105686E-2</v>
      </c>
    </row>
    <row r="1182" spans="1:17" x14ac:dyDescent="0.25">
      <c r="A1182" s="15"/>
      <c r="B1182" s="14" t="s">
        <v>56</v>
      </c>
      <c r="C1182" s="13" t="s">
        <v>30</v>
      </c>
      <c r="D1182" s="12"/>
      <c r="E1182" s="11">
        <v>4.75</v>
      </c>
      <c r="F1182" s="10">
        <v>1.78</v>
      </c>
      <c r="G1182" s="10">
        <f t="shared" si="67"/>
        <v>8.4550000000000001</v>
      </c>
      <c r="H1182" s="12"/>
      <c r="I1182" s="11">
        <v>1</v>
      </c>
      <c r="J1182" s="10">
        <v>1.94</v>
      </c>
      <c r="K1182" s="10">
        <f t="shared" si="68"/>
        <v>1.94</v>
      </c>
      <c r="L1182" s="12"/>
      <c r="M1182" s="11"/>
      <c r="N1182" s="10"/>
      <c r="O1182" s="10">
        <f t="shared" si="69"/>
        <v>0</v>
      </c>
      <c r="P1182" s="12"/>
      <c r="Q1182" s="56">
        <f>+(E1182+I1182)/($E$1203+$I$1203)</f>
        <v>1.2000166958844646E-2</v>
      </c>
    </row>
    <row r="1183" spans="1:17" x14ac:dyDescent="0.25">
      <c r="A1183" s="15"/>
      <c r="B1183" s="14" t="s">
        <v>55</v>
      </c>
      <c r="C1183" s="13" t="s">
        <v>15</v>
      </c>
      <c r="D1183" s="12"/>
      <c r="E1183" s="11">
        <v>5</v>
      </c>
      <c r="F1183" s="10">
        <v>1.88</v>
      </c>
      <c r="G1183" s="10">
        <f t="shared" si="67"/>
        <v>9.3999999999999986</v>
      </c>
      <c r="H1183" s="12"/>
      <c r="I1183" s="11"/>
      <c r="J1183" s="10"/>
      <c r="K1183" s="10">
        <f t="shared" si="68"/>
        <v>0</v>
      </c>
      <c r="L1183" s="12"/>
      <c r="M1183" s="11"/>
      <c r="N1183" s="10"/>
      <c r="O1183" s="10">
        <f t="shared" si="69"/>
        <v>0</v>
      </c>
      <c r="P1183" s="12"/>
      <c r="Q1183" s="56">
        <f>+(E1183)/($E$1203)</f>
        <v>1.9267822736030827E-2</v>
      </c>
    </row>
    <row r="1184" spans="1:17" ht="30" x14ac:dyDescent="0.25">
      <c r="A1184" s="15"/>
      <c r="B1184" s="14" t="s">
        <v>16</v>
      </c>
      <c r="C1184" s="13" t="s">
        <v>15</v>
      </c>
      <c r="D1184" s="12"/>
      <c r="E1184" s="11">
        <v>1</v>
      </c>
      <c r="F1184" s="10">
        <v>7.2</v>
      </c>
      <c r="G1184" s="10">
        <f>+E1184*F1184</f>
        <v>7.2</v>
      </c>
      <c r="H1184" s="12"/>
      <c r="I1184" s="11">
        <v>27</v>
      </c>
      <c r="J1184" s="10">
        <v>7.2</v>
      </c>
      <c r="K1184" s="10">
        <f>+I1184*J1184</f>
        <v>194.4</v>
      </c>
      <c r="L1184" s="12"/>
      <c r="M1184" s="11"/>
      <c r="N1184" s="10"/>
      <c r="O1184" s="10">
        <f>+M1184*N1184</f>
        <v>0</v>
      </c>
      <c r="P1184" s="12"/>
      <c r="Q1184" s="56">
        <f>+(E1184+I1184)/($E$1203+$I$1203)</f>
        <v>5.8435595625678273E-2</v>
      </c>
    </row>
    <row r="1185" spans="1:17" x14ac:dyDescent="0.25">
      <c r="A1185" s="15"/>
      <c r="B1185" s="14" t="s">
        <v>249</v>
      </c>
      <c r="C1185" s="13" t="s">
        <v>15</v>
      </c>
      <c r="D1185" s="12"/>
      <c r="E1185" s="11">
        <v>2</v>
      </c>
      <c r="F1185" s="10">
        <v>2.52</v>
      </c>
      <c r="G1185" s="10">
        <f t="shared" si="67"/>
        <v>5.04</v>
      </c>
      <c r="H1185" s="12"/>
      <c r="I1185" s="11">
        <v>8</v>
      </c>
      <c r="J1185" s="10">
        <v>2.61</v>
      </c>
      <c r="K1185" s="10">
        <f t="shared" si="68"/>
        <v>20.88</v>
      </c>
      <c r="L1185" s="12"/>
      <c r="M1185" s="11"/>
      <c r="N1185" s="10"/>
      <c r="O1185" s="10">
        <f t="shared" si="69"/>
        <v>0</v>
      </c>
      <c r="P1185" s="12"/>
      <c r="Q1185" s="56">
        <f>+(E1185+I1185)/($E$1203+$I$1203)</f>
        <v>2.0869855580599384E-2</v>
      </c>
    </row>
    <row r="1186" spans="1:17" x14ac:dyDescent="0.25">
      <c r="A1186" s="15"/>
      <c r="B1186" s="14" t="s">
        <v>155</v>
      </c>
      <c r="C1186" s="13" t="s">
        <v>15</v>
      </c>
      <c r="D1186" s="12"/>
      <c r="E1186" s="11">
        <v>1</v>
      </c>
      <c r="F1186" s="10">
        <v>10.58</v>
      </c>
      <c r="G1186" s="10">
        <f t="shared" si="67"/>
        <v>10.58</v>
      </c>
      <c r="H1186" s="12"/>
      <c r="I1186" s="11">
        <v>2</v>
      </c>
      <c r="J1186" s="10">
        <v>14.56</v>
      </c>
      <c r="K1186" s="10">
        <f t="shared" si="68"/>
        <v>29.12</v>
      </c>
      <c r="L1186" s="12"/>
      <c r="M1186" s="11"/>
      <c r="N1186" s="10"/>
      <c r="O1186" s="10">
        <f t="shared" si="69"/>
        <v>0</v>
      </c>
      <c r="P1186" s="12"/>
      <c r="Q1186" s="56">
        <f>+(E1186+I1186)/($E$1203+$I$1203)</f>
        <v>6.2609566741798151E-3</v>
      </c>
    </row>
    <row r="1187" spans="1:17" x14ac:dyDescent="0.25">
      <c r="A1187" s="15"/>
      <c r="B1187" s="14" t="s">
        <v>171</v>
      </c>
      <c r="C1187" s="13" t="s">
        <v>102</v>
      </c>
      <c r="D1187" s="12"/>
      <c r="E1187" s="11">
        <v>1</v>
      </c>
      <c r="F1187" s="10">
        <v>2.8</v>
      </c>
      <c r="G1187" s="10">
        <f t="shared" si="67"/>
        <v>2.8</v>
      </c>
      <c r="H1187" s="12"/>
      <c r="I1187" s="11"/>
      <c r="J1187" s="10"/>
      <c r="K1187" s="10">
        <f t="shared" si="68"/>
        <v>0</v>
      </c>
      <c r="L1187" s="12"/>
      <c r="M1187" s="11"/>
      <c r="N1187" s="10"/>
      <c r="O1187" s="10">
        <f t="shared" si="69"/>
        <v>0</v>
      </c>
      <c r="P1187" s="12"/>
      <c r="Q1187" s="56">
        <f>+(E1187)/($E$1203)</f>
        <v>3.8535645472061657E-3</v>
      </c>
    </row>
    <row r="1188" spans="1:17" x14ac:dyDescent="0.25">
      <c r="A1188" s="15"/>
      <c r="B1188" s="14" t="s">
        <v>242</v>
      </c>
      <c r="C1188" s="13" t="s">
        <v>15</v>
      </c>
      <c r="D1188" s="12"/>
      <c r="E1188" s="11"/>
      <c r="F1188" s="10"/>
      <c r="G1188" s="10">
        <f>+E1188*F1188</f>
        <v>0</v>
      </c>
      <c r="H1188" s="12"/>
      <c r="I1188" s="11">
        <v>1</v>
      </c>
      <c r="J1188" s="10">
        <v>38.5</v>
      </c>
      <c r="K1188" s="10">
        <f>+I1188*J1188</f>
        <v>38.5</v>
      </c>
      <c r="L1188" s="12"/>
      <c r="M1188" s="11"/>
      <c r="N1188" s="10"/>
      <c r="O1188" s="10">
        <f>+M1188*N1188</f>
        <v>0</v>
      </c>
      <c r="P1188" s="12"/>
      <c r="Q1188" s="56">
        <f>+(I1188)/($I$1203)</f>
        <v>4.552490212146044E-3</v>
      </c>
    </row>
    <row r="1189" spans="1:17" x14ac:dyDescent="0.25">
      <c r="A1189" s="15"/>
      <c r="B1189" s="14" t="s">
        <v>241</v>
      </c>
      <c r="C1189" s="13" t="s">
        <v>15</v>
      </c>
      <c r="D1189" s="12"/>
      <c r="E1189" s="11"/>
      <c r="F1189" s="10"/>
      <c r="G1189" s="10">
        <f>+E1189*F1189</f>
        <v>0</v>
      </c>
      <c r="H1189" s="12"/>
      <c r="I1189" s="11">
        <v>3</v>
      </c>
      <c r="J1189" s="10">
        <v>3.95</v>
      </c>
      <c r="K1189" s="10">
        <f>+I1189*J1189</f>
        <v>11.850000000000001</v>
      </c>
      <c r="L1189" s="12"/>
      <c r="M1189" s="11"/>
      <c r="N1189" s="10"/>
      <c r="O1189" s="10">
        <f>+M1189*N1189</f>
        <v>0</v>
      </c>
      <c r="P1189" s="12"/>
      <c r="Q1189" s="56">
        <f>+(I1189)/($I$1203)</f>
        <v>1.3657470636438131E-2</v>
      </c>
    </row>
    <row r="1190" spans="1:17" ht="18" x14ac:dyDescent="0.25">
      <c r="A1190" s="15"/>
      <c r="B1190" s="14" t="s">
        <v>7</v>
      </c>
      <c r="C1190" s="13" t="s">
        <v>42</v>
      </c>
      <c r="D1190" s="12"/>
      <c r="E1190" s="11">
        <v>4</v>
      </c>
      <c r="F1190" s="10">
        <v>12.3</v>
      </c>
      <c r="G1190" s="10">
        <f t="shared" si="67"/>
        <v>49.2</v>
      </c>
      <c r="H1190" s="12"/>
      <c r="I1190" s="11">
        <v>0.8</v>
      </c>
      <c r="J1190" s="10">
        <v>17.04</v>
      </c>
      <c r="K1190" s="10">
        <f t="shared" si="68"/>
        <v>13.632</v>
      </c>
      <c r="L1190" s="12"/>
      <c r="M1190" s="11"/>
      <c r="N1190" s="10"/>
      <c r="O1190" s="10">
        <f t="shared" si="69"/>
        <v>0</v>
      </c>
      <c r="P1190" s="12"/>
      <c r="Q1190" s="56">
        <f>+(E1190+I1190)/($E$1203+$I$1203)</f>
        <v>1.0017530678687703E-2</v>
      </c>
    </row>
    <row r="1191" spans="1:17" ht="18" x14ac:dyDescent="0.25">
      <c r="A1191" s="15"/>
      <c r="B1191" s="14" t="s">
        <v>45</v>
      </c>
      <c r="C1191" s="13" t="s">
        <v>42</v>
      </c>
      <c r="D1191" s="12"/>
      <c r="E1191" s="11">
        <v>0.8</v>
      </c>
      <c r="F1191" s="10">
        <v>13.75</v>
      </c>
      <c r="G1191" s="10">
        <f t="shared" si="67"/>
        <v>11</v>
      </c>
      <c r="H1191" s="12"/>
      <c r="I1191" s="11"/>
      <c r="J1191" s="10"/>
      <c r="K1191" s="10">
        <f t="shared" si="68"/>
        <v>0</v>
      </c>
      <c r="L1191" s="12"/>
      <c r="M1191" s="11"/>
      <c r="N1191" s="10"/>
      <c r="O1191" s="10">
        <f t="shared" si="69"/>
        <v>0</v>
      </c>
      <c r="P1191" s="12"/>
      <c r="Q1191" s="56">
        <f>+(E1191)/($E$1203)</f>
        <v>3.0828516377649326E-3</v>
      </c>
    </row>
    <row r="1192" spans="1:17" ht="18" x14ac:dyDescent="0.25">
      <c r="A1192" s="15"/>
      <c r="B1192" s="14" t="s">
        <v>212</v>
      </c>
      <c r="C1192" s="13" t="s">
        <v>42</v>
      </c>
      <c r="D1192" s="12"/>
      <c r="E1192" s="11">
        <v>3.46</v>
      </c>
      <c r="F1192" s="10">
        <v>12.48</v>
      </c>
      <c r="G1192" s="10">
        <f t="shared" si="67"/>
        <v>43.180799999999998</v>
      </c>
      <c r="H1192" s="12"/>
      <c r="I1192" s="11">
        <v>0.08</v>
      </c>
      <c r="J1192" s="10">
        <v>11.88</v>
      </c>
      <c r="K1192" s="10">
        <f t="shared" si="68"/>
        <v>0.95040000000000013</v>
      </c>
      <c r="L1192" s="12"/>
      <c r="M1192" s="11"/>
      <c r="N1192" s="10"/>
      <c r="O1192" s="10">
        <f t="shared" si="69"/>
        <v>0</v>
      </c>
      <c r="P1192" s="12"/>
      <c r="Q1192" s="56">
        <f>+(E1192+I1192)/($E$1203+$I$1203)</f>
        <v>7.3879288755321817E-3</v>
      </c>
    </row>
    <row r="1193" spans="1:17" x14ac:dyDescent="0.25">
      <c r="A1193" s="15"/>
      <c r="B1193" s="14" t="s">
        <v>248</v>
      </c>
      <c r="C1193" s="13" t="s">
        <v>15</v>
      </c>
      <c r="D1193" s="12"/>
      <c r="E1193" s="11">
        <v>2</v>
      </c>
      <c r="F1193" s="10">
        <v>0.88</v>
      </c>
      <c r="G1193" s="10">
        <f t="shared" si="67"/>
        <v>1.76</v>
      </c>
      <c r="H1193" s="12"/>
      <c r="I1193" s="11">
        <v>4</v>
      </c>
      <c r="J1193" s="10">
        <v>0.95</v>
      </c>
      <c r="K1193" s="10">
        <f t="shared" si="68"/>
        <v>3.8</v>
      </c>
      <c r="L1193" s="12"/>
      <c r="M1193" s="11"/>
      <c r="N1193" s="10"/>
      <c r="O1193" s="10">
        <f t="shared" si="69"/>
        <v>0</v>
      </c>
      <c r="P1193" s="12"/>
      <c r="Q1193" s="56">
        <f>+(E1193+I1193)/($E$1203+$I$1203)</f>
        <v>1.252191334835963E-2</v>
      </c>
    </row>
    <row r="1194" spans="1:17" x14ac:dyDescent="0.25">
      <c r="A1194" s="15"/>
      <c r="B1194" s="14" t="s">
        <v>247</v>
      </c>
      <c r="C1194" s="13" t="s">
        <v>15</v>
      </c>
      <c r="D1194" s="12"/>
      <c r="E1194" s="11">
        <v>11</v>
      </c>
      <c r="F1194" s="10">
        <v>26.83</v>
      </c>
      <c r="G1194" s="10">
        <f t="shared" si="67"/>
        <v>295.13</v>
      </c>
      <c r="H1194" s="12"/>
      <c r="I1194" s="11">
        <v>24</v>
      </c>
      <c r="J1194" s="10">
        <v>23.98</v>
      </c>
      <c r="K1194" s="10">
        <f t="shared" si="68"/>
        <v>575.52</v>
      </c>
      <c r="L1194" s="12"/>
      <c r="M1194" s="11"/>
      <c r="N1194" s="10"/>
      <c r="O1194" s="10">
        <f t="shared" si="69"/>
        <v>0</v>
      </c>
      <c r="P1194" s="12"/>
      <c r="Q1194" s="56">
        <f>+(E1194+I1194)/($E$1203+$I$1203)</f>
        <v>7.3044494532097839E-2</v>
      </c>
    </row>
    <row r="1195" spans="1:17" x14ac:dyDescent="0.25">
      <c r="A1195" s="15"/>
      <c r="B1195" s="14" t="s">
        <v>240</v>
      </c>
      <c r="C1195" s="13" t="s">
        <v>15</v>
      </c>
      <c r="D1195" s="12"/>
      <c r="E1195" s="11"/>
      <c r="F1195" s="10"/>
      <c r="G1195" s="10">
        <f>+E1195*F1195</f>
        <v>0</v>
      </c>
      <c r="H1195" s="12"/>
      <c r="I1195" s="11">
        <v>2</v>
      </c>
      <c r="J1195" s="10">
        <v>28.75</v>
      </c>
      <c r="K1195" s="10">
        <f>+I1195*J1195</f>
        <v>57.5</v>
      </c>
      <c r="L1195" s="12"/>
      <c r="M1195" s="11"/>
      <c r="N1195" s="10"/>
      <c r="O1195" s="10">
        <f>+M1195*N1195</f>
        <v>0</v>
      </c>
      <c r="P1195" s="12"/>
      <c r="Q1195" s="56">
        <f>+(I1195)/($I$1203)</f>
        <v>9.1049804242920879E-3</v>
      </c>
    </row>
    <row r="1196" spans="1:17" x14ac:dyDescent="0.25">
      <c r="A1196" s="15"/>
      <c r="B1196" s="14" t="s">
        <v>53</v>
      </c>
      <c r="C1196" s="13" t="s">
        <v>15</v>
      </c>
      <c r="D1196" s="12"/>
      <c r="E1196" s="11">
        <v>31</v>
      </c>
      <c r="F1196" s="10">
        <v>2.36</v>
      </c>
      <c r="G1196" s="10">
        <f t="shared" si="67"/>
        <v>73.16</v>
      </c>
      <c r="H1196" s="12"/>
      <c r="I1196" s="11">
        <v>14</v>
      </c>
      <c r="J1196" s="10">
        <v>2.5299999999999998</v>
      </c>
      <c r="K1196" s="10">
        <f t="shared" si="68"/>
        <v>35.419999999999995</v>
      </c>
      <c r="L1196" s="12"/>
      <c r="M1196" s="11"/>
      <c r="N1196" s="10"/>
      <c r="O1196" s="10">
        <f t="shared" si="69"/>
        <v>0</v>
      </c>
      <c r="P1196" s="12"/>
      <c r="Q1196" s="56">
        <f>+(E1196+I1196)/($E$1203+$I$1203)</f>
        <v>9.391435011269722E-2</v>
      </c>
    </row>
    <row r="1197" spans="1:17" x14ac:dyDescent="0.25">
      <c r="A1197" s="15"/>
      <c r="B1197" s="14" t="s">
        <v>238</v>
      </c>
      <c r="C1197" s="13" t="s">
        <v>15</v>
      </c>
      <c r="D1197" s="12"/>
      <c r="E1197" s="11"/>
      <c r="F1197" s="10"/>
      <c r="G1197" s="10">
        <f>+E1197*F1197</f>
        <v>0</v>
      </c>
      <c r="H1197" s="12"/>
      <c r="I1197" s="11">
        <v>13</v>
      </c>
      <c r="J1197" s="10">
        <v>0.11</v>
      </c>
      <c r="K1197" s="10">
        <f>+I1197*J1197</f>
        <v>1.43</v>
      </c>
      <c r="L1197" s="12"/>
      <c r="M1197" s="11"/>
      <c r="N1197" s="10"/>
      <c r="O1197" s="10">
        <f>+M1197*N1197</f>
        <v>0</v>
      </c>
      <c r="P1197" s="12"/>
      <c r="Q1197" s="56">
        <f>+(I1197)/($I$1203)</f>
        <v>5.9182372757898574E-2</v>
      </c>
    </row>
    <row r="1198" spans="1:17" ht="30" x14ac:dyDescent="0.25">
      <c r="A1198" s="15"/>
      <c r="B1198" s="14" t="s">
        <v>63</v>
      </c>
      <c r="C1198" s="13" t="s">
        <v>62</v>
      </c>
      <c r="D1198" s="12"/>
      <c r="E1198" s="11">
        <v>2</v>
      </c>
      <c r="F1198" s="10">
        <v>8.0399999999999991</v>
      </c>
      <c r="G1198" s="10">
        <f t="shared" si="67"/>
        <v>16.079999999999998</v>
      </c>
      <c r="H1198" s="12"/>
      <c r="I1198" s="11">
        <v>21</v>
      </c>
      <c r="J1198" s="10">
        <v>8.2200000000000006</v>
      </c>
      <c r="K1198" s="10">
        <f t="shared" si="68"/>
        <v>172.62</v>
      </c>
      <c r="L1198" s="12"/>
      <c r="M1198" s="11"/>
      <c r="N1198" s="10"/>
      <c r="O1198" s="10">
        <f t="shared" si="69"/>
        <v>0</v>
      </c>
      <c r="P1198" s="12"/>
      <c r="Q1198" s="56">
        <f>+(E1198+I1198)/($E$1203+$I$1203)</f>
        <v>4.8000667835378583E-2</v>
      </c>
    </row>
    <row r="1199" spans="1:17" ht="30" x14ac:dyDescent="0.25">
      <c r="A1199" s="15"/>
      <c r="B1199" s="14" t="s">
        <v>237</v>
      </c>
      <c r="C1199" s="13" t="s">
        <v>236</v>
      </c>
      <c r="D1199" s="12"/>
      <c r="E1199" s="11"/>
      <c r="F1199" s="10"/>
      <c r="G1199" s="10">
        <f>+E1199*F1199</f>
        <v>0</v>
      </c>
      <c r="H1199" s="12"/>
      <c r="I1199" s="11">
        <v>28</v>
      </c>
      <c r="J1199" s="10">
        <v>11.91</v>
      </c>
      <c r="K1199" s="10">
        <f>+I1199*J1199</f>
        <v>333.48</v>
      </c>
      <c r="L1199" s="12"/>
      <c r="M1199" s="11"/>
      <c r="N1199" s="10"/>
      <c r="O1199" s="10">
        <f>+M1199*N1199</f>
        <v>0</v>
      </c>
      <c r="P1199" s="12"/>
      <c r="Q1199" s="56">
        <f>+(I1199)/($I$1203)</f>
        <v>0.12746972594008923</v>
      </c>
    </row>
    <row r="1200" spans="1:17" ht="30" x14ac:dyDescent="0.25">
      <c r="A1200" s="15"/>
      <c r="B1200" s="14" t="s">
        <v>246</v>
      </c>
      <c r="C1200" s="13" t="s">
        <v>15</v>
      </c>
      <c r="D1200" s="12"/>
      <c r="E1200" s="11">
        <v>37</v>
      </c>
      <c r="F1200" s="10">
        <v>15.93</v>
      </c>
      <c r="G1200" s="10">
        <f>+E1200*F1200</f>
        <v>589.41</v>
      </c>
      <c r="H1200" s="12"/>
      <c r="I1200" s="11"/>
      <c r="J1200" s="10"/>
      <c r="K1200" s="10">
        <f>+I1200*J1200</f>
        <v>0</v>
      </c>
      <c r="L1200" s="12"/>
      <c r="M1200" s="11"/>
      <c r="N1200" s="10"/>
      <c r="O1200" s="10">
        <f>+M1200*N1200</f>
        <v>0</v>
      </c>
      <c r="P1200" s="12"/>
      <c r="Q1200" s="56">
        <f>+(E1200)/($E$1203)</f>
        <v>0.14258188824662812</v>
      </c>
    </row>
    <row r="1201" spans="1:17" ht="15.75" thickBot="1" x14ac:dyDescent="0.3">
      <c r="A1201" s="15"/>
      <c r="B1201" s="14"/>
      <c r="C1201" s="13"/>
      <c r="D1201" s="12"/>
      <c r="E1201" s="11"/>
      <c r="F1201" s="10"/>
      <c r="G1201" s="10">
        <f t="shared" si="67"/>
        <v>0</v>
      </c>
      <c r="H1201" s="12"/>
      <c r="I1201" s="11"/>
      <c r="J1201" s="10"/>
      <c r="K1201" s="10">
        <f t="shared" si="68"/>
        <v>0</v>
      </c>
      <c r="L1201" s="12"/>
      <c r="M1201" s="11"/>
      <c r="N1201" s="10"/>
      <c r="O1201" s="10">
        <f t="shared" si="69"/>
        <v>0</v>
      </c>
      <c r="P1201" s="12"/>
      <c r="Q1201" s="46"/>
    </row>
    <row r="1202" spans="1:17" ht="16.5" thickBot="1" x14ac:dyDescent="0.3">
      <c r="A1202" s="62" t="s">
        <v>5</v>
      </c>
      <c r="B1202" s="63"/>
      <c r="C1202" s="63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6"/>
      <c r="P1202" s="17"/>
      <c r="Q1202" s="46"/>
    </row>
    <row r="1203" spans="1:17" x14ac:dyDescent="0.25">
      <c r="A1203" s="15"/>
      <c r="B1203" s="14" t="s">
        <v>235</v>
      </c>
      <c r="C1203" s="13" t="s">
        <v>3</v>
      </c>
      <c r="D1203" s="12"/>
      <c r="E1203" s="11">
        <v>259.5</v>
      </c>
      <c r="F1203" s="42">
        <v>6.37</v>
      </c>
      <c r="G1203" s="10">
        <f>+E1203*F1203</f>
        <v>1653.0150000000001</v>
      </c>
      <c r="H1203" s="12"/>
      <c r="I1203" s="11">
        <v>219.66</v>
      </c>
      <c r="J1203" s="10">
        <v>6.37</v>
      </c>
      <c r="K1203" s="10">
        <f>+I1203*J1203</f>
        <v>1399.2342000000001</v>
      </c>
      <c r="L1203" s="12"/>
      <c r="M1203" s="11"/>
      <c r="N1203" s="10"/>
      <c r="O1203" s="10">
        <f>+M1203*N1203</f>
        <v>0</v>
      </c>
      <c r="P1203" s="12"/>
      <c r="Q1203" s="46"/>
    </row>
    <row r="1204" spans="1:17" ht="15.75" thickBot="1" x14ac:dyDescent="0.3">
      <c r="A1204" s="15"/>
      <c r="B1204" s="14"/>
      <c r="C1204" s="13"/>
      <c r="D1204" s="12"/>
      <c r="E1204" s="11"/>
      <c r="F1204" s="10"/>
      <c r="G1204" s="10">
        <f>+E1204*F1204</f>
        <v>0</v>
      </c>
      <c r="H1204" s="12"/>
      <c r="I1204" s="11"/>
      <c r="J1204" s="10"/>
      <c r="K1204" s="10">
        <f>+I1204*J1204</f>
        <v>0</v>
      </c>
      <c r="L1204" s="12"/>
      <c r="M1204" s="11"/>
      <c r="N1204" s="10"/>
      <c r="O1204" s="10">
        <f>+M1204*N1204</f>
        <v>0</v>
      </c>
      <c r="P1204" s="12"/>
      <c r="Q1204" s="46"/>
    </row>
    <row r="1205" spans="1:17" ht="16.5" thickBot="1" x14ac:dyDescent="0.3">
      <c r="A1205" s="62" t="s">
        <v>2</v>
      </c>
      <c r="B1205" s="63"/>
      <c r="C1205" s="63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6"/>
      <c r="P1205" s="17"/>
      <c r="Q1205" s="46"/>
    </row>
    <row r="1206" spans="1:17" x14ac:dyDescent="0.25">
      <c r="A1206" s="15"/>
      <c r="B1206" s="14" t="s">
        <v>234</v>
      </c>
      <c r="C1206" s="13" t="s">
        <v>15</v>
      </c>
      <c r="D1206" s="12"/>
      <c r="E1206" s="11">
        <v>166</v>
      </c>
      <c r="F1206" s="10">
        <v>0.36</v>
      </c>
      <c r="G1206" s="10">
        <f>+E1206*F1206</f>
        <v>59.76</v>
      </c>
      <c r="H1206" s="12"/>
      <c r="I1206" s="11">
        <v>408</v>
      </c>
      <c r="J1206" s="10">
        <v>0.36</v>
      </c>
      <c r="K1206" s="10">
        <f>+I1206*J1206</f>
        <v>146.88</v>
      </c>
      <c r="L1206" s="12"/>
      <c r="M1206" s="11"/>
      <c r="N1206" s="10"/>
      <c r="O1206" s="10">
        <f>+M1206*N1206</f>
        <v>0</v>
      </c>
      <c r="P1206" s="12"/>
      <c r="Q1206" s="56">
        <f>+(E1206+I1206)/($E$1203+$I$1203)</f>
        <v>1.1979297103264046</v>
      </c>
    </row>
    <row r="1207" spans="1:17" x14ac:dyDescent="0.25">
      <c r="A1207" s="15"/>
      <c r="B1207" s="14" t="s">
        <v>233</v>
      </c>
      <c r="C1207" s="13" t="s">
        <v>15</v>
      </c>
      <c r="D1207" s="12"/>
      <c r="E1207" s="11">
        <v>166</v>
      </c>
      <c r="F1207" s="10">
        <v>0.09</v>
      </c>
      <c r="G1207" s="10">
        <f>+E1207*F1207</f>
        <v>14.94</v>
      </c>
      <c r="H1207" s="12"/>
      <c r="I1207" s="11">
        <v>408</v>
      </c>
      <c r="J1207" s="10">
        <v>0.09</v>
      </c>
      <c r="K1207" s="10">
        <f>+I1207*J1207</f>
        <v>36.72</v>
      </c>
      <c r="L1207" s="12"/>
      <c r="M1207" s="11"/>
      <c r="N1207" s="10"/>
      <c r="O1207" s="10">
        <f>+M1207*N1207</f>
        <v>0</v>
      </c>
      <c r="P1207" s="12"/>
      <c r="Q1207" s="56">
        <f>+(E1207+I1207)/($E$1203+$I$1203)</f>
        <v>1.1979297103264046</v>
      </c>
    </row>
    <row r="1208" spans="1:17" x14ac:dyDescent="0.25">
      <c r="A1208" s="15"/>
      <c r="B1208" s="14"/>
      <c r="C1208" s="13"/>
      <c r="D1208" s="12"/>
      <c r="E1208" s="11"/>
      <c r="F1208" s="10"/>
      <c r="G1208" s="10">
        <f>+E1208*F1208</f>
        <v>0</v>
      </c>
      <c r="H1208" s="12"/>
      <c r="I1208" s="11"/>
      <c r="J1208" s="10"/>
      <c r="K1208" s="10">
        <f>+I1208*J1208</f>
        <v>0</v>
      </c>
      <c r="L1208" s="12"/>
      <c r="M1208" s="11"/>
      <c r="N1208" s="10"/>
      <c r="O1208" s="10">
        <f>+M1208*N1208</f>
        <v>0</v>
      </c>
      <c r="P1208" s="12"/>
      <c r="Q1208" s="46"/>
    </row>
    <row r="1209" spans="1:17" ht="15.75" thickBot="1" x14ac:dyDescent="0.3">
      <c r="Q1209" s="46"/>
    </row>
    <row r="1210" spans="1:17" ht="21" thickBot="1" x14ac:dyDescent="0.3">
      <c r="A1210" s="64" t="s">
        <v>1</v>
      </c>
      <c r="B1210" s="65"/>
      <c r="C1210" s="66"/>
      <c r="D1210" s="5"/>
      <c r="E1210" s="9"/>
      <c r="F1210" s="8"/>
      <c r="G1210" s="7">
        <f>SUM(G1172:G1209)</f>
        <v>3453.874800000001</v>
      </c>
      <c r="H1210" s="5"/>
      <c r="I1210" s="9"/>
      <c r="J1210" s="8"/>
      <c r="K1210" s="7">
        <f>SUM(K1170:K1208)</f>
        <v>3250.6165999999998</v>
      </c>
      <c r="L1210" s="5"/>
      <c r="M1210" s="9"/>
      <c r="N1210" s="8"/>
      <c r="O1210" s="7">
        <f>SUM(O1170:O1208)</f>
        <v>0</v>
      </c>
      <c r="P1210" s="5"/>
      <c r="Q1210" s="46"/>
    </row>
    <row r="1211" spans="1:17" ht="21" thickBot="1" x14ac:dyDescent="0.3">
      <c r="A1211" s="60" t="s">
        <v>0</v>
      </c>
      <c r="B1211" s="61"/>
      <c r="C1211" s="61"/>
      <c r="D1211" s="5"/>
      <c r="E1211" s="4"/>
      <c r="F1211" s="3"/>
      <c r="G1211" s="6">
        <f>+G1210/E1203</f>
        <v>13.309729479768789</v>
      </c>
      <c r="H1211" s="5"/>
      <c r="I1211" s="4"/>
      <c r="J1211" s="3"/>
      <c r="K1211" s="6">
        <f>+K1210/I1203</f>
        <v>14.798400254939452</v>
      </c>
      <c r="L1211" s="5"/>
      <c r="M1211" s="4"/>
      <c r="N1211" s="3"/>
      <c r="O1211" s="6" t="e">
        <f>+O1210/M1203</f>
        <v>#DIV/0!</v>
      </c>
      <c r="P1211" s="5"/>
      <c r="Q1211" s="46"/>
    </row>
    <row r="1212" spans="1:17" x14ac:dyDescent="0.25">
      <c r="Q1212" s="46"/>
    </row>
    <row r="1213" spans="1:17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46"/>
    </row>
    <row r="1214" spans="1:17" ht="15.75" thickBot="1" x14ac:dyDescent="0.3">
      <c r="K1214" s="38"/>
      <c r="Q1214" s="46"/>
    </row>
    <row r="1215" spans="1:17" ht="16.5" thickBot="1" x14ac:dyDescent="0.3">
      <c r="A1215" s="20" t="s">
        <v>232</v>
      </c>
      <c r="B1215" s="19" t="s">
        <v>231</v>
      </c>
      <c r="C1215" s="18" t="s">
        <v>3</v>
      </c>
      <c r="Q1215" s="46"/>
    </row>
    <row r="1216" spans="1:17" ht="15.75" thickBot="1" x14ac:dyDescent="0.3">
      <c r="Q1216" s="46"/>
    </row>
    <row r="1217" spans="1:17" ht="16.5" thickBot="1" x14ac:dyDescent="0.3">
      <c r="A1217" s="62" t="s">
        <v>11</v>
      </c>
      <c r="B1217" s="63"/>
      <c r="C1217" s="63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6"/>
      <c r="P1217" s="17"/>
      <c r="Q1217" s="46"/>
    </row>
    <row r="1218" spans="1:17" ht="18" x14ac:dyDescent="0.25">
      <c r="A1218" s="15"/>
      <c r="B1218" s="14" t="s">
        <v>176</v>
      </c>
      <c r="C1218" s="13" t="s">
        <v>42</v>
      </c>
      <c r="D1218" s="12"/>
      <c r="E1218" s="11">
        <v>0.88</v>
      </c>
      <c r="F1218" s="10">
        <v>13.4</v>
      </c>
      <c r="G1218" s="10">
        <f t="shared" ref="G1218:G1234" si="70">+E1218*F1218</f>
        <v>11.792</v>
      </c>
      <c r="H1218" s="12"/>
      <c r="I1218" s="11"/>
      <c r="J1218" s="10"/>
      <c r="K1218" s="10">
        <f t="shared" ref="K1218:K1234" si="71">+I1218*J1218</f>
        <v>0</v>
      </c>
      <c r="L1218" s="12"/>
      <c r="M1218" s="11"/>
      <c r="N1218" s="10"/>
      <c r="O1218" s="10">
        <f t="shared" ref="O1218:O1234" si="72">+M1218*N1218</f>
        <v>0</v>
      </c>
      <c r="P1218" s="12"/>
      <c r="Q1218" s="56">
        <f>+(E1218)/($E$1236)</f>
        <v>1.2109536259804595E-2</v>
      </c>
    </row>
    <row r="1219" spans="1:17" x14ac:dyDescent="0.25">
      <c r="A1219" s="15"/>
      <c r="B1219" s="14" t="s">
        <v>48</v>
      </c>
      <c r="C1219" s="13" t="s">
        <v>8</v>
      </c>
      <c r="D1219" s="12"/>
      <c r="E1219" s="11">
        <v>13</v>
      </c>
      <c r="F1219" s="10">
        <v>6.59</v>
      </c>
      <c r="G1219" s="10">
        <f t="shared" si="70"/>
        <v>85.67</v>
      </c>
      <c r="H1219" s="12"/>
      <c r="I1219" s="11">
        <v>29</v>
      </c>
      <c r="J1219" s="10">
        <v>6.79</v>
      </c>
      <c r="K1219" s="10">
        <f t="shared" si="71"/>
        <v>196.91</v>
      </c>
      <c r="L1219" s="12"/>
      <c r="M1219" s="11"/>
      <c r="N1219" s="10"/>
      <c r="O1219" s="10">
        <f t="shared" si="72"/>
        <v>0</v>
      </c>
      <c r="P1219" s="12"/>
      <c r="Q1219" s="56">
        <f>+(E1219+I1219)/($E$1236+$I$1236)</f>
        <v>0.30327099429561699</v>
      </c>
    </row>
    <row r="1220" spans="1:17" ht="30" x14ac:dyDescent="0.25">
      <c r="A1220" s="15"/>
      <c r="B1220" s="14" t="s">
        <v>173</v>
      </c>
      <c r="C1220" s="13" t="s">
        <v>30</v>
      </c>
      <c r="D1220" s="12"/>
      <c r="E1220" s="11">
        <v>2.5</v>
      </c>
      <c r="F1220" s="10">
        <v>3.14</v>
      </c>
      <c r="G1220" s="10">
        <f>+E1220*F1220</f>
        <v>7.8500000000000005</v>
      </c>
      <c r="H1220" s="12"/>
      <c r="I1220" s="11">
        <v>1</v>
      </c>
      <c r="J1220" s="10"/>
      <c r="K1220" s="10">
        <f>+I1220*J1220</f>
        <v>0</v>
      </c>
      <c r="L1220" s="12"/>
      <c r="M1220" s="11"/>
      <c r="N1220" s="10"/>
      <c r="O1220" s="10">
        <f>+M1220*N1220</f>
        <v>0</v>
      </c>
      <c r="P1220" s="12"/>
      <c r="Q1220" s="56">
        <f>+(E1220+I1220)/($E$1236+$I$1236)</f>
        <v>2.5272582857968084E-2</v>
      </c>
    </row>
    <row r="1221" spans="1:17" x14ac:dyDescent="0.25">
      <c r="A1221" s="15"/>
      <c r="B1221" s="14" t="s">
        <v>230</v>
      </c>
      <c r="C1221" s="13" t="s">
        <v>30</v>
      </c>
      <c r="D1221" s="12"/>
      <c r="E1221" s="11">
        <v>0.5</v>
      </c>
      <c r="F1221" s="10">
        <v>3.08</v>
      </c>
      <c r="G1221" s="10">
        <f t="shared" si="70"/>
        <v>1.54</v>
      </c>
      <c r="H1221" s="12"/>
      <c r="I1221" s="11">
        <v>3</v>
      </c>
      <c r="J1221" s="10">
        <v>3.4</v>
      </c>
      <c r="K1221" s="10">
        <f t="shared" si="71"/>
        <v>10.199999999999999</v>
      </c>
      <c r="L1221" s="12"/>
      <c r="M1221" s="11"/>
      <c r="N1221" s="10"/>
      <c r="O1221" s="10">
        <f t="shared" si="72"/>
        <v>0</v>
      </c>
      <c r="P1221" s="12"/>
      <c r="Q1221" s="56">
        <f>+(E1221+I1221)/($E$1236+$I$1236)</f>
        <v>2.5272582857968084E-2</v>
      </c>
    </row>
    <row r="1222" spans="1:17" x14ac:dyDescent="0.25">
      <c r="A1222" s="15"/>
      <c r="B1222" s="14" t="s">
        <v>57</v>
      </c>
      <c r="C1222" s="13" t="s">
        <v>30</v>
      </c>
      <c r="D1222" s="12"/>
      <c r="E1222" s="11">
        <v>3</v>
      </c>
      <c r="F1222" s="10">
        <v>1.75</v>
      </c>
      <c r="G1222" s="10">
        <f t="shared" si="70"/>
        <v>5.25</v>
      </c>
      <c r="H1222" s="12"/>
      <c r="I1222" s="11">
        <v>1</v>
      </c>
      <c r="J1222" s="10">
        <v>2.2999999999999998</v>
      </c>
      <c r="K1222" s="10">
        <f t="shared" si="71"/>
        <v>2.2999999999999998</v>
      </c>
      <c r="L1222" s="12"/>
      <c r="M1222" s="11"/>
      <c r="N1222" s="10"/>
      <c r="O1222" s="10">
        <f t="shared" si="72"/>
        <v>0</v>
      </c>
      <c r="P1222" s="12"/>
      <c r="Q1222" s="56">
        <f>+(E1222+I1222)/($E$1236+$I$1236)</f>
        <v>2.888295183767781E-2</v>
      </c>
    </row>
    <row r="1223" spans="1:17" x14ac:dyDescent="0.25">
      <c r="A1223" s="15"/>
      <c r="B1223" s="14" t="s">
        <v>56</v>
      </c>
      <c r="C1223" s="13" t="s">
        <v>30</v>
      </c>
      <c r="D1223" s="12"/>
      <c r="E1223" s="11">
        <v>4</v>
      </c>
      <c r="F1223" s="10">
        <v>1.68</v>
      </c>
      <c r="G1223" s="10">
        <f t="shared" si="70"/>
        <v>6.72</v>
      </c>
      <c r="H1223" s="12"/>
      <c r="I1223" s="11"/>
      <c r="J1223" s="10"/>
      <c r="K1223" s="10">
        <f t="shared" si="71"/>
        <v>0</v>
      </c>
      <c r="L1223" s="12"/>
      <c r="M1223" s="11"/>
      <c r="N1223" s="10"/>
      <c r="O1223" s="10">
        <f t="shared" si="72"/>
        <v>0</v>
      </c>
      <c r="P1223" s="12"/>
      <c r="Q1223" s="56">
        <f>+(E1223)/($E$1236)</f>
        <v>5.5043346635475436E-2</v>
      </c>
    </row>
    <row r="1224" spans="1:17" ht="30" x14ac:dyDescent="0.25">
      <c r="A1224" s="15"/>
      <c r="B1224" s="14" t="s">
        <v>225</v>
      </c>
      <c r="C1224" s="13" t="s">
        <v>15</v>
      </c>
      <c r="D1224" s="12"/>
      <c r="E1224" s="11">
        <v>2</v>
      </c>
      <c r="F1224" s="10"/>
      <c r="G1224" s="10">
        <f>+E1224*F1224</f>
        <v>0</v>
      </c>
      <c r="H1224" s="12"/>
      <c r="I1224" s="11">
        <v>1</v>
      </c>
      <c r="J1224" s="10">
        <v>21.08</v>
      </c>
      <c r="K1224" s="10">
        <f>+I1224*J1224</f>
        <v>21.08</v>
      </c>
      <c r="L1224" s="12"/>
      <c r="M1224" s="11"/>
      <c r="N1224" s="10"/>
      <c r="O1224" s="10">
        <f>+M1224*N1224</f>
        <v>0</v>
      </c>
      <c r="P1224" s="12"/>
      <c r="Q1224" s="56">
        <f>+(E1224+I1224)/($E$1236+$I$1236)</f>
        <v>2.1662213878258358E-2</v>
      </c>
    </row>
    <row r="1225" spans="1:17" ht="30" x14ac:dyDescent="0.25">
      <c r="A1225" s="15"/>
      <c r="B1225" s="14" t="s">
        <v>229</v>
      </c>
      <c r="C1225" s="13" t="s">
        <v>15</v>
      </c>
      <c r="D1225" s="12"/>
      <c r="E1225" s="11">
        <v>6</v>
      </c>
      <c r="F1225" s="10">
        <v>5.31</v>
      </c>
      <c r="G1225" s="10">
        <f t="shared" si="70"/>
        <v>31.86</v>
      </c>
      <c r="H1225" s="12"/>
      <c r="I1225" s="11"/>
      <c r="J1225" s="10"/>
      <c r="K1225" s="10">
        <f t="shared" si="71"/>
        <v>0</v>
      </c>
      <c r="L1225" s="12"/>
      <c r="M1225" s="11"/>
      <c r="N1225" s="10"/>
      <c r="O1225" s="10">
        <f t="shared" si="72"/>
        <v>0</v>
      </c>
      <c r="P1225" s="12"/>
      <c r="Q1225" s="56">
        <f>+(E1225)/($E$1236)</f>
        <v>8.2565019953213151E-2</v>
      </c>
    </row>
    <row r="1226" spans="1:17" x14ac:dyDescent="0.25">
      <c r="A1226" s="15"/>
      <c r="B1226" s="14" t="s">
        <v>224</v>
      </c>
      <c r="C1226" s="13" t="s">
        <v>15</v>
      </c>
      <c r="D1226" s="12"/>
      <c r="E1226" s="11"/>
      <c r="F1226" s="10"/>
      <c r="G1226" s="10">
        <f>+E1226*F1226</f>
        <v>0</v>
      </c>
      <c r="H1226" s="12"/>
      <c r="I1226" s="11">
        <v>1</v>
      </c>
      <c r="J1226" s="10">
        <v>5.74</v>
      </c>
      <c r="K1226" s="10">
        <f>+I1226*J1226</f>
        <v>5.74</v>
      </c>
      <c r="L1226" s="12"/>
      <c r="M1226" s="11"/>
      <c r="N1226" s="10"/>
      <c r="O1226" s="10">
        <f>+M1226*N1226</f>
        <v>0</v>
      </c>
      <c r="P1226" s="12"/>
      <c r="Q1226" s="56">
        <f>+(I1226)/($I$1236)</f>
        <v>1.5192950470981466E-2</v>
      </c>
    </row>
    <row r="1227" spans="1:17" x14ac:dyDescent="0.25">
      <c r="A1227" s="15"/>
      <c r="B1227" s="14" t="s">
        <v>223</v>
      </c>
      <c r="C1227" s="13" t="s">
        <v>15</v>
      </c>
      <c r="D1227" s="12"/>
      <c r="E1227" s="11"/>
      <c r="F1227" s="10"/>
      <c r="G1227" s="10">
        <f>+E1227*F1227</f>
        <v>0</v>
      </c>
      <c r="H1227" s="12"/>
      <c r="I1227" s="11">
        <v>1</v>
      </c>
      <c r="J1227" s="10">
        <v>11.22</v>
      </c>
      <c r="K1227" s="10">
        <f>+I1227*J1227</f>
        <v>11.22</v>
      </c>
      <c r="L1227" s="12"/>
      <c r="M1227" s="11"/>
      <c r="N1227" s="10"/>
      <c r="O1227" s="10">
        <f>+M1227*N1227</f>
        <v>0</v>
      </c>
      <c r="P1227" s="12"/>
      <c r="Q1227" s="56">
        <f>+(I1227)/($I$1236)</f>
        <v>1.5192950470981466E-2</v>
      </c>
    </row>
    <row r="1228" spans="1:17" ht="18" x14ac:dyDescent="0.25">
      <c r="A1228" s="15"/>
      <c r="B1228" s="14" t="s">
        <v>7</v>
      </c>
      <c r="C1228" s="13" t="s">
        <v>42</v>
      </c>
      <c r="D1228" s="12"/>
      <c r="E1228" s="11">
        <v>0.16</v>
      </c>
      <c r="F1228" s="10">
        <v>13.31</v>
      </c>
      <c r="G1228" s="10">
        <f t="shared" si="70"/>
        <v>2.1295999999999999</v>
      </c>
      <c r="H1228" s="12"/>
      <c r="I1228" s="11">
        <v>1</v>
      </c>
      <c r="J1228" s="10">
        <v>17.03</v>
      </c>
      <c r="K1228" s="10">
        <f t="shared" si="71"/>
        <v>17.03</v>
      </c>
      <c r="L1228" s="12"/>
      <c r="M1228" s="11"/>
      <c r="N1228" s="10"/>
      <c r="O1228" s="10">
        <f t="shared" si="72"/>
        <v>0</v>
      </c>
      <c r="P1228" s="12"/>
      <c r="Q1228" s="56">
        <f>+(E1228+I1228)/($E$1236+$I$1236)</f>
        <v>8.376056032926564E-3</v>
      </c>
    </row>
    <row r="1229" spans="1:17" ht="18" x14ac:dyDescent="0.25">
      <c r="A1229" s="15"/>
      <c r="B1229" s="14" t="s">
        <v>45</v>
      </c>
      <c r="C1229" s="13" t="s">
        <v>42</v>
      </c>
      <c r="D1229" s="12"/>
      <c r="E1229" s="11">
        <v>0.88</v>
      </c>
      <c r="F1229" s="10">
        <v>13.75</v>
      </c>
      <c r="G1229" s="10">
        <f t="shared" si="70"/>
        <v>12.1</v>
      </c>
      <c r="H1229" s="12"/>
      <c r="I1229" s="11"/>
      <c r="J1229" s="10"/>
      <c r="K1229" s="10">
        <f t="shared" si="71"/>
        <v>0</v>
      </c>
      <c r="L1229" s="12"/>
      <c r="M1229" s="11"/>
      <c r="N1229" s="10"/>
      <c r="O1229" s="10">
        <f t="shared" si="72"/>
        <v>0</v>
      </c>
      <c r="P1229" s="12"/>
      <c r="Q1229" s="56">
        <f>+(E1229)/($E$1236)</f>
        <v>1.2109536259804595E-2</v>
      </c>
    </row>
    <row r="1230" spans="1:17" x14ac:dyDescent="0.25">
      <c r="A1230" s="15"/>
      <c r="B1230" s="14" t="s">
        <v>228</v>
      </c>
      <c r="C1230" s="13" t="s">
        <v>15</v>
      </c>
      <c r="D1230" s="12"/>
      <c r="E1230" s="11">
        <v>0.5</v>
      </c>
      <c r="F1230" s="10">
        <v>21.82</v>
      </c>
      <c r="G1230" s="10">
        <f t="shared" si="70"/>
        <v>10.91</v>
      </c>
      <c r="H1230" s="12"/>
      <c r="I1230" s="11"/>
      <c r="J1230" s="10"/>
      <c r="K1230" s="10">
        <f t="shared" si="71"/>
        <v>0</v>
      </c>
      <c r="L1230" s="12"/>
      <c r="M1230" s="11"/>
      <c r="N1230" s="10"/>
      <c r="O1230" s="10">
        <f t="shared" si="72"/>
        <v>0</v>
      </c>
      <c r="P1230" s="12"/>
      <c r="Q1230" s="56">
        <f>+(E1230)/($E$1236)</f>
        <v>6.8804183294344295E-3</v>
      </c>
    </row>
    <row r="1231" spans="1:17" x14ac:dyDescent="0.25">
      <c r="A1231" s="15"/>
      <c r="B1231" s="14" t="s">
        <v>53</v>
      </c>
      <c r="C1231" s="13" t="s">
        <v>15</v>
      </c>
      <c r="D1231" s="12"/>
      <c r="E1231" s="11"/>
      <c r="F1231" s="10"/>
      <c r="G1231" s="10">
        <f>+E1231*F1231</f>
        <v>0</v>
      </c>
      <c r="H1231" s="12"/>
      <c r="I1231" s="11">
        <v>1</v>
      </c>
      <c r="J1231" s="10">
        <v>2.39</v>
      </c>
      <c r="K1231" s="10">
        <f>+I1231*J1231</f>
        <v>2.39</v>
      </c>
      <c r="L1231" s="12"/>
      <c r="M1231" s="11"/>
      <c r="N1231" s="10"/>
      <c r="O1231" s="10">
        <f>+M1231*N1231</f>
        <v>0</v>
      </c>
      <c r="P1231" s="12"/>
      <c r="Q1231" s="56">
        <f>+(I1231)/($I$1236)</f>
        <v>1.5192950470981466E-2</v>
      </c>
    </row>
    <row r="1232" spans="1:17" ht="30" x14ac:dyDescent="0.25">
      <c r="A1232" s="15"/>
      <c r="B1232" s="14" t="s">
        <v>227</v>
      </c>
      <c r="C1232" s="13" t="s">
        <v>15</v>
      </c>
      <c r="D1232" s="12"/>
      <c r="E1232" s="11">
        <v>5</v>
      </c>
      <c r="F1232" s="10">
        <v>36.54</v>
      </c>
      <c r="G1232" s="10">
        <f t="shared" si="70"/>
        <v>182.7</v>
      </c>
      <c r="H1232" s="12"/>
      <c r="I1232" s="11">
        <v>2</v>
      </c>
      <c r="J1232" s="10">
        <v>37.130000000000003</v>
      </c>
      <c r="K1232" s="10">
        <f t="shared" si="71"/>
        <v>74.260000000000005</v>
      </c>
      <c r="L1232" s="12"/>
      <c r="M1232" s="11"/>
      <c r="N1232" s="10"/>
      <c r="O1232" s="10">
        <f t="shared" si="72"/>
        <v>0</v>
      </c>
      <c r="P1232" s="12"/>
      <c r="Q1232" s="56">
        <f>+(E1232+I1232)/($E$1236+$I$1236)</f>
        <v>5.0545165715936168E-2</v>
      </c>
    </row>
    <row r="1233" spans="1:17" ht="30" x14ac:dyDescent="0.25">
      <c r="A1233" s="15"/>
      <c r="B1233" s="14" t="s">
        <v>226</v>
      </c>
      <c r="C1233" s="13" t="s">
        <v>15</v>
      </c>
      <c r="D1233" s="12"/>
      <c r="E1233" s="11">
        <v>1</v>
      </c>
      <c r="F1233" s="10">
        <v>0.98</v>
      </c>
      <c r="G1233" s="10">
        <f t="shared" si="70"/>
        <v>0.98</v>
      </c>
      <c r="H1233" s="12"/>
      <c r="I1233" s="11">
        <v>3</v>
      </c>
      <c r="J1233" s="10">
        <v>0.86</v>
      </c>
      <c r="K1233" s="10">
        <f t="shared" si="71"/>
        <v>2.58</v>
      </c>
      <c r="L1233" s="12"/>
      <c r="M1233" s="11"/>
      <c r="N1233" s="10"/>
      <c r="O1233" s="10">
        <f t="shared" si="72"/>
        <v>0</v>
      </c>
      <c r="P1233" s="12"/>
      <c r="Q1233" s="56">
        <f>+(E1233+I1233)/($E$1236+$I$1236)</f>
        <v>2.888295183767781E-2</v>
      </c>
    </row>
    <row r="1234" spans="1:17" ht="15.75" thickBot="1" x14ac:dyDescent="0.3">
      <c r="A1234" s="15"/>
      <c r="B1234" s="14"/>
      <c r="C1234" s="13"/>
      <c r="D1234" s="12"/>
      <c r="E1234" s="11"/>
      <c r="F1234" s="10"/>
      <c r="G1234" s="10">
        <f t="shared" si="70"/>
        <v>0</v>
      </c>
      <c r="H1234" s="12"/>
      <c r="I1234" s="11"/>
      <c r="J1234" s="10"/>
      <c r="K1234" s="10">
        <f t="shared" si="71"/>
        <v>0</v>
      </c>
      <c r="L1234" s="12"/>
      <c r="M1234" s="11"/>
      <c r="N1234" s="10"/>
      <c r="O1234" s="10">
        <f t="shared" si="72"/>
        <v>0</v>
      </c>
      <c r="P1234" s="12"/>
      <c r="Q1234" s="46"/>
    </row>
    <row r="1235" spans="1:17" ht="16.5" thickBot="1" x14ac:dyDescent="0.3">
      <c r="A1235" s="62" t="s">
        <v>5</v>
      </c>
      <c r="B1235" s="63"/>
      <c r="C1235" s="63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6"/>
      <c r="P1235" s="17"/>
      <c r="Q1235" s="46"/>
    </row>
    <row r="1236" spans="1:17" x14ac:dyDescent="0.25">
      <c r="A1236" s="15"/>
      <c r="B1236" s="14" t="s">
        <v>221</v>
      </c>
      <c r="C1236" s="13" t="s">
        <v>3</v>
      </c>
      <c r="D1236" s="12"/>
      <c r="E1236" s="11">
        <v>72.67</v>
      </c>
      <c r="F1236" s="42">
        <v>9.4499999999999993</v>
      </c>
      <c r="G1236" s="10">
        <f>+E1236*F1236</f>
        <v>686.73149999999998</v>
      </c>
      <c r="H1236" s="12"/>
      <c r="I1236" s="11">
        <v>65.819999999999993</v>
      </c>
      <c r="J1236" s="10">
        <v>9.4499999999999993</v>
      </c>
      <c r="K1236" s="10">
        <f>+I1236*J1236</f>
        <v>621.99899999999991</v>
      </c>
      <c r="L1236" s="12"/>
      <c r="M1236" s="11"/>
      <c r="N1236" s="10"/>
      <c r="O1236" s="10">
        <f>+M1236*N1236</f>
        <v>0</v>
      </c>
      <c r="P1236" s="12"/>
      <c r="Q1236" s="46"/>
    </row>
    <row r="1237" spans="1:17" ht="15.75" thickBot="1" x14ac:dyDescent="0.3">
      <c r="A1237" s="15"/>
      <c r="B1237" s="14"/>
      <c r="C1237" s="13"/>
      <c r="D1237" s="12"/>
      <c r="E1237" s="11"/>
      <c r="F1237" s="10"/>
      <c r="G1237" s="10">
        <f>+E1237*F1237</f>
        <v>0</v>
      </c>
      <c r="H1237" s="12"/>
      <c r="I1237" s="11"/>
      <c r="J1237" s="10"/>
      <c r="K1237" s="10">
        <f>+I1237*J1237</f>
        <v>0</v>
      </c>
      <c r="L1237" s="12"/>
      <c r="M1237" s="11"/>
      <c r="N1237" s="10"/>
      <c r="O1237" s="10">
        <f>+M1237*N1237</f>
        <v>0</v>
      </c>
      <c r="P1237" s="12"/>
      <c r="Q1237" s="46"/>
    </row>
    <row r="1238" spans="1:17" ht="16.5" thickBot="1" x14ac:dyDescent="0.3">
      <c r="A1238" s="62" t="s">
        <v>2</v>
      </c>
      <c r="B1238" s="63"/>
      <c r="C1238" s="63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6"/>
      <c r="P1238" s="17"/>
      <c r="Q1238" s="46"/>
    </row>
    <row r="1239" spans="1:17" x14ac:dyDescent="0.25">
      <c r="A1239" s="15"/>
      <c r="B1239" s="14" t="s">
        <v>234</v>
      </c>
      <c r="C1239" s="13" t="s">
        <v>15</v>
      </c>
      <c r="D1239" s="12"/>
      <c r="E1239" s="11"/>
      <c r="F1239" s="10"/>
      <c r="G1239" s="10">
        <f>+E1239*F1239</f>
        <v>0</v>
      </c>
      <c r="H1239" s="12"/>
      <c r="I1239" s="11">
        <v>84</v>
      </c>
      <c r="J1239" s="10">
        <v>0.36</v>
      </c>
      <c r="K1239" s="10">
        <f>+I1239*J1239</f>
        <v>30.24</v>
      </c>
      <c r="L1239" s="12"/>
      <c r="M1239" s="11"/>
      <c r="N1239" s="10"/>
      <c r="O1239" s="10">
        <f>+M1239*N1239</f>
        <v>0</v>
      </c>
      <c r="P1239" s="12"/>
      <c r="Q1239" s="56">
        <f>+(I1239)/($I$1236)</f>
        <v>1.2762078395624432</v>
      </c>
    </row>
    <row r="1240" spans="1:17" x14ac:dyDescent="0.25">
      <c r="A1240" s="15"/>
      <c r="B1240" s="14" t="s">
        <v>233</v>
      </c>
      <c r="C1240" s="13" t="s">
        <v>15</v>
      </c>
      <c r="D1240" s="12"/>
      <c r="E1240" s="11"/>
      <c r="F1240" s="10"/>
      <c r="G1240" s="10">
        <f>+E1240*F1240</f>
        <v>0</v>
      </c>
      <c r="H1240" s="12"/>
      <c r="I1240" s="11">
        <v>84</v>
      </c>
      <c r="J1240" s="10">
        <v>0.09</v>
      </c>
      <c r="K1240" s="10">
        <f>+I1240*J1240</f>
        <v>7.56</v>
      </c>
      <c r="L1240" s="12"/>
      <c r="M1240" s="11"/>
      <c r="N1240" s="10"/>
      <c r="O1240" s="10">
        <f>+M1240*N1240</f>
        <v>0</v>
      </c>
      <c r="P1240" s="12"/>
      <c r="Q1240" s="56">
        <f>+(I1240)/($I$1236)</f>
        <v>1.2762078395624432</v>
      </c>
    </row>
    <row r="1241" spans="1:17" ht="15.75" thickBot="1" x14ac:dyDescent="0.3">
      <c r="Q1241" s="46"/>
    </row>
    <row r="1242" spans="1:17" ht="21" thickBot="1" x14ac:dyDescent="0.3">
      <c r="A1242" s="64" t="s">
        <v>1</v>
      </c>
      <c r="B1242" s="65"/>
      <c r="C1242" s="66"/>
      <c r="D1242" s="5"/>
      <c r="E1242" s="9"/>
      <c r="F1242" s="8"/>
      <c r="G1242" s="7">
        <f>SUM(G1217:G1241)</f>
        <v>1046.2330999999999</v>
      </c>
      <c r="H1242" s="5"/>
      <c r="I1242" s="9"/>
      <c r="J1242" s="8"/>
      <c r="K1242" s="7">
        <f>SUM(K1215:K1240)</f>
        <v>1003.5089999999998</v>
      </c>
      <c r="L1242" s="5"/>
      <c r="M1242" s="9"/>
      <c r="N1242" s="8"/>
      <c r="O1242" s="7">
        <f>SUM(O1215:O1240)</f>
        <v>0</v>
      </c>
      <c r="P1242" s="5"/>
      <c r="Q1242" s="46"/>
    </row>
    <row r="1243" spans="1:17" ht="21" thickBot="1" x14ac:dyDescent="0.3">
      <c r="A1243" s="60" t="s">
        <v>0</v>
      </c>
      <c r="B1243" s="61"/>
      <c r="C1243" s="61"/>
      <c r="D1243" s="5"/>
      <c r="E1243" s="4"/>
      <c r="F1243" s="3"/>
      <c r="G1243" s="6">
        <f>+G1242/E1236</f>
        <v>14.397042796202008</v>
      </c>
      <c r="H1243" s="5"/>
      <c r="I1243" s="4"/>
      <c r="J1243" s="3"/>
      <c r="K1243" s="6">
        <f>+K1242/I1236</f>
        <v>15.246262534184137</v>
      </c>
      <c r="L1243" s="5"/>
      <c r="M1243" s="4"/>
      <c r="N1243" s="3"/>
      <c r="O1243" s="6" t="e">
        <f>+O1242/M1236</f>
        <v>#DIV/0!</v>
      </c>
      <c r="P1243" s="5"/>
      <c r="Q1243" s="46"/>
    </row>
    <row r="1244" spans="1:17" x14ac:dyDescent="0.25">
      <c r="Q1244" s="46"/>
    </row>
    <row r="1245" spans="1:17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46"/>
    </row>
    <row r="1246" spans="1:17" ht="15.75" thickBot="1" x14ac:dyDescent="0.3">
      <c r="Q1246" s="46"/>
    </row>
    <row r="1247" spans="1:17" ht="16.5" thickBot="1" x14ac:dyDescent="0.3">
      <c r="A1247" s="20" t="s">
        <v>220</v>
      </c>
      <c r="B1247" s="19" t="s">
        <v>219</v>
      </c>
      <c r="C1247" s="18" t="s">
        <v>3</v>
      </c>
      <c r="Q1247" s="46"/>
    </row>
    <row r="1248" spans="1:17" ht="15.75" thickBot="1" x14ac:dyDescent="0.3">
      <c r="Q1248" s="46"/>
    </row>
    <row r="1249" spans="1:17" ht="16.5" thickBot="1" x14ac:dyDescent="0.3">
      <c r="A1249" s="62" t="s">
        <v>11</v>
      </c>
      <c r="B1249" s="63"/>
      <c r="C1249" s="63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6"/>
      <c r="P1249" s="17"/>
      <c r="Q1249" s="46"/>
    </row>
    <row r="1250" spans="1:17" ht="15.75" thickBot="1" x14ac:dyDescent="0.3">
      <c r="A1250" s="15"/>
      <c r="B1250" s="14"/>
      <c r="C1250" s="13"/>
      <c r="D1250" s="12"/>
      <c r="E1250" s="11"/>
      <c r="F1250" s="10"/>
      <c r="G1250" s="10">
        <f>+E1250*F1250</f>
        <v>0</v>
      </c>
      <c r="H1250" s="12"/>
      <c r="I1250" s="11"/>
      <c r="J1250" s="10"/>
      <c r="K1250" s="10">
        <f>+I1250*J1250</f>
        <v>0</v>
      </c>
      <c r="L1250" s="12"/>
      <c r="M1250" s="11"/>
      <c r="N1250" s="10"/>
      <c r="O1250" s="10">
        <f>+M1250*N1250</f>
        <v>0</v>
      </c>
      <c r="P1250" s="12"/>
      <c r="Q1250" s="46"/>
    </row>
    <row r="1251" spans="1:17" ht="16.5" thickBot="1" x14ac:dyDescent="0.3">
      <c r="A1251" s="62" t="s">
        <v>5</v>
      </c>
      <c r="B1251" s="63"/>
      <c r="C1251" s="63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6"/>
      <c r="P1251" s="17"/>
      <c r="Q1251" s="46"/>
    </row>
    <row r="1252" spans="1:17" x14ac:dyDescent="0.25">
      <c r="A1252" s="15"/>
      <c r="B1252" s="14" t="s">
        <v>218</v>
      </c>
      <c r="C1252" s="13" t="s">
        <v>3</v>
      </c>
      <c r="D1252" s="12"/>
      <c r="E1252" s="11"/>
      <c r="F1252" s="10"/>
      <c r="G1252" s="10">
        <f>+E1252*F1252</f>
        <v>0</v>
      </c>
      <c r="H1252" s="12"/>
      <c r="I1252" s="11">
        <v>15.46</v>
      </c>
      <c r="J1252" s="42">
        <v>2.8</v>
      </c>
      <c r="K1252" s="10">
        <f>+I1252*J1252</f>
        <v>43.287999999999997</v>
      </c>
      <c r="L1252" s="12"/>
      <c r="M1252" s="11"/>
      <c r="N1252" s="10"/>
      <c r="O1252" s="10">
        <f>+M1252*N1252</f>
        <v>0</v>
      </c>
      <c r="P1252" s="12"/>
      <c r="Q1252" s="46"/>
    </row>
    <row r="1253" spans="1:17" ht="15.75" thickBot="1" x14ac:dyDescent="0.3">
      <c r="A1253" s="15"/>
      <c r="B1253" s="14"/>
      <c r="C1253" s="13"/>
      <c r="D1253" s="12"/>
      <c r="E1253" s="11"/>
      <c r="F1253" s="10"/>
      <c r="G1253" s="10">
        <f>+E1253*F1253</f>
        <v>0</v>
      </c>
      <c r="H1253" s="12"/>
      <c r="I1253" s="11"/>
      <c r="J1253" s="10"/>
      <c r="K1253" s="10">
        <f>+I1253*J1253</f>
        <v>0</v>
      </c>
      <c r="L1253" s="12"/>
      <c r="M1253" s="11"/>
      <c r="N1253" s="10"/>
      <c r="O1253" s="10">
        <f>+M1253*N1253</f>
        <v>0</v>
      </c>
      <c r="P1253" s="12"/>
      <c r="Q1253" s="46"/>
    </row>
    <row r="1254" spans="1:17" ht="16.5" thickBot="1" x14ac:dyDescent="0.3">
      <c r="A1254" s="62" t="s">
        <v>2</v>
      </c>
      <c r="B1254" s="63"/>
      <c r="C1254" s="63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6"/>
      <c r="P1254" s="17"/>
      <c r="Q1254" s="46"/>
    </row>
    <row r="1255" spans="1:17" x14ac:dyDescent="0.25">
      <c r="A1255" s="15"/>
      <c r="B1255" s="14"/>
      <c r="C1255" s="13"/>
      <c r="D1255" s="12"/>
      <c r="E1255" s="11"/>
      <c r="F1255" s="10"/>
      <c r="G1255" s="10">
        <f>+E1255*F1255</f>
        <v>0</v>
      </c>
      <c r="H1255" s="12"/>
      <c r="I1255" s="11"/>
      <c r="J1255" s="10"/>
      <c r="K1255" s="10">
        <f>+I1255*J1255</f>
        <v>0</v>
      </c>
      <c r="L1255" s="12"/>
      <c r="M1255" s="11"/>
      <c r="N1255" s="10"/>
      <c r="O1255" s="10">
        <f>+M1255*N1255</f>
        <v>0</v>
      </c>
      <c r="P1255" s="12"/>
      <c r="Q1255" s="46"/>
    </row>
    <row r="1256" spans="1:17" ht="15.75" thickBot="1" x14ac:dyDescent="0.3">
      <c r="Q1256" s="46"/>
    </row>
    <row r="1257" spans="1:17" ht="21" thickBot="1" x14ac:dyDescent="0.3">
      <c r="A1257" s="64" t="s">
        <v>1</v>
      </c>
      <c r="B1257" s="65"/>
      <c r="C1257" s="66"/>
      <c r="D1257" s="5"/>
      <c r="E1257" s="9"/>
      <c r="F1257" s="8"/>
      <c r="G1257" s="7">
        <f>SUM(G1249:G1256)</f>
        <v>0</v>
      </c>
      <c r="H1257" s="5"/>
      <c r="I1257" s="9"/>
      <c r="J1257" s="8"/>
      <c r="K1257" s="7">
        <f>SUM(K1247:K1255)</f>
        <v>43.287999999999997</v>
      </c>
      <c r="L1257" s="5"/>
      <c r="M1257" s="9"/>
      <c r="N1257" s="8"/>
      <c r="O1257" s="7">
        <f>SUM(O1247:O1255)</f>
        <v>0</v>
      </c>
      <c r="P1257" s="5"/>
      <c r="Q1257" s="46"/>
    </row>
    <row r="1258" spans="1:17" ht="21" thickBot="1" x14ac:dyDescent="0.3">
      <c r="A1258" s="60" t="s">
        <v>0</v>
      </c>
      <c r="B1258" s="61"/>
      <c r="C1258" s="61"/>
      <c r="D1258" s="5"/>
      <c r="E1258" s="4"/>
      <c r="F1258" s="3"/>
      <c r="G1258" s="6" t="e">
        <f>+G1257/E1252</f>
        <v>#DIV/0!</v>
      </c>
      <c r="H1258" s="5"/>
      <c r="I1258" s="4"/>
      <c r="J1258" s="3"/>
      <c r="K1258" s="6">
        <f>+K1257/I1252</f>
        <v>2.8</v>
      </c>
      <c r="L1258" s="5"/>
      <c r="M1258" s="4"/>
      <c r="N1258" s="3"/>
      <c r="O1258" s="6" t="e">
        <f>+O1257/M1252</f>
        <v>#DIV/0!</v>
      </c>
      <c r="P1258" s="5"/>
      <c r="Q1258" s="46"/>
    </row>
    <row r="1259" spans="1:17" x14ac:dyDescent="0.25">
      <c r="Q1259" s="46"/>
    </row>
    <row r="1260" spans="1:17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46"/>
    </row>
    <row r="1261" spans="1:17" ht="15.75" thickBot="1" x14ac:dyDescent="0.3">
      <c r="Q1261" s="46"/>
    </row>
    <row r="1262" spans="1:17" ht="16.5" thickBot="1" x14ac:dyDescent="0.3">
      <c r="A1262" s="20" t="s">
        <v>217</v>
      </c>
      <c r="B1262" s="19" t="s">
        <v>216</v>
      </c>
      <c r="C1262" s="18" t="s">
        <v>3</v>
      </c>
      <c r="Q1262" s="46"/>
    </row>
    <row r="1263" spans="1:17" ht="15.75" thickBot="1" x14ac:dyDescent="0.3">
      <c r="Q1263" s="46"/>
    </row>
    <row r="1264" spans="1:17" ht="16.5" thickBot="1" x14ac:dyDescent="0.3">
      <c r="A1264" s="62" t="s">
        <v>11</v>
      </c>
      <c r="B1264" s="63"/>
      <c r="C1264" s="63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6"/>
      <c r="P1264" s="17"/>
      <c r="Q1264" s="46"/>
    </row>
    <row r="1265" spans="1:17" ht="18" x14ac:dyDescent="0.25">
      <c r="A1265" s="15"/>
      <c r="B1265" s="14" t="s">
        <v>176</v>
      </c>
      <c r="C1265" s="13" t="s">
        <v>42</v>
      </c>
      <c r="D1265" s="12"/>
      <c r="E1265" s="11">
        <v>0.4</v>
      </c>
      <c r="F1265" s="10">
        <v>13.75</v>
      </c>
      <c r="G1265" s="10">
        <f t="shared" ref="G1265:G1272" si="73">+E1265*F1265</f>
        <v>5.5</v>
      </c>
      <c r="H1265" s="12"/>
      <c r="I1265" s="11"/>
      <c r="J1265" s="10"/>
      <c r="K1265" s="10">
        <f t="shared" ref="K1265:K1272" si="74">+I1265*J1265</f>
        <v>0</v>
      </c>
      <c r="L1265" s="12"/>
      <c r="M1265" s="11"/>
      <c r="N1265" s="10"/>
      <c r="O1265" s="10">
        <f t="shared" ref="O1265:O1272" si="75">+M1265*N1265</f>
        <v>0</v>
      </c>
      <c r="P1265" s="12"/>
      <c r="Q1265" s="56">
        <f>+(E1265)/($E$1274)</f>
        <v>5.0000000000000001E-3</v>
      </c>
    </row>
    <row r="1266" spans="1:17" x14ac:dyDescent="0.25">
      <c r="A1266" s="15"/>
      <c r="B1266" s="14" t="s">
        <v>48</v>
      </c>
      <c r="C1266" s="13" t="s">
        <v>174</v>
      </c>
      <c r="D1266" s="12"/>
      <c r="E1266" s="11">
        <v>5</v>
      </c>
      <c r="F1266" s="10">
        <v>6.59</v>
      </c>
      <c r="G1266" s="10">
        <f t="shared" si="73"/>
        <v>32.950000000000003</v>
      </c>
      <c r="H1266" s="12"/>
      <c r="I1266" s="11">
        <v>11</v>
      </c>
      <c r="J1266" s="10">
        <v>6.79</v>
      </c>
      <c r="K1266" s="10">
        <f t="shared" si="74"/>
        <v>74.69</v>
      </c>
      <c r="L1266" s="12"/>
      <c r="M1266" s="11">
        <v>17</v>
      </c>
      <c r="N1266" s="10">
        <v>6.71</v>
      </c>
      <c r="O1266" s="10">
        <f t="shared" si="75"/>
        <v>114.07</v>
      </c>
      <c r="P1266" s="12"/>
      <c r="Q1266" s="55">
        <f>+(E1266+I1266+M1266)/($E$1274+$I$1274+$M$1274)</f>
        <v>0.11222199551112021</v>
      </c>
    </row>
    <row r="1267" spans="1:17" x14ac:dyDescent="0.25">
      <c r="A1267" s="15"/>
      <c r="B1267" s="14" t="s">
        <v>7</v>
      </c>
      <c r="C1267" s="13" t="s">
        <v>6</v>
      </c>
      <c r="D1267" s="12"/>
      <c r="E1267" s="11"/>
      <c r="F1267" s="10"/>
      <c r="G1267" s="10">
        <f>+E1267*F1267</f>
        <v>0</v>
      </c>
      <c r="H1267" s="12"/>
      <c r="I1267" s="11">
        <v>1.44</v>
      </c>
      <c r="J1267" s="10">
        <v>15.17</v>
      </c>
      <c r="K1267" s="10">
        <f>+I1267*J1267</f>
        <v>21.844799999999999</v>
      </c>
      <c r="L1267" s="12"/>
      <c r="M1267" s="11">
        <v>2.04</v>
      </c>
      <c r="N1267" s="10">
        <v>13.45</v>
      </c>
      <c r="O1267" s="10">
        <f>+M1267*N1267</f>
        <v>27.437999999999999</v>
      </c>
      <c r="P1267" s="12"/>
      <c r="Q1267" s="56">
        <f>+(I1267)/($I$1274)</f>
        <v>1.9755796405542599E-2</v>
      </c>
    </row>
    <row r="1268" spans="1:17" ht="18" x14ac:dyDescent="0.25">
      <c r="A1268" s="15"/>
      <c r="B1268" s="14" t="s">
        <v>45</v>
      </c>
      <c r="C1268" s="13" t="s">
        <v>42</v>
      </c>
      <c r="D1268" s="12"/>
      <c r="E1268" s="11">
        <v>0.32</v>
      </c>
      <c r="F1268" s="10">
        <v>13.75</v>
      </c>
      <c r="G1268" s="10">
        <f t="shared" si="73"/>
        <v>4.4000000000000004</v>
      </c>
      <c r="H1268" s="12"/>
      <c r="I1268" s="11"/>
      <c r="J1268" s="10"/>
      <c r="K1268" s="10">
        <f t="shared" si="74"/>
        <v>0</v>
      </c>
      <c r="L1268" s="12"/>
      <c r="M1268" s="11"/>
      <c r="N1268" s="10"/>
      <c r="O1268" s="10">
        <f t="shared" si="75"/>
        <v>0</v>
      </c>
      <c r="P1268" s="12"/>
      <c r="Q1268" s="56">
        <f>+(E1268)/($E$1274)</f>
        <v>4.0000000000000001E-3</v>
      </c>
    </row>
    <row r="1269" spans="1:17" ht="18" x14ac:dyDescent="0.25">
      <c r="A1269" s="15"/>
      <c r="B1269" s="14" t="s">
        <v>212</v>
      </c>
      <c r="C1269" s="13" t="s">
        <v>42</v>
      </c>
      <c r="D1269" s="12"/>
      <c r="E1269" s="11">
        <v>0.32</v>
      </c>
      <c r="F1269" s="10">
        <v>13.75</v>
      </c>
      <c r="G1269" s="10">
        <f t="shared" si="73"/>
        <v>4.4000000000000004</v>
      </c>
      <c r="H1269" s="12"/>
      <c r="I1269" s="11">
        <v>1.1200000000000001</v>
      </c>
      <c r="J1269" s="10">
        <v>11.84</v>
      </c>
      <c r="K1269" s="10">
        <f t="shared" si="74"/>
        <v>13.260800000000001</v>
      </c>
      <c r="L1269" s="12"/>
      <c r="M1269" s="11">
        <v>0.76</v>
      </c>
      <c r="N1269" s="10">
        <v>14.79</v>
      </c>
      <c r="O1269" s="10">
        <f t="shared" si="75"/>
        <v>11.240399999999999</v>
      </c>
      <c r="P1269" s="12"/>
      <c r="Q1269" s="55">
        <f>+(E1269+I1269+M1269)/($E$1274+$I$1274+$M$1274)</f>
        <v>7.4814663674080137E-3</v>
      </c>
    </row>
    <row r="1270" spans="1:17" x14ac:dyDescent="0.25">
      <c r="A1270" s="15"/>
      <c r="B1270" s="14" t="s">
        <v>53</v>
      </c>
      <c r="C1270" s="13" t="s">
        <v>15</v>
      </c>
      <c r="D1270" s="12"/>
      <c r="E1270" s="11"/>
      <c r="F1270" s="10"/>
      <c r="G1270" s="10">
        <f t="shared" si="73"/>
        <v>0</v>
      </c>
      <c r="H1270" s="12"/>
      <c r="I1270" s="11">
        <v>10</v>
      </c>
      <c r="J1270" s="10">
        <v>2.5299999999999998</v>
      </c>
      <c r="K1270" s="10">
        <f t="shared" si="74"/>
        <v>25.299999999999997</v>
      </c>
      <c r="L1270" s="12"/>
      <c r="M1270" s="11"/>
      <c r="N1270" s="10"/>
      <c r="O1270" s="10">
        <f t="shared" si="75"/>
        <v>0</v>
      </c>
      <c r="P1270" s="12"/>
      <c r="Q1270" s="56">
        <f>+(I1270)/($I$1274)</f>
        <v>0.13719303059404583</v>
      </c>
    </row>
    <row r="1271" spans="1:17" ht="30" x14ac:dyDescent="0.25">
      <c r="A1271" s="15"/>
      <c r="B1271" s="14" t="s">
        <v>63</v>
      </c>
      <c r="C1271" s="13" t="s">
        <v>15</v>
      </c>
      <c r="D1271" s="12"/>
      <c r="E1271" s="11"/>
      <c r="F1271" s="10"/>
      <c r="G1271" s="10">
        <f t="shared" si="73"/>
        <v>0</v>
      </c>
      <c r="H1271" s="12"/>
      <c r="I1271" s="11">
        <v>1</v>
      </c>
      <c r="J1271" s="10">
        <v>8.3800000000000008</v>
      </c>
      <c r="K1271" s="10">
        <f t="shared" si="74"/>
        <v>8.3800000000000008</v>
      </c>
      <c r="L1271" s="12"/>
      <c r="M1271" s="11"/>
      <c r="N1271" s="10"/>
      <c r="O1271" s="10">
        <f t="shared" si="75"/>
        <v>0</v>
      </c>
      <c r="P1271" s="12"/>
      <c r="Q1271" s="56">
        <f>+(I1271)/($I$1274)</f>
        <v>1.3719303059404582E-2</v>
      </c>
    </row>
    <row r="1272" spans="1:17" ht="15.75" thickBot="1" x14ac:dyDescent="0.3">
      <c r="A1272" s="15"/>
      <c r="B1272" s="14"/>
      <c r="C1272" s="13"/>
      <c r="D1272" s="12"/>
      <c r="E1272" s="11"/>
      <c r="F1272" s="10"/>
      <c r="G1272" s="10">
        <f t="shared" si="73"/>
        <v>0</v>
      </c>
      <c r="H1272" s="12"/>
      <c r="I1272" s="11"/>
      <c r="J1272" s="10"/>
      <c r="K1272" s="10">
        <f t="shared" si="74"/>
        <v>0</v>
      </c>
      <c r="L1272" s="12"/>
      <c r="M1272" s="11"/>
      <c r="N1272" s="10"/>
      <c r="O1272" s="10">
        <f t="shared" si="75"/>
        <v>0</v>
      </c>
      <c r="P1272" s="12"/>
      <c r="Q1272" s="46"/>
    </row>
    <row r="1273" spans="1:17" ht="16.5" thickBot="1" x14ac:dyDescent="0.3">
      <c r="A1273" s="62" t="s">
        <v>5</v>
      </c>
      <c r="B1273" s="63"/>
      <c r="C1273" s="63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6"/>
      <c r="P1273" s="17"/>
      <c r="Q1273" s="46"/>
    </row>
    <row r="1274" spans="1:17" x14ac:dyDescent="0.25">
      <c r="A1274" s="15"/>
      <c r="B1274" s="14" t="s">
        <v>215</v>
      </c>
      <c r="C1274" s="13" t="s">
        <v>3</v>
      </c>
      <c r="D1274" s="12"/>
      <c r="E1274" s="11">
        <v>80</v>
      </c>
      <c r="F1274" s="10">
        <v>6.38</v>
      </c>
      <c r="G1274" s="10">
        <f>+E1274*F1274</f>
        <v>510.4</v>
      </c>
      <c r="H1274" s="12"/>
      <c r="I1274" s="11">
        <v>72.89</v>
      </c>
      <c r="J1274" s="10">
        <v>6.38</v>
      </c>
      <c r="K1274" s="10">
        <f>+I1274*J1274</f>
        <v>465.03820000000002</v>
      </c>
      <c r="L1274" s="12"/>
      <c r="M1274" s="11">
        <v>141.16999999999999</v>
      </c>
      <c r="N1274" s="10">
        <v>6.38</v>
      </c>
      <c r="O1274" s="10">
        <f>+M1274*N1274</f>
        <v>900.66459999999995</v>
      </c>
      <c r="P1274" s="12"/>
      <c r="Q1274" s="46"/>
    </row>
    <row r="1275" spans="1:17" ht="15.75" thickBot="1" x14ac:dyDescent="0.3">
      <c r="A1275" s="15"/>
      <c r="B1275" s="14"/>
      <c r="C1275" s="13"/>
      <c r="D1275" s="12"/>
      <c r="E1275" s="11"/>
      <c r="F1275" s="10"/>
      <c r="G1275" s="10">
        <f>+E1275*F1275</f>
        <v>0</v>
      </c>
      <c r="H1275" s="12"/>
      <c r="I1275" s="11"/>
      <c r="J1275" s="10"/>
      <c r="K1275" s="10">
        <f>+I1275*J1275</f>
        <v>0</v>
      </c>
      <c r="L1275" s="12"/>
      <c r="M1275" s="11"/>
      <c r="N1275" s="10"/>
      <c r="O1275" s="10">
        <f>+M1275*N1275</f>
        <v>0</v>
      </c>
      <c r="P1275" s="12"/>
      <c r="Q1275" s="46"/>
    </row>
    <row r="1276" spans="1:17" ht="16.5" thickBot="1" x14ac:dyDescent="0.3">
      <c r="A1276" s="62" t="s">
        <v>2</v>
      </c>
      <c r="B1276" s="63"/>
      <c r="C1276" s="63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6"/>
      <c r="P1276" s="17"/>
      <c r="Q1276" s="46"/>
    </row>
    <row r="1277" spans="1:17" x14ac:dyDescent="0.25">
      <c r="A1277" s="15"/>
      <c r="B1277" s="14"/>
      <c r="C1277" s="13"/>
      <c r="D1277" s="12"/>
      <c r="E1277" s="11"/>
      <c r="F1277" s="10"/>
      <c r="G1277" s="10">
        <f>+E1277*F1277</f>
        <v>0</v>
      </c>
      <c r="H1277" s="12"/>
      <c r="I1277" s="11"/>
      <c r="J1277" s="10"/>
      <c r="K1277" s="10">
        <f>+I1277*J1277</f>
        <v>0</v>
      </c>
      <c r="L1277" s="12"/>
      <c r="M1277" s="11"/>
      <c r="N1277" s="10"/>
      <c r="O1277" s="10">
        <f>+M1277*N1277</f>
        <v>0</v>
      </c>
      <c r="P1277" s="12"/>
      <c r="Q1277" s="46"/>
    </row>
    <row r="1278" spans="1:17" ht="15.75" thickBot="1" x14ac:dyDescent="0.3">
      <c r="Q1278" s="46"/>
    </row>
    <row r="1279" spans="1:17" ht="21" thickBot="1" x14ac:dyDescent="0.3">
      <c r="A1279" s="64" t="s">
        <v>1</v>
      </c>
      <c r="B1279" s="65"/>
      <c r="C1279" s="66"/>
      <c r="D1279" s="5"/>
      <c r="E1279" s="9"/>
      <c r="F1279" s="8"/>
      <c r="G1279" s="7">
        <f>SUM(G1264:G1278)</f>
        <v>557.65</v>
      </c>
      <c r="H1279" s="5"/>
      <c r="I1279" s="9"/>
      <c r="J1279" s="8"/>
      <c r="K1279" s="7">
        <f>SUM(K1262:K1277)</f>
        <v>608.51379999999995</v>
      </c>
      <c r="L1279" s="5"/>
      <c r="M1279" s="9"/>
      <c r="N1279" s="8"/>
      <c r="O1279" s="7">
        <f>SUM(O1262:O1277)</f>
        <v>1053.413</v>
      </c>
      <c r="P1279" s="5"/>
      <c r="Q1279" s="46"/>
    </row>
    <row r="1280" spans="1:17" ht="21" thickBot="1" x14ac:dyDescent="0.3">
      <c r="A1280" s="60" t="s">
        <v>0</v>
      </c>
      <c r="B1280" s="61"/>
      <c r="C1280" s="61"/>
      <c r="D1280" s="5"/>
      <c r="E1280" s="4"/>
      <c r="F1280" s="3"/>
      <c r="G1280" s="6">
        <f>+G1279/E1274</f>
        <v>6.9706250000000001</v>
      </c>
      <c r="H1280" s="5"/>
      <c r="I1280" s="4"/>
      <c r="J1280" s="3"/>
      <c r="K1280" s="6">
        <f>+K1279/I1274</f>
        <v>8.3483852380299073</v>
      </c>
      <c r="L1280" s="5"/>
      <c r="M1280" s="4"/>
      <c r="N1280" s="3"/>
      <c r="O1280" s="6">
        <f>+O1279/M1274</f>
        <v>7.4620174257986829</v>
      </c>
      <c r="P1280" s="5"/>
      <c r="Q1280" s="46"/>
    </row>
    <row r="1281" spans="1:17" x14ac:dyDescent="0.25">
      <c r="Q1281" s="46"/>
    </row>
    <row r="1282" spans="1:17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46"/>
    </row>
    <row r="1283" spans="1:17" ht="15.75" thickBot="1" x14ac:dyDescent="0.3">
      <c r="Q1283" s="46"/>
    </row>
    <row r="1284" spans="1:17" ht="16.5" thickBot="1" x14ac:dyDescent="0.3">
      <c r="A1284" s="20" t="s">
        <v>214</v>
      </c>
      <c r="B1284" s="19" t="s">
        <v>213</v>
      </c>
      <c r="C1284" s="18" t="s">
        <v>210</v>
      </c>
      <c r="Q1284" s="46"/>
    </row>
    <row r="1285" spans="1:17" ht="15.75" thickBot="1" x14ac:dyDescent="0.3">
      <c r="Q1285" s="46"/>
    </row>
    <row r="1286" spans="1:17" ht="16.5" thickBot="1" x14ac:dyDescent="0.3">
      <c r="A1286" s="62" t="s">
        <v>11</v>
      </c>
      <c r="B1286" s="63"/>
      <c r="C1286" s="63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6"/>
      <c r="P1286" s="17"/>
      <c r="Q1286" s="46"/>
    </row>
    <row r="1287" spans="1:17" x14ac:dyDescent="0.25">
      <c r="A1287" s="15"/>
      <c r="B1287" s="14" t="s">
        <v>261</v>
      </c>
      <c r="C1287" s="13"/>
      <c r="D1287" s="12"/>
      <c r="E1287" s="11"/>
      <c r="F1287" s="10">
        <v>6.59</v>
      </c>
      <c r="G1287" s="10">
        <f t="shared" ref="G1287:G1293" si="76">+E1287*F1287</f>
        <v>0</v>
      </c>
      <c r="H1287" s="12"/>
      <c r="I1287" s="11"/>
      <c r="J1287" s="10"/>
      <c r="K1287" s="10">
        <f t="shared" ref="K1287:K1293" si="77">+I1287*J1287</f>
        <v>0</v>
      </c>
      <c r="L1287" s="12"/>
      <c r="M1287" s="11">
        <v>0.48</v>
      </c>
      <c r="N1287" s="10">
        <v>12.27</v>
      </c>
      <c r="O1287" s="10">
        <f t="shared" ref="O1287:O1293" si="78">+M1287*N1287</f>
        <v>5.8895999999999997</v>
      </c>
      <c r="P1287" s="12"/>
      <c r="Q1287" s="56">
        <f>+M1287/M1295</f>
        <v>4.4817927170868341E-2</v>
      </c>
    </row>
    <row r="1288" spans="1:17" x14ac:dyDescent="0.25">
      <c r="A1288" s="15"/>
      <c r="B1288" s="14" t="s">
        <v>48</v>
      </c>
      <c r="C1288" s="13" t="s">
        <v>8</v>
      </c>
      <c r="D1288" s="12"/>
      <c r="E1288" s="11">
        <v>1</v>
      </c>
      <c r="F1288" s="10">
        <v>6.59</v>
      </c>
      <c r="G1288" s="10">
        <f t="shared" si="76"/>
        <v>6.59</v>
      </c>
      <c r="H1288" s="12"/>
      <c r="I1288" s="11">
        <v>2</v>
      </c>
      <c r="J1288" s="10">
        <v>6.79</v>
      </c>
      <c r="K1288" s="10">
        <f t="shared" si="77"/>
        <v>13.58</v>
      </c>
      <c r="L1288" s="12"/>
      <c r="M1288" s="11">
        <v>2</v>
      </c>
      <c r="N1288" s="10">
        <v>6.68</v>
      </c>
      <c r="O1288" s="10">
        <f t="shared" si="78"/>
        <v>13.36</v>
      </c>
      <c r="P1288" s="12"/>
      <c r="Q1288" s="55">
        <f>+(E1288+I1288+M1288)/($E$1295+$I$1295+$M$1295)</f>
        <v>0.31114264023198795</v>
      </c>
    </row>
    <row r="1289" spans="1:17" x14ac:dyDescent="0.25">
      <c r="A1289" s="15"/>
      <c r="B1289" s="14" t="s">
        <v>31</v>
      </c>
      <c r="C1289" s="13" t="s">
        <v>30</v>
      </c>
      <c r="D1289" s="12"/>
      <c r="E1289" s="11"/>
      <c r="F1289" s="10"/>
      <c r="G1289" s="10">
        <f t="shared" si="76"/>
        <v>0</v>
      </c>
      <c r="H1289" s="12"/>
      <c r="I1289" s="11"/>
      <c r="J1289" s="10"/>
      <c r="K1289" s="10">
        <f t="shared" si="77"/>
        <v>0</v>
      </c>
      <c r="L1289" s="12"/>
      <c r="M1289" s="11">
        <v>1</v>
      </c>
      <c r="N1289" s="10">
        <v>1.84</v>
      </c>
      <c r="O1289" s="10">
        <f t="shared" si="78"/>
        <v>1.84</v>
      </c>
      <c r="P1289" s="12"/>
      <c r="Q1289" s="56">
        <f>+M1289/M1295</f>
        <v>9.3370681605975711E-2</v>
      </c>
    </row>
    <row r="1290" spans="1:17" ht="18" x14ac:dyDescent="0.25">
      <c r="A1290" s="15"/>
      <c r="B1290" s="14" t="s">
        <v>45</v>
      </c>
      <c r="C1290" s="13" t="s">
        <v>42</v>
      </c>
      <c r="D1290" s="12"/>
      <c r="E1290" s="11">
        <v>0.16</v>
      </c>
      <c r="F1290" s="10">
        <v>13.75</v>
      </c>
      <c r="G1290" s="10">
        <f t="shared" si="76"/>
        <v>2.2000000000000002</v>
      </c>
      <c r="H1290" s="12"/>
      <c r="I1290" s="11"/>
      <c r="J1290" s="10"/>
      <c r="K1290" s="10">
        <f t="shared" si="77"/>
        <v>0</v>
      </c>
      <c r="L1290" s="12"/>
      <c r="M1290" s="11"/>
      <c r="N1290" s="10"/>
      <c r="O1290" s="10">
        <f t="shared" si="78"/>
        <v>0</v>
      </c>
      <c r="P1290" s="12"/>
      <c r="Q1290" s="56">
        <f>+(E1290)/($E$1295)</f>
        <v>0.08</v>
      </c>
    </row>
    <row r="1291" spans="1:17" ht="18" x14ac:dyDescent="0.25">
      <c r="A1291" s="15"/>
      <c r="B1291" s="14" t="s">
        <v>212</v>
      </c>
      <c r="C1291" s="13" t="s">
        <v>42</v>
      </c>
      <c r="D1291" s="12"/>
      <c r="E1291" s="11">
        <v>0.08</v>
      </c>
      <c r="F1291" s="10">
        <v>13.75</v>
      </c>
      <c r="G1291" s="10">
        <f t="shared" si="76"/>
        <v>1.1000000000000001</v>
      </c>
      <c r="H1291" s="12"/>
      <c r="I1291" s="11"/>
      <c r="J1291" s="10"/>
      <c r="K1291" s="10">
        <f t="shared" si="77"/>
        <v>0</v>
      </c>
      <c r="L1291" s="12"/>
      <c r="M1291" s="11"/>
      <c r="N1291" s="10"/>
      <c r="O1291" s="10">
        <f t="shared" si="78"/>
        <v>0</v>
      </c>
      <c r="P1291" s="12"/>
      <c r="Q1291" s="56">
        <f>+(E1291)/($E$1295)</f>
        <v>0.04</v>
      </c>
    </row>
    <row r="1292" spans="1:17" ht="30" x14ac:dyDescent="0.25">
      <c r="A1292" s="15"/>
      <c r="B1292" s="14" t="s">
        <v>16</v>
      </c>
      <c r="C1292" s="13" t="s">
        <v>15</v>
      </c>
      <c r="D1292" s="12"/>
      <c r="E1292" s="11"/>
      <c r="F1292" s="10"/>
      <c r="G1292" s="10">
        <f t="shared" si="76"/>
        <v>0</v>
      </c>
      <c r="H1292" s="12"/>
      <c r="I1292" s="11">
        <v>1</v>
      </c>
      <c r="J1292" s="10">
        <v>7.11</v>
      </c>
      <c r="K1292" s="10">
        <f t="shared" si="77"/>
        <v>7.11</v>
      </c>
      <c r="L1292" s="12"/>
      <c r="M1292" s="11"/>
      <c r="N1292" s="10"/>
      <c r="O1292" s="10">
        <f t="shared" si="78"/>
        <v>0</v>
      </c>
      <c r="P1292" s="12"/>
      <c r="Q1292" s="56">
        <f>+(I1292)/($I$1295)</f>
        <v>0.2976367640931008</v>
      </c>
    </row>
    <row r="1293" spans="1:17" ht="15.75" thickBot="1" x14ac:dyDescent="0.3">
      <c r="A1293" s="15"/>
      <c r="B1293" s="14"/>
      <c r="C1293" s="13"/>
      <c r="D1293" s="12"/>
      <c r="E1293" s="11"/>
      <c r="F1293" s="10"/>
      <c r="G1293" s="10">
        <f t="shared" si="76"/>
        <v>0</v>
      </c>
      <c r="H1293" s="12"/>
      <c r="I1293" s="11"/>
      <c r="J1293" s="10"/>
      <c r="K1293" s="10">
        <f t="shared" si="77"/>
        <v>0</v>
      </c>
      <c r="L1293" s="12"/>
      <c r="M1293" s="11"/>
      <c r="N1293" s="10"/>
      <c r="O1293" s="10">
        <f t="shared" si="78"/>
        <v>0</v>
      </c>
      <c r="P1293" s="12"/>
      <c r="Q1293" s="46"/>
    </row>
    <row r="1294" spans="1:17" ht="16.5" thickBot="1" x14ac:dyDescent="0.3">
      <c r="A1294" s="62" t="s">
        <v>5</v>
      </c>
      <c r="B1294" s="63"/>
      <c r="C1294" s="63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6"/>
      <c r="P1294" s="17"/>
      <c r="Q1294" s="46"/>
    </row>
    <row r="1295" spans="1:17" x14ac:dyDescent="0.25">
      <c r="A1295" s="15"/>
      <c r="B1295" s="14" t="s">
        <v>211</v>
      </c>
      <c r="C1295" s="13" t="s">
        <v>210</v>
      </c>
      <c r="D1295" s="12"/>
      <c r="E1295" s="11">
        <v>2</v>
      </c>
      <c r="F1295" s="42">
        <v>24</v>
      </c>
      <c r="G1295" s="10">
        <f>+E1295*F1295</f>
        <v>48</v>
      </c>
      <c r="H1295" s="12"/>
      <c r="I1295" s="11">
        <v>3.3597999999999999</v>
      </c>
      <c r="J1295" s="10">
        <v>22</v>
      </c>
      <c r="K1295" s="10">
        <f>+I1295*J1295</f>
        <v>73.915599999999998</v>
      </c>
      <c r="L1295" s="12"/>
      <c r="M1295" s="11">
        <v>10.71</v>
      </c>
      <c r="N1295" s="10">
        <v>30</v>
      </c>
      <c r="O1295" s="10">
        <f>+M1295*N1295</f>
        <v>321.3</v>
      </c>
      <c r="P1295" s="12"/>
      <c r="Q1295" s="46"/>
    </row>
    <row r="1296" spans="1:17" ht="15.75" thickBot="1" x14ac:dyDescent="0.3">
      <c r="A1296" s="15"/>
      <c r="B1296" s="14"/>
      <c r="C1296" s="13"/>
      <c r="D1296" s="12"/>
      <c r="E1296" s="11"/>
      <c r="F1296" s="10"/>
      <c r="G1296" s="10">
        <f>+E1296*F1296</f>
        <v>0</v>
      </c>
      <c r="H1296" s="12"/>
      <c r="I1296" s="11"/>
      <c r="J1296" s="10"/>
      <c r="K1296" s="10">
        <f>+I1296*J1296</f>
        <v>0</v>
      </c>
      <c r="L1296" s="12"/>
      <c r="M1296" s="11"/>
      <c r="N1296" s="10"/>
      <c r="O1296" s="10">
        <f>+M1296*N1296</f>
        <v>0</v>
      </c>
      <c r="P1296" s="12"/>
      <c r="Q1296" s="46"/>
    </row>
    <row r="1297" spans="1:17" ht="16.5" thickBot="1" x14ac:dyDescent="0.3">
      <c r="A1297" s="62" t="s">
        <v>2</v>
      </c>
      <c r="B1297" s="63"/>
      <c r="C1297" s="63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6"/>
      <c r="P1297" s="17"/>
      <c r="Q1297" s="46"/>
    </row>
    <row r="1298" spans="1:17" x14ac:dyDescent="0.25">
      <c r="A1298" s="15"/>
      <c r="B1298" s="14"/>
      <c r="C1298" s="13"/>
      <c r="D1298" s="12"/>
      <c r="E1298" s="11"/>
      <c r="F1298" s="10"/>
      <c r="G1298" s="10">
        <f>+E1298*F1298</f>
        <v>0</v>
      </c>
      <c r="H1298" s="12"/>
      <c r="I1298" s="11"/>
      <c r="J1298" s="10"/>
      <c r="K1298" s="10">
        <f>+I1298*J1298</f>
        <v>0</v>
      </c>
      <c r="L1298" s="12"/>
      <c r="M1298" s="11"/>
      <c r="N1298" s="10"/>
      <c r="O1298" s="10">
        <f>+M1298*N1298</f>
        <v>0</v>
      </c>
      <c r="P1298" s="12"/>
      <c r="Q1298" s="46"/>
    </row>
    <row r="1299" spans="1:17" ht="15.75" thickBot="1" x14ac:dyDescent="0.3">
      <c r="Q1299" s="46"/>
    </row>
    <row r="1300" spans="1:17" ht="21" thickBot="1" x14ac:dyDescent="0.3">
      <c r="A1300" s="64" t="s">
        <v>1</v>
      </c>
      <c r="B1300" s="65"/>
      <c r="C1300" s="66"/>
      <c r="D1300" s="5"/>
      <c r="E1300" s="9"/>
      <c r="F1300" s="8"/>
      <c r="G1300" s="7">
        <f>SUM(G1286:G1299)</f>
        <v>57.89</v>
      </c>
      <c r="H1300" s="5"/>
      <c r="I1300" s="9"/>
      <c r="J1300" s="8"/>
      <c r="K1300" s="7">
        <f>SUM(K1284:K1298)</f>
        <v>94.605599999999995</v>
      </c>
      <c r="L1300" s="5"/>
      <c r="M1300" s="9"/>
      <c r="N1300" s="8"/>
      <c r="O1300" s="7">
        <f>SUM(O1284:O1298)</f>
        <v>342.38960000000003</v>
      </c>
      <c r="P1300" s="5"/>
      <c r="Q1300" s="46"/>
    </row>
    <row r="1301" spans="1:17" ht="21" thickBot="1" x14ac:dyDescent="0.3">
      <c r="A1301" s="60" t="s">
        <v>0</v>
      </c>
      <c r="B1301" s="61"/>
      <c r="C1301" s="61"/>
      <c r="D1301" s="5"/>
      <c r="E1301" s="4"/>
      <c r="F1301" s="3"/>
      <c r="G1301" s="6">
        <f>+G1300/E1295</f>
        <v>28.945</v>
      </c>
      <c r="H1301" s="5"/>
      <c r="I1301" s="4"/>
      <c r="J1301" s="3"/>
      <c r="K1301" s="6">
        <f>+K1300/I1295</f>
        <v>28.158104649086255</v>
      </c>
      <c r="L1301" s="5"/>
      <c r="M1301" s="4"/>
      <c r="N1301" s="3"/>
      <c r="O1301" s="6">
        <f>+O1300/M1295</f>
        <v>31.969150326797386</v>
      </c>
      <c r="P1301" s="5"/>
      <c r="Q1301" s="46"/>
    </row>
    <row r="1302" spans="1:17" x14ac:dyDescent="0.25">
      <c r="Q1302" s="46"/>
    </row>
    <row r="1303" spans="1:17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46"/>
    </row>
    <row r="1304" spans="1:17" ht="15.75" thickBot="1" x14ac:dyDescent="0.3">
      <c r="Q1304" s="46"/>
    </row>
    <row r="1305" spans="1:17" ht="19.5" thickBot="1" x14ac:dyDescent="0.3">
      <c r="A1305" s="20" t="s">
        <v>209</v>
      </c>
      <c r="B1305" s="19" t="s">
        <v>208</v>
      </c>
      <c r="C1305" s="18" t="s">
        <v>19</v>
      </c>
      <c r="Q1305" s="46"/>
    </row>
    <row r="1306" spans="1:17" ht="15.75" thickBot="1" x14ac:dyDescent="0.3">
      <c r="Q1306" s="46"/>
    </row>
    <row r="1307" spans="1:17" ht="16.5" thickBot="1" x14ac:dyDescent="0.3">
      <c r="A1307" s="62" t="s">
        <v>11</v>
      </c>
      <c r="B1307" s="63"/>
      <c r="C1307" s="63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6"/>
      <c r="P1307" s="17"/>
      <c r="Q1307" s="46"/>
    </row>
    <row r="1308" spans="1:17" ht="18" x14ac:dyDescent="0.25">
      <c r="A1308" s="15"/>
      <c r="B1308" s="14" t="s">
        <v>176</v>
      </c>
      <c r="C1308" s="13" t="s">
        <v>42</v>
      </c>
      <c r="D1308" s="12"/>
      <c r="E1308" s="11">
        <v>0.56000000000000005</v>
      </c>
      <c r="F1308" s="10">
        <v>13.75</v>
      </c>
      <c r="G1308" s="10">
        <f>+E1308*F1308</f>
        <v>7.7000000000000011</v>
      </c>
      <c r="H1308" s="12"/>
      <c r="I1308" s="11"/>
      <c r="J1308" s="10"/>
      <c r="K1308" s="10">
        <f>+I1308*J1308</f>
        <v>0</v>
      </c>
      <c r="L1308" s="12"/>
      <c r="M1308" s="11"/>
      <c r="N1308" s="10"/>
      <c r="O1308" s="10">
        <f>+M1308*N1308</f>
        <v>0</v>
      </c>
      <c r="P1308" s="12"/>
      <c r="Q1308" s="56">
        <f>+(E1308)/($E$1312)</f>
        <v>8.5496183206106885E-2</v>
      </c>
    </row>
    <row r="1309" spans="1:17" x14ac:dyDescent="0.25">
      <c r="A1309" s="15"/>
      <c r="B1309" s="14" t="s">
        <v>48</v>
      </c>
      <c r="C1309" s="13" t="s">
        <v>174</v>
      </c>
      <c r="D1309" s="12"/>
      <c r="E1309" s="11">
        <v>3</v>
      </c>
      <c r="F1309" s="10">
        <v>6.59</v>
      </c>
      <c r="G1309" s="10">
        <f>+E1309*F1309</f>
        <v>19.77</v>
      </c>
      <c r="H1309" s="12"/>
      <c r="I1309" s="11">
        <v>3</v>
      </c>
      <c r="J1309" s="10">
        <v>6.79</v>
      </c>
      <c r="K1309" s="10">
        <f>+I1309*J1309</f>
        <v>20.37</v>
      </c>
      <c r="L1309" s="12"/>
      <c r="M1309" s="11"/>
      <c r="N1309" s="10"/>
      <c r="O1309" s="10">
        <f>+M1309*N1309</f>
        <v>0</v>
      </c>
      <c r="P1309" s="12"/>
      <c r="Q1309" s="56">
        <f>+(E1309)/($E$1312)</f>
        <v>0.4580152671755725</v>
      </c>
    </row>
    <row r="1310" spans="1:17" ht="15.75" thickBot="1" x14ac:dyDescent="0.3">
      <c r="A1310" s="15"/>
      <c r="B1310" s="14"/>
      <c r="C1310" s="13"/>
      <c r="D1310" s="12"/>
      <c r="E1310" s="11"/>
      <c r="F1310" s="10"/>
      <c r="G1310" s="10">
        <f>+E1310*F1310</f>
        <v>0</v>
      </c>
      <c r="H1310" s="12"/>
      <c r="I1310" s="11"/>
      <c r="J1310" s="10"/>
      <c r="K1310" s="10">
        <f>+I1310*J1310</f>
        <v>0</v>
      </c>
      <c r="L1310" s="12"/>
      <c r="M1310" s="11"/>
      <c r="N1310" s="10"/>
      <c r="O1310" s="10">
        <f>+M1310*N1310</f>
        <v>0</v>
      </c>
      <c r="P1310" s="12"/>
      <c r="Q1310" s="46"/>
    </row>
    <row r="1311" spans="1:17" ht="16.5" thickBot="1" x14ac:dyDescent="0.3">
      <c r="A1311" s="62" t="s">
        <v>5</v>
      </c>
      <c r="B1311" s="63"/>
      <c r="C1311" s="63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6"/>
      <c r="P1311" s="17"/>
      <c r="Q1311" s="46"/>
    </row>
    <row r="1312" spans="1:17" ht="18" x14ac:dyDescent="0.25">
      <c r="A1312" s="15"/>
      <c r="B1312" s="14" t="s">
        <v>207</v>
      </c>
      <c r="C1312" s="13" t="s">
        <v>13</v>
      </c>
      <c r="D1312" s="12"/>
      <c r="E1312" s="11">
        <v>6.55</v>
      </c>
      <c r="F1312" s="10">
        <v>13.26</v>
      </c>
      <c r="G1312" s="10">
        <f>+E1312*F1312</f>
        <v>86.852999999999994</v>
      </c>
      <c r="H1312" s="12"/>
      <c r="I1312" s="11">
        <v>5</v>
      </c>
      <c r="J1312" s="10">
        <v>13.26</v>
      </c>
      <c r="K1312" s="10">
        <f>+I1312*J1312</f>
        <v>66.3</v>
      </c>
      <c r="L1312" s="12"/>
      <c r="M1312" s="11">
        <v>9.14</v>
      </c>
      <c r="N1312" s="10">
        <v>13.26</v>
      </c>
      <c r="O1312" s="10">
        <f>+M1312*N1312</f>
        <v>121.19640000000001</v>
      </c>
      <c r="P1312" s="12"/>
      <c r="Q1312" s="46"/>
    </row>
    <row r="1313" spans="1:17" ht="15.75" thickBot="1" x14ac:dyDescent="0.3">
      <c r="A1313" s="15"/>
      <c r="B1313" s="14"/>
      <c r="C1313" s="13"/>
      <c r="D1313" s="12"/>
      <c r="E1313" s="11"/>
      <c r="F1313" s="10"/>
      <c r="G1313" s="10">
        <f>+E1313*F1313</f>
        <v>0</v>
      </c>
      <c r="H1313" s="12"/>
      <c r="I1313" s="11"/>
      <c r="J1313" s="10"/>
      <c r="K1313" s="10">
        <f>+I1313*J1313</f>
        <v>0</v>
      </c>
      <c r="L1313" s="12"/>
      <c r="M1313" s="11"/>
      <c r="N1313" s="10"/>
      <c r="O1313" s="10">
        <f>+M1313*N1313</f>
        <v>0</v>
      </c>
      <c r="P1313" s="12"/>
      <c r="Q1313" s="46"/>
    </row>
    <row r="1314" spans="1:17" ht="16.5" thickBot="1" x14ac:dyDescent="0.3">
      <c r="A1314" s="62" t="s">
        <v>2</v>
      </c>
      <c r="B1314" s="63"/>
      <c r="C1314" s="63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6"/>
      <c r="P1314" s="17"/>
      <c r="Q1314" s="46"/>
    </row>
    <row r="1315" spans="1:17" x14ac:dyDescent="0.25">
      <c r="A1315" s="15"/>
      <c r="B1315" s="14"/>
      <c r="C1315" s="13"/>
      <c r="D1315" s="12"/>
      <c r="E1315" s="11"/>
      <c r="F1315" s="10"/>
      <c r="G1315" s="10">
        <f>+E1315*F1315</f>
        <v>0</v>
      </c>
      <c r="H1315" s="12"/>
      <c r="I1315" s="11"/>
      <c r="J1315" s="10"/>
      <c r="K1315" s="10">
        <f>+I1315*J1315</f>
        <v>0</v>
      </c>
      <c r="L1315" s="12"/>
      <c r="M1315" s="11"/>
      <c r="N1315" s="10"/>
      <c r="O1315" s="10">
        <f>+M1315*N1315</f>
        <v>0</v>
      </c>
      <c r="P1315" s="12"/>
      <c r="Q1315" s="46"/>
    </row>
    <row r="1316" spans="1:17" ht="15.75" thickBot="1" x14ac:dyDescent="0.3">
      <c r="Q1316" s="46"/>
    </row>
    <row r="1317" spans="1:17" ht="21" thickBot="1" x14ac:dyDescent="0.3">
      <c r="A1317" s="64" t="s">
        <v>1</v>
      </c>
      <c r="B1317" s="65"/>
      <c r="C1317" s="66"/>
      <c r="D1317" s="5"/>
      <c r="E1317" s="9"/>
      <c r="F1317" s="8"/>
      <c r="G1317" s="7">
        <f>SUM(G1307:G1316)</f>
        <v>114.32299999999999</v>
      </c>
      <c r="H1317" s="5"/>
      <c r="I1317" s="9"/>
      <c r="J1317" s="8"/>
      <c r="K1317" s="7">
        <f>SUM(K1305:K1315)</f>
        <v>86.67</v>
      </c>
      <c r="L1317" s="5"/>
      <c r="M1317" s="9"/>
      <c r="N1317" s="8"/>
      <c r="O1317" s="7">
        <f>SUM(O1305:O1315)</f>
        <v>121.19640000000001</v>
      </c>
      <c r="P1317" s="5"/>
      <c r="Q1317" s="46"/>
    </row>
    <row r="1318" spans="1:17" ht="21" thickBot="1" x14ac:dyDescent="0.3">
      <c r="A1318" s="60" t="s">
        <v>0</v>
      </c>
      <c r="B1318" s="61"/>
      <c r="C1318" s="61"/>
      <c r="D1318" s="5"/>
      <c r="E1318" s="4"/>
      <c r="F1318" s="3"/>
      <c r="G1318" s="6">
        <f>+G1317/E1312</f>
        <v>17.453893129770993</v>
      </c>
      <c r="H1318" s="5"/>
      <c r="I1318" s="4"/>
      <c r="J1318" s="3"/>
      <c r="K1318" s="6">
        <f>+K1317/I1312</f>
        <v>17.334</v>
      </c>
      <c r="L1318" s="5"/>
      <c r="M1318" s="4"/>
      <c r="N1318" s="3"/>
      <c r="O1318" s="6">
        <f>+O1317/M1312</f>
        <v>13.26</v>
      </c>
      <c r="P1318" s="5"/>
      <c r="Q1318" s="46"/>
    </row>
    <row r="1319" spans="1:17" x14ac:dyDescent="0.25">
      <c r="Q1319" s="46"/>
    </row>
    <row r="1320" spans="1:17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46"/>
    </row>
    <row r="1321" spans="1:17" ht="15.75" thickBot="1" x14ac:dyDescent="0.3">
      <c r="Q1321" s="46"/>
    </row>
    <row r="1322" spans="1:17" ht="32.25" thickBot="1" x14ac:dyDescent="0.3">
      <c r="A1322" s="20" t="s">
        <v>547</v>
      </c>
      <c r="B1322" s="19" t="s">
        <v>548</v>
      </c>
      <c r="C1322" s="18" t="s">
        <v>550</v>
      </c>
      <c r="Q1322" s="46"/>
    </row>
    <row r="1323" spans="1:17" ht="15.75" thickBot="1" x14ac:dyDescent="0.3">
      <c r="Q1323" s="46"/>
    </row>
    <row r="1324" spans="1:17" ht="16.5" thickBot="1" x14ac:dyDescent="0.3">
      <c r="A1324" s="62" t="s">
        <v>11</v>
      </c>
      <c r="B1324" s="63"/>
      <c r="C1324" s="63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6"/>
      <c r="P1324" s="17"/>
      <c r="Q1324" s="46"/>
    </row>
    <row r="1325" spans="1:17" x14ac:dyDescent="0.25">
      <c r="A1325" s="15"/>
      <c r="B1325" s="14" t="s">
        <v>48</v>
      </c>
      <c r="C1325" s="13" t="s">
        <v>174</v>
      </c>
      <c r="D1325" s="12"/>
      <c r="E1325" s="11"/>
      <c r="F1325" s="10"/>
      <c r="G1325" s="10">
        <f>+E1325*F1325</f>
        <v>0</v>
      </c>
      <c r="H1325" s="12"/>
      <c r="I1325" s="11"/>
      <c r="J1325" s="10"/>
      <c r="K1325" s="10">
        <f>+I1325*J1325</f>
        <v>0</v>
      </c>
      <c r="L1325" s="12"/>
      <c r="M1325" s="11">
        <v>1</v>
      </c>
      <c r="N1325" s="10">
        <v>6.76</v>
      </c>
      <c r="O1325" s="10">
        <f>+M1325*N1325</f>
        <v>6.76</v>
      </c>
      <c r="P1325" s="12"/>
      <c r="Q1325" s="55">
        <v>1</v>
      </c>
    </row>
    <row r="1326" spans="1:17" ht="18" x14ac:dyDescent="0.25">
      <c r="A1326" s="15"/>
      <c r="B1326" s="14" t="s">
        <v>7</v>
      </c>
      <c r="C1326" s="13" t="s">
        <v>42</v>
      </c>
      <c r="D1326" s="12"/>
      <c r="E1326" s="11"/>
      <c r="F1326" s="10"/>
      <c r="G1326" s="10">
        <f>+E1326*F1326</f>
        <v>0</v>
      </c>
      <c r="H1326" s="12"/>
      <c r="I1326" s="11"/>
      <c r="J1326" s="10"/>
      <c r="K1326" s="10">
        <f>+I1326*J1326</f>
        <v>0</v>
      </c>
      <c r="L1326" s="12"/>
      <c r="M1326" s="11">
        <v>0.08</v>
      </c>
      <c r="N1326" s="10">
        <v>17.5</v>
      </c>
      <c r="O1326" s="10">
        <f>+M1326*N1326</f>
        <v>1.4000000000000001</v>
      </c>
      <c r="P1326" s="12"/>
      <c r="Q1326" s="55">
        <v>0.08</v>
      </c>
    </row>
    <row r="1327" spans="1:17" ht="15.75" thickBot="1" x14ac:dyDescent="0.3">
      <c r="A1327" s="15"/>
      <c r="B1327" s="14"/>
      <c r="C1327" s="13"/>
      <c r="D1327" s="12"/>
      <c r="E1327" s="11"/>
      <c r="F1327" s="10"/>
      <c r="G1327" s="10">
        <f>+E1327*F1327</f>
        <v>0</v>
      </c>
      <c r="H1327" s="12"/>
      <c r="I1327" s="11"/>
      <c r="J1327" s="10"/>
      <c r="K1327" s="10">
        <f>+I1327*J1327</f>
        <v>0</v>
      </c>
      <c r="L1327" s="12"/>
      <c r="M1327" s="11"/>
      <c r="N1327" s="10"/>
      <c r="O1327" s="10">
        <f>+M1327*N1327</f>
        <v>0</v>
      </c>
      <c r="P1327" s="12"/>
      <c r="Q1327" s="46"/>
    </row>
    <row r="1328" spans="1:17" ht="16.5" thickBot="1" x14ac:dyDescent="0.3">
      <c r="A1328" s="62" t="s">
        <v>5</v>
      </c>
      <c r="B1328" s="63"/>
      <c r="C1328" s="63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6"/>
      <c r="P1328" s="17"/>
      <c r="Q1328" s="46"/>
    </row>
    <row r="1329" spans="1:17" ht="30" x14ac:dyDescent="0.25">
      <c r="A1329" s="15"/>
      <c r="B1329" s="14" t="s">
        <v>549</v>
      </c>
      <c r="C1329" s="13" t="s">
        <v>15</v>
      </c>
      <c r="D1329" s="12"/>
      <c r="E1329" s="11"/>
      <c r="F1329" s="10"/>
      <c r="G1329" s="10">
        <f>+E1329*F1329</f>
        <v>0</v>
      </c>
      <c r="H1329" s="12"/>
      <c r="I1329" s="11"/>
      <c r="J1329" s="10"/>
      <c r="K1329" s="10">
        <f>+I1329*J1329</f>
        <v>0</v>
      </c>
      <c r="L1329" s="12"/>
      <c r="M1329" s="11">
        <v>1</v>
      </c>
      <c r="N1329" s="42">
        <v>133.94</v>
      </c>
      <c r="O1329" s="10">
        <f>+M1329*N1329</f>
        <v>133.94</v>
      </c>
      <c r="P1329" s="12"/>
      <c r="Q1329" s="46"/>
    </row>
    <row r="1330" spans="1:17" ht="15.75" thickBot="1" x14ac:dyDescent="0.3">
      <c r="A1330" s="15"/>
      <c r="B1330" s="14"/>
      <c r="C1330" s="13"/>
      <c r="D1330" s="12"/>
      <c r="E1330" s="11"/>
      <c r="F1330" s="10"/>
      <c r="G1330" s="10">
        <f>+E1330*F1330</f>
        <v>0</v>
      </c>
      <c r="H1330" s="12"/>
      <c r="I1330" s="11"/>
      <c r="J1330" s="10"/>
      <c r="K1330" s="10">
        <f>+I1330*J1330</f>
        <v>0</v>
      </c>
      <c r="L1330" s="12"/>
      <c r="M1330" s="11"/>
      <c r="N1330" s="10"/>
      <c r="O1330" s="10">
        <f>+M1330*N1330</f>
        <v>0</v>
      </c>
      <c r="P1330" s="12"/>
      <c r="Q1330" s="46"/>
    </row>
    <row r="1331" spans="1:17" ht="16.5" thickBot="1" x14ac:dyDescent="0.3">
      <c r="A1331" s="62" t="s">
        <v>2</v>
      </c>
      <c r="B1331" s="63"/>
      <c r="C1331" s="63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6"/>
      <c r="P1331" s="17"/>
      <c r="Q1331" s="46"/>
    </row>
    <row r="1332" spans="1:17" x14ac:dyDescent="0.25">
      <c r="A1332" s="15"/>
      <c r="B1332" s="14"/>
      <c r="C1332" s="13"/>
      <c r="D1332" s="12"/>
      <c r="E1332" s="11"/>
      <c r="F1332" s="10"/>
      <c r="G1332" s="10">
        <f>+E1332*F1332</f>
        <v>0</v>
      </c>
      <c r="H1332" s="12"/>
      <c r="I1332" s="11"/>
      <c r="J1332" s="10"/>
      <c r="K1332" s="10">
        <f>+I1332*J1332</f>
        <v>0</v>
      </c>
      <c r="L1332" s="12"/>
      <c r="M1332" s="11"/>
      <c r="N1332" s="10"/>
      <c r="O1332" s="10">
        <f>+M1332*N1332</f>
        <v>0</v>
      </c>
      <c r="P1332" s="12"/>
      <c r="Q1332" s="46"/>
    </row>
    <row r="1333" spans="1:17" ht="15.75" thickBot="1" x14ac:dyDescent="0.3">
      <c r="Q1333" s="46"/>
    </row>
    <row r="1334" spans="1:17" ht="21" thickBot="1" x14ac:dyDescent="0.3">
      <c r="A1334" s="64" t="s">
        <v>1</v>
      </c>
      <c r="B1334" s="65"/>
      <c r="C1334" s="66"/>
      <c r="D1334" s="5"/>
      <c r="E1334" s="9"/>
      <c r="F1334" s="8"/>
      <c r="G1334" s="7">
        <f>SUM(G1324:G1333)</f>
        <v>0</v>
      </c>
      <c r="H1334" s="5"/>
      <c r="I1334" s="9"/>
      <c r="J1334" s="8"/>
      <c r="K1334" s="7">
        <f>SUM(K1322:K1332)</f>
        <v>0</v>
      </c>
      <c r="L1334" s="5"/>
      <c r="M1334" s="9"/>
      <c r="N1334" s="8"/>
      <c r="O1334" s="7">
        <f>SUM(O1322:O1332)</f>
        <v>142.1</v>
      </c>
      <c r="P1334" s="5"/>
      <c r="Q1334" s="46"/>
    </row>
    <row r="1335" spans="1:17" ht="21" thickBot="1" x14ac:dyDescent="0.3">
      <c r="A1335" s="60" t="s">
        <v>0</v>
      </c>
      <c r="B1335" s="61"/>
      <c r="C1335" s="61"/>
      <c r="D1335" s="5"/>
      <c r="E1335" s="4"/>
      <c r="F1335" s="3"/>
      <c r="G1335" s="6" t="e">
        <f>+G1334/E1329</f>
        <v>#DIV/0!</v>
      </c>
      <c r="H1335" s="5"/>
      <c r="I1335" s="4"/>
      <c r="J1335" s="3"/>
      <c r="K1335" s="6" t="e">
        <f>+K1334/I1329</f>
        <v>#DIV/0!</v>
      </c>
      <c r="L1335" s="5"/>
      <c r="M1335" s="4"/>
      <c r="N1335" s="3"/>
      <c r="O1335" s="6">
        <f>+O1334/M1329</f>
        <v>142.1</v>
      </c>
      <c r="P1335" s="5"/>
      <c r="Q1335" s="46"/>
    </row>
    <row r="1336" spans="1:17" x14ac:dyDescent="0.25">
      <c r="Q1336" s="46"/>
    </row>
    <row r="1337" spans="1:17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46"/>
    </row>
    <row r="1338" spans="1:17" ht="15.75" thickBot="1" x14ac:dyDescent="0.3">
      <c r="Q1338" s="46"/>
    </row>
    <row r="1339" spans="1:17" ht="16.5" thickBot="1" x14ac:dyDescent="0.3">
      <c r="A1339" s="20" t="s">
        <v>206</v>
      </c>
      <c r="B1339" s="19" t="s">
        <v>205</v>
      </c>
      <c r="C1339" s="18" t="s">
        <v>130</v>
      </c>
      <c r="Q1339" s="46"/>
    </row>
    <row r="1340" spans="1:17" ht="15.75" thickBot="1" x14ac:dyDescent="0.3">
      <c r="Q1340" s="46"/>
    </row>
    <row r="1341" spans="1:17" ht="16.5" thickBot="1" x14ac:dyDescent="0.3">
      <c r="A1341" s="62" t="s">
        <v>11</v>
      </c>
      <c r="B1341" s="63"/>
      <c r="C1341" s="63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6"/>
      <c r="P1341" s="17"/>
      <c r="Q1341" s="46"/>
    </row>
    <row r="1342" spans="1:17" x14ac:dyDescent="0.25">
      <c r="A1342" s="15"/>
      <c r="B1342" s="14" t="s">
        <v>204</v>
      </c>
      <c r="C1342" s="13" t="s">
        <v>15</v>
      </c>
      <c r="D1342" s="12"/>
      <c r="E1342" s="11"/>
      <c r="F1342" s="10"/>
      <c r="G1342" s="10">
        <f t="shared" ref="G1342:G1349" si="79">+E1342*F1342</f>
        <v>0</v>
      </c>
      <c r="H1342" s="12"/>
      <c r="I1342" s="11">
        <v>2</v>
      </c>
      <c r="J1342" s="10">
        <v>1.07</v>
      </c>
      <c r="K1342" s="10">
        <f t="shared" ref="K1342:K1349" si="80">+I1342*J1342</f>
        <v>2.14</v>
      </c>
      <c r="L1342" s="12"/>
      <c r="M1342" s="11"/>
      <c r="N1342" s="10"/>
      <c r="O1342" s="10">
        <f t="shared" ref="O1342:O1349" si="81">+M1342*N1342</f>
        <v>0</v>
      </c>
      <c r="P1342" s="12"/>
      <c r="Q1342" s="55">
        <f>+I1342/I1351</f>
        <v>1.8623527623906053E-2</v>
      </c>
    </row>
    <row r="1343" spans="1:17" x14ac:dyDescent="0.25">
      <c r="A1343" s="15"/>
      <c r="B1343" s="14" t="s">
        <v>157</v>
      </c>
      <c r="C1343" s="13" t="s">
        <v>15</v>
      </c>
      <c r="D1343" s="12"/>
      <c r="E1343" s="11"/>
      <c r="F1343" s="10"/>
      <c r="G1343" s="10">
        <f t="shared" si="79"/>
        <v>0</v>
      </c>
      <c r="H1343" s="12"/>
      <c r="I1343" s="11">
        <v>3</v>
      </c>
      <c r="J1343" s="10">
        <v>8.06</v>
      </c>
      <c r="K1343" s="10">
        <f t="shared" si="80"/>
        <v>24.18</v>
      </c>
      <c r="L1343" s="12"/>
      <c r="M1343" s="11">
        <v>3</v>
      </c>
      <c r="N1343" s="10">
        <v>7.25</v>
      </c>
      <c r="O1343" s="10">
        <f t="shared" si="81"/>
        <v>21.75</v>
      </c>
      <c r="P1343" s="12"/>
      <c r="Q1343" s="55">
        <f>+(I1343+M1343)/(I1351+M1351)</f>
        <v>2.554049650044117E-2</v>
      </c>
    </row>
    <row r="1344" spans="1:17" ht="30" x14ac:dyDescent="0.25">
      <c r="A1344" s="15"/>
      <c r="B1344" s="14" t="s">
        <v>64</v>
      </c>
      <c r="C1344" s="13" t="s">
        <v>15</v>
      </c>
      <c r="D1344" s="12"/>
      <c r="E1344" s="11"/>
      <c r="F1344" s="10"/>
      <c r="G1344" s="10">
        <f t="shared" si="79"/>
        <v>0</v>
      </c>
      <c r="H1344" s="12"/>
      <c r="I1344" s="11"/>
      <c r="J1344" s="10"/>
      <c r="K1344" s="10">
        <f t="shared" si="80"/>
        <v>0</v>
      </c>
      <c r="L1344" s="12"/>
      <c r="M1344" s="11">
        <v>1</v>
      </c>
      <c r="N1344" s="10">
        <v>54.15</v>
      </c>
      <c r="O1344" s="10">
        <f t="shared" si="81"/>
        <v>54.15</v>
      </c>
      <c r="P1344" s="12"/>
      <c r="Q1344" s="56">
        <f>+M1344/M1351</f>
        <v>7.8412922449619688E-3</v>
      </c>
    </row>
    <row r="1345" spans="1:17" x14ac:dyDescent="0.25">
      <c r="A1345" s="15"/>
      <c r="B1345" s="14" t="s">
        <v>155</v>
      </c>
      <c r="C1345" s="13" t="s">
        <v>144</v>
      </c>
      <c r="D1345" s="12"/>
      <c r="E1345" s="11"/>
      <c r="F1345" s="10"/>
      <c r="G1345" s="10">
        <f t="shared" si="79"/>
        <v>0</v>
      </c>
      <c r="H1345" s="12"/>
      <c r="I1345" s="11">
        <v>1</v>
      </c>
      <c r="J1345" s="10">
        <v>15.47</v>
      </c>
      <c r="K1345" s="10">
        <f t="shared" si="80"/>
        <v>15.47</v>
      </c>
      <c r="L1345" s="12"/>
      <c r="M1345" s="11"/>
      <c r="N1345" s="10"/>
      <c r="O1345" s="10">
        <f t="shared" si="81"/>
        <v>0</v>
      </c>
      <c r="P1345" s="12"/>
      <c r="Q1345" s="55">
        <f>+I1345/I1351</f>
        <v>9.3117638119530263E-3</v>
      </c>
    </row>
    <row r="1346" spans="1:17" x14ac:dyDescent="0.25">
      <c r="A1346" s="15"/>
      <c r="B1346" s="14" t="s">
        <v>242</v>
      </c>
      <c r="C1346" s="13" t="s">
        <v>15</v>
      </c>
      <c r="D1346" s="12"/>
      <c r="E1346" s="11"/>
      <c r="F1346" s="10"/>
      <c r="G1346" s="10">
        <f t="shared" si="79"/>
        <v>0</v>
      </c>
      <c r="H1346" s="12"/>
      <c r="I1346" s="11"/>
      <c r="J1346" s="10"/>
      <c r="K1346" s="10">
        <f t="shared" si="80"/>
        <v>0</v>
      </c>
      <c r="L1346" s="12"/>
      <c r="M1346" s="11">
        <v>3</v>
      </c>
      <c r="N1346" s="10">
        <v>37.17</v>
      </c>
      <c r="O1346" s="10">
        <f t="shared" si="81"/>
        <v>111.51</v>
      </c>
      <c r="P1346" s="12"/>
      <c r="Q1346" s="55">
        <f>+M1346/M1351</f>
        <v>2.3523876734885908E-2</v>
      </c>
    </row>
    <row r="1347" spans="1:17" x14ac:dyDescent="0.25">
      <c r="A1347" s="15"/>
      <c r="B1347" s="14" t="s">
        <v>241</v>
      </c>
      <c r="C1347" s="13" t="s">
        <v>15</v>
      </c>
      <c r="D1347" s="12"/>
      <c r="E1347" s="11"/>
      <c r="F1347" s="10"/>
      <c r="G1347" s="10">
        <f t="shared" si="79"/>
        <v>0</v>
      </c>
      <c r="H1347" s="12"/>
      <c r="I1347" s="11"/>
      <c r="J1347" s="10"/>
      <c r="K1347" s="10">
        <f t="shared" si="80"/>
        <v>0</v>
      </c>
      <c r="L1347" s="12"/>
      <c r="M1347" s="11">
        <v>3</v>
      </c>
      <c r="N1347" s="10">
        <v>3.96</v>
      </c>
      <c r="O1347" s="10">
        <f t="shared" si="81"/>
        <v>11.879999999999999</v>
      </c>
      <c r="P1347" s="12"/>
      <c r="Q1347" s="55">
        <f>+M1347/M1351</f>
        <v>2.3523876734885908E-2</v>
      </c>
    </row>
    <row r="1348" spans="1:17" x14ac:dyDescent="0.25">
      <c r="A1348" s="15"/>
      <c r="B1348" s="14" t="s">
        <v>203</v>
      </c>
      <c r="C1348" s="13" t="s">
        <v>15</v>
      </c>
      <c r="D1348" s="12"/>
      <c r="E1348" s="11"/>
      <c r="F1348" s="10"/>
      <c r="G1348" s="10">
        <f t="shared" si="79"/>
        <v>0</v>
      </c>
      <c r="H1348" s="12"/>
      <c r="I1348" s="11">
        <v>2</v>
      </c>
      <c r="J1348" s="10">
        <v>1.55</v>
      </c>
      <c r="K1348" s="10">
        <f t="shared" si="80"/>
        <v>3.1</v>
      </c>
      <c r="L1348" s="12"/>
      <c r="M1348" s="11">
        <v>2</v>
      </c>
      <c r="N1348" s="10"/>
      <c r="O1348" s="10">
        <f t="shared" si="81"/>
        <v>0</v>
      </c>
      <c r="P1348" s="12"/>
      <c r="Q1348" s="55">
        <f>+(I1348+M1348)/(I1351+M1351)</f>
        <v>1.702699766696078E-2</v>
      </c>
    </row>
    <row r="1349" spans="1:17" ht="15.75" thickBot="1" x14ac:dyDescent="0.3">
      <c r="A1349" s="15"/>
      <c r="B1349" s="14"/>
      <c r="C1349" s="13"/>
      <c r="D1349" s="12"/>
      <c r="E1349" s="11"/>
      <c r="F1349" s="10"/>
      <c r="G1349" s="10">
        <f t="shared" si="79"/>
        <v>0</v>
      </c>
      <c r="H1349" s="12"/>
      <c r="I1349" s="11"/>
      <c r="J1349" s="10"/>
      <c r="K1349" s="10">
        <f t="shared" si="80"/>
        <v>0</v>
      </c>
      <c r="L1349" s="12"/>
      <c r="M1349" s="11"/>
      <c r="N1349" s="10"/>
      <c r="O1349" s="10">
        <f t="shared" si="81"/>
        <v>0</v>
      </c>
      <c r="P1349" s="12"/>
      <c r="Q1349" s="46"/>
    </row>
    <row r="1350" spans="1:17" ht="16.5" thickBot="1" x14ac:dyDescent="0.3">
      <c r="A1350" s="62" t="s">
        <v>5</v>
      </c>
      <c r="B1350" s="63"/>
      <c r="C1350" s="63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6"/>
      <c r="P1350" s="17"/>
      <c r="Q1350" s="46"/>
    </row>
    <row r="1351" spans="1:17" ht="18" x14ac:dyDescent="0.25">
      <c r="A1351" s="15"/>
      <c r="B1351" s="14" t="s">
        <v>202</v>
      </c>
      <c r="C1351" s="13" t="s">
        <v>13</v>
      </c>
      <c r="D1351" s="12"/>
      <c r="E1351" s="11"/>
      <c r="F1351" s="10"/>
      <c r="G1351" s="10">
        <f>+E1351*F1351</f>
        <v>0</v>
      </c>
      <c r="H1351" s="12"/>
      <c r="I1351" s="11">
        <v>107.39104</v>
      </c>
      <c r="J1351" s="42">
        <v>3.8</v>
      </c>
      <c r="K1351" s="10">
        <f>+I1351*J1351</f>
        <v>408.08595200000002</v>
      </c>
      <c r="L1351" s="12"/>
      <c r="M1351" s="11">
        <v>127.53</v>
      </c>
      <c r="N1351" s="10">
        <v>3.8</v>
      </c>
      <c r="O1351" s="10">
        <f>+M1351*N1351</f>
        <v>484.61399999999998</v>
      </c>
      <c r="P1351" s="12"/>
      <c r="Q1351" s="46"/>
    </row>
    <row r="1352" spans="1:17" ht="15.75" thickBot="1" x14ac:dyDescent="0.3">
      <c r="A1352" s="15"/>
      <c r="B1352" s="14"/>
      <c r="C1352" s="13"/>
      <c r="D1352" s="12"/>
      <c r="E1352" s="11"/>
      <c r="F1352" s="10"/>
      <c r="G1352" s="10">
        <f>+E1352*F1352</f>
        <v>0</v>
      </c>
      <c r="H1352" s="12"/>
      <c r="I1352" s="11"/>
      <c r="J1352" s="10"/>
      <c r="K1352" s="10">
        <f>+I1352*J1352</f>
        <v>0</v>
      </c>
      <c r="L1352" s="12"/>
      <c r="M1352" s="11"/>
      <c r="N1352" s="10"/>
      <c r="O1352" s="10">
        <f>+M1352*N1352</f>
        <v>0</v>
      </c>
      <c r="P1352" s="12"/>
      <c r="Q1352" s="46"/>
    </row>
    <row r="1353" spans="1:17" ht="16.5" thickBot="1" x14ac:dyDescent="0.3">
      <c r="A1353" s="62" t="s">
        <v>2</v>
      </c>
      <c r="B1353" s="63"/>
      <c r="C1353" s="63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6"/>
      <c r="P1353" s="17"/>
      <c r="Q1353" s="46"/>
    </row>
    <row r="1354" spans="1:17" x14ac:dyDescent="0.25">
      <c r="A1354" s="15"/>
      <c r="B1354" s="14"/>
      <c r="C1354" s="13"/>
      <c r="D1354" s="12"/>
      <c r="E1354" s="11"/>
      <c r="F1354" s="10"/>
      <c r="G1354" s="10">
        <f>+E1354*F1354</f>
        <v>0</v>
      </c>
      <c r="H1354" s="12"/>
      <c r="I1354" s="11"/>
      <c r="J1354" s="10"/>
      <c r="K1354" s="10">
        <f>+I1354*J1354</f>
        <v>0</v>
      </c>
      <c r="L1354" s="12"/>
      <c r="M1354" s="11"/>
      <c r="N1354" s="10"/>
      <c r="O1354" s="10">
        <f>+M1354*N1354</f>
        <v>0</v>
      </c>
      <c r="P1354" s="12"/>
      <c r="Q1354" s="46"/>
    </row>
    <row r="1355" spans="1:17" ht="15.75" thickBot="1" x14ac:dyDescent="0.3">
      <c r="Q1355" s="46"/>
    </row>
    <row r="1356" spans="1:17" ht="21" thickBot="1" x14ac:dyDescent="0.3">
      <c r="A1356" s="64" t="s">
        <v>1</v>
      </c>
      <c r="B1356" s="65"/>
      <c r="C1356" s="66"/>
      <c r="D1356" s="5"/>
      <c r="E1356" s="9"/>
      <c r="F1356" s="8"/>
      <c r="G1356" s="7">
        <f>SUM(G1341:G1355)</f>
        <v>0</v>
      </c>
      <c r="H1356" s="5"/>
      <c r="I1356" s="9"/>
      <c r="J1356" s="8"/>
      <c r="K1356" s="7">
        <f>SUM(K1339:K1354)</f>
        <v>452.97595200000001</v>
      </c>
      <c r="L1356" s="5"/>
      <c r="M1356" s="9"/>
      <c r="N1356" s="8"/>
      <c r="O1356" s="7">
        <f>SUM(O1339:O1354)</f>
        <v>683.904</v>
      </c>
      <c r="P1356" s="5"/>
      <c r="Q1356" s="46"/>
    </row>
    <row r="1357" spans="1:17" ht="21" thickBot="1" x14ac:dyDescent="0.3">
      <c r="A1357" s="60" t="s">
        <v>0</v>
      </c>
      <c r="B1357" s="61"/>
      <c r="C1357" s="61"/>
      <c r="D1357" s="5"/>
      <c r="E1357" s="4"/>
      <c r="F1357" s="3"/>
      <c r="G1357" s="6" t="e">
        <f>+G1356/E1351</f>
        <v>#DIV/0!</v>
      </c>
      <c r="H1357" s="5"/>
      <c r="I1357" s="4"/>
      <c r="J1357" s="3"/>
      <c r="K1357" s="6">
        <f>+K1356/I1351</f>
        <v>4.2180050775185709</v>
      </c>
      <c r="L1357" s="5"/>
      <c r="M1357" s="4"/>
      <c r="N1357" s="3"/>
      <c r="O1357" s="6">
        <f>+O1356/M1351</f>
        <v>5.3626911314984707</v>
      </c>
      <c r="P1357" s="5"/>
      <c r="Q1357" s="46"/>
    </row>
    <row r="1358" spans="1:17" x14ac:dyDescent="0.25">
      <c r="Q1358" s="46"/>
    </row>
    <row r="1359" spans="1:17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46"/>
    </row>
    <row r="1360" spans="1:17" ht="15.75" thickBot="1" x14ac:dyDescent="0.3">
      <c r="Q1360" s="46"/>
    </row>
    <row r="1361" spans="1:17" ht="24" thickBot="1" x14ac:dyDescent="0.3">
      <c r="A1361" s="22" t="s">
        <v>201</v>
      </c>
      <c r="B1361" s="22"/>
      <c r="C1361" s="22"/>
      <c r="D1361" s="22"/>
      <c r="E1361" s="22"/>
      <c r="F1361" s="22"/>
      <c r="G1361" s="22"/>
      <c r="H1361" s="22"/>
      <c r="I1361" s="22"/>
      <c r="J1361" s="22"/>
      <c r="K1361" s="23"/>
      <c r="L1361" s="22"/>
      <c r="M1361" s="22"/>
      <c r="N1361" s="22"/>
      <c r="O1361" s="22"/>
      <c r="P1361" s="22"/>
      <c r="Q1361" s="46"/>
    </row>
    <row r="1362" spans="1:17" ht="15.75" thickBot="1" x14ac:dyDescent="0.3">
      <c r="Q1362" s="46"/>
    </row>
    <row r="1363" spans="1:17" ht="19.5" thickBot="1" x14ac:dyDescent="0.3">
      <c r="A1363" s="20" t="s">
        <v>200</v>
      </c>
      <c r="B1363" s="19" t="s">
        <v>199</v>
      </c>
      <c r="C1363" s="18" t="s">
        <v>19</v>
      </c>
      <c r="E1363" s="24"/>
      <c r="Q1363" s="46"/>
    </row>
    <row r="1364" spans="1:17" ht="15.75" thickBot="1" x14ac:dyDescent="0.3">
      <c r="Q1364" s="46"/>
    </row>
    <row r="1365" spans="1:17" ht="16.5" thickBot="1" x14ac:dyDescent="0.3">
      <c r="A1365" s="62" t="s">
        <v>11</v>
      </c>
      <c r="B1365" s="63"/>
      <c r="C1365" s="63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6"/>
      <c r="P1365" s="17"/>
      <c r="Q1365" s="46"/>
    </row>
    <row r="1366" spans="1:17" ht="15.75" thickBot="1" x14ac:dyDescent="0.3">
      <c r="A1366" s="15"/>
      <c r="B1366" s="14"/>
      <c r="C1366" s="13"/>
      <c r="D1366" s="12"/>
      <c r="E1366" s="11"/>
      <c r="F1366" s="10"/>
      <c r="G1366" s="10">
        <f>+E1366*F1366</f>
        <v>0</v>
      </c>
      <c r="H1366" s="12"/>
      <c r="I1366" s="11"/>
      <c r="J1366" s="10"/>
      <c r="K1366" s="10">
        <f>+I1366*J1366</f>
        <v>0</v>
      </c>
      <c r="L1366" s="12"/>
      <c r="M1366" s="11"/>
      <c r="N1366" s="10"/>
      <c r="O1366" s="10">
        <f>+M1366*N1366</f>
        <v>0</v>
      </c>
      <c r="P1366" s="12"/>
      <c r="Q1366" s="46"/>
    </row>
    <row r="1367" spans="1:17" ht="16.5" thickBot="1" x14ac:dyDescent="0.3">
      <c r="A1367" s="62" t="s">
        <v>5</v>
      </c>
      <c r="B1367" s="63"/>
      <c r="C1367" s="63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6"/>
      <c r="P1367" s="17"/>
      <c r="Q1367" s="46"/>
    </row>
    <row r="1368" spans="1:17" ht="18" x14ac:dyDescent="0.25">
      <c r="A1368" s="15"/>
      <c r="B1368" s="14" t="s">
        <v>198</v>
      </c>
      <c r="C1368" s="13" t="s">
        <v>13</v>
      </c>
      <c r="D1368" s="12"/>
      <c r="E1368" s="11">
        <v>382.99919999999997</v>
      </c>
      <c r="F1368" s="42">
        <v>7.99</v>
      </c>
      <c r="G1368" s="10">
        <f>+E1368*F1368</f>
        <v>3060.1636079999998</v>
      </c>
      <c r="H1368" s="12"/>
      <c r="I1368" s="11">
        <v>342.46839999999997</v>
      </c>
      <c r="J1368" s="10">
        <v>6.8</v>
      </c>
      <c r="K1368" s="10">
        <f>+I1368*J1368</f>
        <v>2328.7851199999996</v>
      </c>
      <c r="L1368" s="12"/>
      <c r="M1368" s="11">
        <v>391.97</v>
      </c>
      <c r="N1368" s="10">
        <v>7.6</v>
      </c>
      <c r="O1368" s="10">
        <f>+M1368*N1368</f>
        <v>2978.9720000000002</v>
      </c>
      <c r="P1368" s="12"/>
      <c r="Q1368" s="46"/>
    </row>
    <row r="1369" spans="1:17" ht="15.75" thickBot="1" x14ac:dyDescent="0.3">
      <c r="A1369" s="15"/>
      <c r="B1369" s="14"/>
      <c r="C1369" s="13"/>
      <c r="D1369" s="12"/>
      <c r="E1369" s="11"/>
      <c r="F1369" s="10"/>
      <c r="G1369" s="10">
        <f>+E1369*F1369</f>
        <v>0</v>
      </c>
      <c r="H1369" s="12"/>
      <c r="I1369" s="11"/>
      <c r="J1369" s="10"/>
      <c r="K1369" s="10">
        <f>+I1369*J1369</f>
        <v>0</v>
      </c>
      <c r="L1369" s="12"/>
      <c r="M1369" s="11"/>
      <c r="N1369" s="10"/>
      <c r="O1369" s="10">
        <f>+M1369*N1369</f>
        <v>0</v>
      </c>
      <c r="P1369" s="12"/>
      <c r="Q1369" s="46"/>
    </row>
    <row r="1370" spans="1:17" ht="16.5" thickBot="1" x14ac:dyDescent="0.3">
      <c r="A1370" s="62" t="s">
        <v>2</v>
      </c>
      <c r="B1370" s="63"/>
      <c r="C1370" s="63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6"/>
      <c r="P1370" s="17"/>
      <c r="Q1370" s="46"/>
    </row>
    <row r="1371" spans="1:17" x14ac:dyDescent="0.25">
      <c r="A1371" s="15"/>
      <c r="B1371" s="14"/>
      <c r="C1371" s="13"/>
      <c r="D1371" s="12"/>
      <c r="E1371" s="11"/>
      <c r="F1371" s="10"/>
      <c r="G1371" s="10">
        <f>+E1371*F1371</f>
        <v>0</v>
      </c>
      <c r="H1371" s="12"/>
      <c r="I1371" s="11"/>
      <c r="J1371" s="10"/>
      <c r="K1371" s="10">
        <f>+I1371*J1371</f>
        <v>0</v>
      </c>
      <c r="L1371" s="12"/>
      <c r="M1371" s="11"/>
      <c r="N1371" s="10"/>
      <c r="O1371" s="10">
        <f>+M1371*N1371</f>
        <v>0</v>
      </c>
      <c r="P1371" s="12"/>
      <c r="Q1371" s="46"/>
    </row>
    <row r="1372" spans="1:17" ht="15.75" thickBot="1" x14ac:dyDescent="0.3">
      <c r="Q1372" s="46"/>
    </row>
    <row r="1373" spans="1:17" ht="21" thickBot="1" x14ac:dyDescent="0.3">
      <c r="A1373" s="64" t="s">
        <v>1</v>
      </c>
      <c r="B1373" s="65"/>
      <c r="C1373" s="66"/>
      <c r="D1373" s="5"/>
      <c r="E1373" s="9"/>
      <c r="F1373" s="8"/>
      <c r="G1373" s="7">
        <f>SUM(G1365:G1372)</f>
        <v>3060.1636079999998</v>
      </c>
      <c r="H1373" s="5"/>
      <c r="I1373" s="9"/>
      <c r="J1373" s="8"/>
      <c r="K1373" s="7">
        <f>SUM(K1363:K1371)</f>
        <v>2328.7851199999996</v>
      </c>
      <c r="L1373" s="5"/>
      <c r="M1373" s="9"/>
      <c r="N1373" s="8"/>
      <c r="O1373" s="7">
        <f>SUM(O1363:O1371)</f>
        <v>2978.9720000000002</v>
      </c>
      <c r="P1373" s="5"/>
      <c r="Q1373" s="46"/>
    </row>
    <row r="1374" spans="1:17" ht="21" thickBot="1" x14ac:dyDescent="0.3">
      <c r="A1374" s="60" t="s">
        <v>0</v>
      </c>
      <c r="B1374" s="61"/>
      <c r="C1374" s="61"/>
      <c r="D1374" s="5"/>
      <c r="E1374" s="4"/>
      <c r="F1374" s="3"/>
      <c r="G1374" s="6">
        <f>+G1373/E1368</f>
        <v>7.99</v>
      </c>
      <c r="H1374" s="5"/>
      <c r="I1374" s="4"/>
      <c r="J1374" s="3"/>
      <c r="K1374" s="6">
        <f>+K1373/I1368</f>
        <v>6.7999999999999989</v>
      </c>
      <c r="L1374" s="5"/>
      <c r="M1374" s="4"/>
      <c r="N1374" s="3"/>
      <c r="O1374" s="6">
        <f>+O1373/M1368</f>
        <v>7.6</v>
      </c>
      <c r="P1374" s="5"/>
      <c r="Q1374" s="46"/>
    </row>
    <row r="1375" spans="1:17" x14ac:dyDescent="0.25">
      <c r="Q1375" s="46"/>
    </row>
    <row r="1376" spans="1:17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46"/>
    </row>
    <row r="1377" spans="1:17" ht="15.75" thickBot="1" x14ac:dyDescent="0.3">
      <c r="Q1377" s="46"/>
    </row>
    <row r="1378" spans="1:17" ht="16.5" thickBot="1" x14ac:dyDescent="0.3">
      <c r="A1378" s="20" t="s">
        <v>197</v>
      </c>
      <c r="B1378" s="19" t="s">
        <v>196</v>
      </c>
      <c r="C1378" s="18" t="s">
        <v>3</v>
      </c>
      <c r="Q1378" s="46"/>
    </row>
    <row r="1379" spans="1:17" ht="15.75" thickBot="1" x14ac:dyDescent="0.3">
      <c r="Q1379" s="46"/>
    </row>
    <row r="1380" spans="1:17" ht="16.5" thickBot="1" x14ac:dyDescent="0.3">
      <c r="A1380" s="62" t="s">
        <v>11</v>
      </c>
      <c r="B1380" s="63"/>
      <c r="C1380" s="63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6"/>
      <c r="P1380" s="17"/>
      <c r="Q1380" s="46"/>
    </row>
    <row r="1381" spans="1:17" ht="15.75" thickBot="1" x14ac:dyDescent="0.3">
      <c r="A1381" s="15"/>
      <c r="B1381" s="14"/>
      <c r="C1381" s="13"/>
      <c r="D1381" s="12"/>
      <c r="E1381" s="11"/>
      <c r="F1381" s="10"/>
      <c r="G1381" s="10">
        <f>+E1381*F1381</f>
        <v>0</v>
      </c>
      <c r="H1381" s="12"/>
      <c r="I1381" s="11"/>
      <c r="J1381" s="10"/>
      <c r="K1381" s="10">
        <f>+I1381*J1381</f>
        <v>0</v>
      </c>
      <c r="L1381" s="12"/>
      <c r="M1381" s="11"/>
      <c r="N1381" s="10"/>
      <c r="O1381" s="10">
        <f>+M1381*N1381</f>
        <v>0</v>
      </c>
      <c r="P1381" s="12"/>
      <c r="Q1381" s="46"/>
    </row>
    <row r="1382" spans="1:17" ht="16.5" thickBot="1" x14ac:dyDescent="0.3">
      <c r="A1382" s="62" t="s">
        <v>5</v>
      </c>
      <c r="B1382" s="63"/>
      <c r="C1382" s="63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6"/>
      <c r="P1382" s="17"/>
      <c r="Q1382" s="46"/>
    </row>
    <row r="1383" spans="1:17" x14ac:dyDescent="0.25">
      <c r="A1383" s="15"/>
      <c r="B1383" s="14" t="s">
        <v>195</v>
      </c>
      <c r="C1383" s="13" t="s">
        <v>3</v>
      </c>
      <c r="D1383" s="12"/>
      <c r="E1383" s="11">
        <v>231.19200000000001</v>
      </c>
      <c r="F1383" s="42">
        <v>3.4</v>
      </c>
      <c r="G1383" s="10">
        <f>+E1383*F1383</f>
        <v>786.05280000000005</v>
      </c>
      <c r="H1383" s="12"/>
      <c r="I1383" s="11">
        <v>298.851</v>
      </c>
      <c r="J1383" s="10">
        <v>3.1</v>
      </c>
      <c r="K1383" s="10">
        <f>+I1383*J1383</f>
        <v>926.43810000000008</v>
      </c>
      <c r="L1383" s="12"/>
      <c r="M1383" s="11"/>
      <c r="N1383" s="10"/>
      <c r="O1383" s="10">
        <f>+M1383*N1383</f>
        <v>0</v>
      </c>
      <c r="P1383" s="12"/>
      <c r="Q1383" s="46"/>
    </row>
    <row r="1384" spans="1:17" ht="15.75" thickBot="1" x14ac:dyDescent="0.3">
      <c r="A1384" s="15"/>
      <c r="B1384" s="14"/>
      <c r="C1384" s="13"/>
      <c r="D1384" s="12"/>
      <c r="E1384" s="11"/>
      <c r="F1384" s="10"/>
      <c r="G1384" s="10">
        <f>+E1384*F1384</f>
        <v>0</v>
      </c>
      <c r="H1384" s="12"/>
      <c r="I1384" s="11"/>
      <c r="J1384" s="10"/>
      <c r="K1384" s="10">
        <f>+I1384*J1384</f>
        <v>0</v>
      </c>
      <c r="L1384" s="12"/>
      <c r="M1384" s="11"/>
      <c r="N1384" s="10"/>
      <c r="O1384" s="10">
        <f>+M1384*N1384</f>
        <v>0</v>
      </c>
      <c r="P1384" s="12"/>
      <c r="Q1384" s="46"/>
    </row>
    <row r="1385" spans="1:17" ht="16.5" thickBot="1" x14ac:dyDescent="0.3">
      <c r="A1385" s="62" t="s">
        <v>2</v>
      </c>
      <c r="B1385" s="63"/>
      <c r="C1385" s="63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6"/>
      <c r="P1385" s="17"/>
      <c r="Q1385" s="46"/>
    </row>
    <row r="1386" spans="1:17" x14ac:dyDescent="0.25">
      <c r="A1386" s="15"/>
      <c r="B1386" s="14"/>
      <c r="C1386" s="13"/>
      <c r="D1386" s="12"/>
      <c r="E1386" s="11"/>
      <c r="F1386" s="10"/>
      <c r="G1386" s="10">
        <f>+E1386*F1386</f>
        <v>0</v>
      </c>
      <c r="H1386" s="12"/>
      <c r="I1386" s="11"/>
      <c r="J1386" s="10"/>
      <c r="K1386" s="10">
        <f>+I1386*J1386</f>
        <v>0</v>
      </c>
      <c r="L1386" s="12"/>
      <c r="M1386" s="11"/>
      <c r="N1386" s="10"/>
      <c r="O1386" s="10">
        <f>+M1386*N1386</f>
        <v>0</v>
      </c>
      <c r="P1386" s="12"/>
      <c r="Q1386" s="46"/>
    </row>
    <row r="1387" spans="1:17" ht="15.75" thickBot="1" x14ac:dyDescent="0.3">
      <c r="Q1387" s="46"/>
    </row>
    <row r="1388" spans="1:17" ht="21" thickBot="1" x14ac:dyDescent="0.3">
      <c r="A1388" s="64" t="s">
        <v>1</v>
      </c>
      <c r="B1388" s="65"/>
      <c r="C1388" s="66"/>
      <c r="D1388" s="5"/>
      <c r="E1388" s="9"/>
      <c r="F1388" s="8"/>
      <c r="G1388" s="7">
        <f>SUM(G1380:G1387)</f>
        <v>786.05280000000005</v>
      </c>
      <c r="H1388" s="5"/>
      <c r="I1388" s="9"/>
      <c r="J1388" s="8"/>
      <c r="K1388" s="7">
        <f>SUM(K1378:K1386)</f>
        <v>926.43810000000008</v>
      </c>
      <c r="L1388" s="5"/>
      <c r="M1388" s="9"/>
      <c r="N1388" s="8"/>
      <c r="O1388" s="7">
        <f>SUM(O1378:O1386)</f>
        <v>0</v>
      </c>
      <c r="P1388" s="5"/>
      <c r="Q1388" s="46"/>
    </row>
    <row r="1389" spans="1:17" ht="21" thickBot="1" x14ac:dyDescent="0.3">
      <c r="A1389" s="60" t="s">
        <v>0</v>
      </c>
      <c r="B1389" s="61"/>
      <c r="C1389" s="61"/>
      <c r="D1389" s="5"/>
      <c r="E1389" s="4"/>
      <c r="F1389" s="3"/>
      <c r="G1389" s="6">
        <f>+G1388/E1383</f>
        <v>3.4</v>
      </c>
      <c r="H1389" s="5"/>
      <c r="I1389" s="4"/>
      <c r="J1389" s="3"/>
      <c r="K1389" s="6">
        <f>+K1388/I1383</f>
        <v>3.1</v>
      </c>
      <c r="L1389" s="5"/>
      <c r="M1389" s="4"/>
      <c r="N1389" s="3"/>
      <c r="O1389" s="6" t="e">
        <f>+O1388/M1383</f>
        <v>#DIV/0!</v>
      </c>
      <c r="P1389" s="5"/>
      <c r="Q1389" s="46"/>
    </row>
    <row r="1390" spans="1:17" x14ac:dyDescent="0.25">
      <c r="Q1390" s="46"/>
    </row>
    <row r="1391" spans="1:17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46"/>
    </row>
    <row r="1392" spans="1:17" ht="15.75" thickBot="1" x14ac:dyDescent="0.3">
      <c r="Q1392" s="46"/>
    </row>
    <row r="1393" spans="1:17" ht="16.5" thickBot="1" x14ac:dyDescent="0.3">
      <c r="A1393" s="20" t="s">
        <v>194</v>
      </c>
      <c r="B1393" s="19" t="s">
        <v>193</v>
      </c>
      <c r="C1393" s="18" t="s">
        <v>3</v>
      </c>
      <c r="E1393" s="24"/>
      <c r="Q1393" s="46"/>
    </row>
    <row r="1394" spans="1:17" ht="15.75" thickBot="1" x14ac:dyDescent="0.3">
      <c r="Q1394" s="46"/>
    </row>
    <row r="1395" spans="1:17" ht="16.5" thickBot="1" x14ac:dyDescent="0.3">
      <c r="A1395" s="62" t="s">
        <v>11</v>
      </c>
      <c r="B1395" s="63"/>
      <c r="C1395" s="63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6"/>
      <c r="P1395" s="17"/>
      <c r="Q1395" s="46"/>
    </row>
    <row r="1396" spans="1:17" ht="15.75" thickBot="1" x14ac:dyDescent="0.3">
      <c r="A1396" s="15"/>
      <c r="B1396" s="14"/>
      <c r="C1396" s="13"/>
      <c r="D1396" s="12"/>
      <c r="E1396" s="11"/>
      <c r="F1396" s="10"/>
      <c r="G1396" s="10">
        <f>+E1396*F1396</f>
        <v>0</v>
      </c>
      <c r="H1396" s="12"/>
      <c r="I1396" s="11"/>
      <c r="J1396" s="10"/>
      <c r="K1396" s="10">
        <f>+I1396*J1396</f>
        <v>0</v>
      </c>
      <c r="L1396" s="12"/>
      <c r="M1396" s="11"/>
      <c r="N1396" s="10"/>
      <c r="O1396" s="10">
        <f>+M1396*N1396</f>
        <v>0</v>
      </c>
      <c r="P1396" s="12"/>
      <c r="Q1396" s="46"/>
    </row>
    <row r="1397" spans="1:17" ht="16.5" thickBot="1" x14ac:dyDescent="0.3">
      <c r="A1397" s="62" t="s">
        <v>5</v>
      </c>
      <c r="B1397" s="63"/>
      <c r="C1397" s="63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6"/>
      <c r="P1397" s="17"/>
      <c r="Q1397" s="46"/>
    </row>
    <row r="1398" spans="1:17" ht="18" x14ac:dyDescent="0.25">
      <c r="A1398" s="15"/>
      <c r="B1398" s="14" t="s">
        <v>192</v>
      </c>
      <c r="C1398" s="13" t="s">
        <v>13</v>
      </c>
      <c r="D1398" s="12"/>
      <c r="E1398" s="11">
        <v>282.35700000000003</v>
      </c>
      <c r="F1398" s="42">
        <v>1.4</v>
      </c>
      <c r="G1398" s="10">
        <f>+E1398*F1398</f>
        <v>395.2998</v>
      </c>
      <c r="H1398" s="12"/>
      <c r="I1398" s="11">
        <v>57.101999999999997</v>
      </c>
      <c r="J1398" s="10">
        <v>1.1000000000000001</v>
      </c>
      <c r="K1398" s="10">
        <f>+I1398*J1398</f>
        <v>62.812200000000004</v>
      </c>
      <c r="L1398" s="12"/>
      <c r="M1398" s="11"/>
      <c r="N1398" s="10"/>
      <c r="O1398" s="10">
        <f>+M1398*N1398</f>
        <v>0</v>
      </c>
      <c r="P1398" s="12"/>
      <c r="Q1398" s="46"/>
    </row>
    <row r="1399" spans="1:17" ht="15.75" thickBot="1" x14ac:dyDescent="0.3">
      <c r="A1399" s="15"/>
      <c r="B1399" s="14"/>
      <c r="C1399" s="13"/>
      <c r="D1399" s="12"/>
      <c r="E1399" s="11"/>
      <c r="F1399" s="10"/>
      <c r="G1399" s="10">
        <f>+E1399*F1399</f>
        <v>0</v>
      </c>
      <c r="H1399" s="12"/>
      <c r="I1399" s="11"/>
      <c r="J1399" s="10"/>
      <c r="K1399" s="10">
        <f>+I1399*J1399</f>
        <v>0</v>
      </c>
      <c r="L1399" s="12"/>
      <c r="M1399" s="11"/>
      <c r="N1399" s="10"/>
      <c r="O1399" s="10">
        <f>+M1399*N1399</f>
        <v>0</v>
      </c>
      <c r="P1399" s="12"/>
      <c r="Q1399" s="46"/>
    </row>
    <row r="1400" spans="1:17" ht="16.5" thickBot="1" x14ac:dyDescent="0.3">
      <c r="A1400" s="62" t="s">
        <v>2</v>
      </c>
      <c r="B1400" s="63"/>
      <c r="C1400" s="63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6"/>
      <c r="P1400" s="17"/>
      <c r="Q1400" s="46"/>
    </row>
    <row r="1401" spans="1:17" x14ac:dyDescent="0.25">
      <c r="A1401" s="15"/>
      <c r="B1401" s="14"/>
      <c r="C1401" s="13"/>
      <c r="D1401" s="12"/>
      <c r="E1401" s="11"/>
      <c r="F1401" s="10"/>
      <c r="G1401" s="10">
        <f>+E1401*F1401</f>
        <v>0</v>
      </c>
      <c r="H1401" s="12"/>
      <c r="I1401" s="11"/>
      <c r="J1401" s="10"/>
      <c r="K1401" s="10">
        <f>+I1401*J1401</f>
        <v>0</v>
      </c>
      <c r="L1401" s="12"/>
      <c r="M1401" s="11"/>
      <c r="N1401" s="10"/>
      <c r="O1401" s="10">
        <f>+M1401*N1401</f>
        <v>0</v>
      </c>
      <c r="P1401" s="12"/>
      <c r="Q1401" s="46"/>
    </row>
    <row r="1402" spans="1:17" ht="15.75" thickBot="1" x14ac:dyDescent="0.3">
      <c r="Q1402" s="46"/>
    </row>
    <row r="1403" spans="1:17" ht="21" thickBot="1" x14ac:dyDescent="0.3">
      <c r="A1403" s="64" t="s">
        <v>1</v>
      </c>
      <c r="B1403" s="65"/>
      <c r="C1403" s="66"/>
      <c r="D1403" s="5"/>
      <c r="E1403" s="9"/>
      <c r="F1403" s="8"/>
      <c r="G1403" s="7">
        <f>SUM(G1395:G1402)</f>
        <v>395.2998</v>
      </c>
      <c r="H1403" s="5"/>
      <c r="I1403" s="9"/>
      <c r="J1403" s="8"/>
      <c r="K1403" s="7">
        <f>SUM(K1393:K1401)</f>
        <v>62.812200000000004</v>
      </c>
      <c r="L1403" s="5"/>
      <c r="M1403" s="9"/>
      <c r="N1403" s="8"/>
      <c r="O1403" s="7">
        <f>SUM(O1393:O1401)</f>
        <v>0</v>
      </c>
      <c r="P1403" s="5"/>
      <c r="Q1403" s="46"/>
    </row>
    <row r="1404" spans="1:17" ht="21" thickBot="1" x14ac:dyDescent="0.3">
      <c r="A1404" s="60" t="s">
        <v>0</v>
      </c>
      <c r="B1404" s="61"/>
      <c r="C1404" s="61"/>
      <c r="D1404" s="5"/>
      <c r="E1404" s="4"/>
      <c r="F1404" s="3"/>
      <c r="G1404" s="6">
        <f>+G1403/E1398</f>
        <v>1.4</v>
      </c>
      <c r="H1404" s="5"/>
      <c r="I1404" s="4"/>
      <c r="J1404" s="3"/>
      <c r="K1404" s="6">
        <f>+K1403/I1398</f>
        <v>1.1000000000000001</v>
      </c>
      <c r="L1404" s="5"/>
      <c r="M1404" s="4"/>
      <c r="N1404" s="3"/>
      <c r="O1404" s="6" t="e">
        <f>+O1403/M1398</f>
        <v>#DIV/0!</v>
      </c>
      <c r="P1404" s="5"/>
      <c r="Q1404" s="46"/>
    </row>
    <row r="1405" spans="1:17" x14ac:dyDescent="0.25">
      <c r="Q1405" s="46"/>
    </row>
    <row r="1406" spans="1:17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46"/>
    </row>
    <row r="1407" spans="1:17" ht="15.75" thickBot="1" x14ac:dyDescent="0.3">
      <c r="Q1407" s="46"/>
    </row>
    <row r="1408" spans="1:17" ht="19.5" thickBot="1" x14ac:dyDescent="0.3">
      <c r="A1408" s="20" t="s">
        <v>191</v>
      </c>
      <c r="B1408" s="19" t="s">
        <v>190</v>
      </c>
      <c r="C1408" s="18" t="s">
        <v>19</v>
      </c>
      <c r="Q1408" s="46"/>
    </row>
    <row r="1409" spans="1:17" ht="15.75" thickBot="1" x14ac:dyDescent="0.3">
      <c r="Q1409" s="46"/>
    </row>
    <row r="1410" spans="1:17" ht="16.5" thickBot="1" x14ac:dyDescent="0.3">
      <c r="A1410" s="62" t="s">
        <v>11</v>
      </c>
      <c r="B1410" s="63"/>
      <c r="C1410" s="63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6"/>
      <c r="P1410" s="17"/>
      <c r="Q1410" s="46"/>
    </row>
    <row r="1411" spans="1:17" ht="15.75" thickBot="1" x14ac:dyDescent="0.3">
      <c r="A1411" s="15"/>
      <c r="B1411" s="14"/>
      <c r="C1411" s="13"/>
      <c r="D1411" s="12"/>
      <c r="E1411" s="11"/>
      <c r="F1411" s="10"/>
      <c r="G1411" s="10">
        <f>+E1411*F1411</f>
        <v>0</v>
      </c>
      <c r="H1411" s="12"/>
      <c r="I1411" s="11"/>
      <c r="J1411" s="10"/>
      <c r="K1411" s="10">
        <f>+I1411*J1411</f>
        <v>0</v>
      </c>
      <c r="L1411" s="12"/>
      <c r="M1411" s="11"/>
      <c r="N1411" s="10"/>
      <c r="O1411" s="10">
        <f>+M1411*N1411</f>
        <v>0</v>
      </c>
      <c r="P1411" s="12"/>
      <c r="Q1411" s="46"/>
    </row>
    <row r="1412" spans="1:17" ht="16.5" thickBot="1" x14ac:dyDescent="0.3">
      <c r="A1412" s="62" t="s">
        <v>5</v>
      </c>
      <c r="B1412" s="63"/>
      <c r="C1412" s="63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6"/>
      <c r="P1412" s="17"/>
      <c r="Q1412" s="46"/>
    </row>
    <row r="1413" spans="1:17" ht="18" x14ac:dyDescent="0.25">
      <c r="A1413" s="15"/>
      <c r="B1413" s="14" t="s">
        <v>189</v>
      </c>
      <c r="C1413" s="13" t="s">
        <v>13</v>
      </c>
      <c r="D1413" s="12"/>
      <c r="E1413" s="11">
        <v>734.38099999999997</v>
      </c>
      <c r="F1413" s="42">
        <v>5.0199999999999996</v>
      </c>
      <c r="G1413" s="10">
        <f>+E1413*F1413</f>
        <v>3686.5926199999994</v>
      </c>
      <c r="H1413" s="12"/>
      <c r="I1413" s="11">
        <v>615.46500000000003</v>
      </c>
      <c r="J1413" s="10">
        <v>4.8</v>
      </c>
      <c r="K1413" s="10">
        <f>+I1413*J1413</f>
        <v>2954.232</v>
      </c>
      <c r="L1413" s="12"/>
      <c r="M1413" s="11">
        <v>1522.99</v>
      </c>
      <c r="N1413" s="10">
        <v>4.8499999999999996</v>
      </c>
      <c r="O1413" s="10">
        <f>+M1413*N1413</f>
        <v>7386.5014999999994</v>
      </c>
      <c r="P1413" s="12"/>
      <c r="Q1413" s="46"/>
    </row>
    <row r="1414" spans="1:17" ht="15.75" thickBot="1" x14ac:dyDescent="0.3">
      <c r="A1414" s="15"/>
      <c r="B1414" s="14"/>
      <c r="C1414" s="13"/>
      <c r="D1414" s="12"/>
      <c r="E1414" s="11"/>
      <c r="F1414" s="10"/>
      <c r="G1414" s="10">
        <f>+E1414*F1414</f>
        <v>0</v>
      </c>
      <c r="H1414" s="12"/>
      <c r="I1414" s="11"/>
      <c r="J1414" s="10"/>
      <c r="K1414" s="10">
        <f>+I1414*J1414</f>
        <v>0</v>
      </c>
      <c r="L1414" s="12"/>
      <c r="M1414" s="11"/>
      <c r="N1414" s="10"/>
      <c r="O1414" s="10">
        <f>+M1414*N1414</f>
        <v>0</v>
      </c>
      <c r="P1414" s="12"/>
      <c r="Q1414" s="46"/>
    </row>
    <row r="1415" spans="1:17" ht="16.5" thickBot="1" x14ac:dyDescent="0.3">
      <c r="A1415" s="62" t="s">
        <v>2</v>
      </c>
      <c r="B1415" s="63"/>
      <c r="C1415" s="63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6"/>
      <c r="P1415" s="17"/>
      <c r="Q1415" s="46"/>
    </row>
    <row r="1416" spans="1:17" x14ac:dyDescent="0.25">
      <c r="A1416" s="15"/>
      <c r="B1416" s="14"/>
      <c r="C1416" s="13"/>
      <c r="D1416" s="12"/>
      <c r="E1416" s="11"/>
      <c r="F1416" s="10"/>
      <c r="G1416" s="10">
        <f>+E1416*F1416</f>
        <v>0</v>
      </c>
      <c r="H1416" s="12"/>
      <c r="I1416" s="11"/>
      <c r="J1416" s="10"/>
      <c r="K1416" s="10">
        <f>+I1416*J1416</f>
        <v>0</v>
      </c>
      <c r="L1416" s="12"/>
      <c r="M1416" s="11"/>
      <c r="N1416" s="10"/>
      <c r="O1416" s="10">
        <f>+M1416*N1416</f>
        <v>0</v>
      </c>
      <c r="P1416" s="12"/>
      <c r="Q1416" s="46"/>
    </row>
    <row r="1417" spans="1:17" ht="15.75" thickBot="1" x14ac:dyDescent="0.3">
      <c r="Q1417" s="46"/>
    </row>
    <row r="1418" spans="1:17" ht="21" thickBot="1" x14ac:dyDescent="0.3">
      <c r="A1418" s="64" t="s">
        <v>1</v>
      </c>
      <c r="B1418" s="65"/>
      <c r="C1418" s="66"/>
      <c r="D1418" s="5"/>
      <c r="E1418" s="9"/>
      <c r="F1418" s="8"/>
      <c r="G1418" s="7">
        <f>SUM(G1410:G1417)</f>
        <v>3686.5926199999994</v>
      </c>
      <c r="H1418" s="5"/>
      <c r="I1418" s="9"/>
      <c r="J1418" s="8"/>
      <c r="K1418" s="7">
        <f>SUM(K1408:K1416)</f>
        <v>2954.232</v>
      </c>
      <c r="L1418" s="5"/>
      <c r="M1418" s="9"/>
      <c r="N1418" s="8"/>
      <c r="O1418" s="7">
        <f>SUM(O1408:O1416)</f>
        <v>7386.5014999999994</v>
      </c>
      <c r="P1418" s="5"/>
      <c r="Q1418" s="46"/>
    </row>
    <row r="1419" spans="1:17" ht="21" thickBot="1" x14ac:dyDescent="0.3">
      <c r="A1419" s="60" t="s">
        <v>0</v>
      </c>
      <c r="B1419" s="61"/>
      <c r="C1419" s="61"/>
      <c r="D1419" s="5"/>
      <c r="E1419" s="4"/>
      <c r="F1419" s="3"/>
      <c r="G1419" s="6">
        <f>+G1418/E1413</f>
        <v>5.0199999999999996</v>
      </c>
      <c r="H1419" s="5"/>
      <c r="I1419" s="4"/>
      <c r="J1419" s="3"/>
      <c r="K1419" s="6">
        <f>+K1418/I1413</f>
        <v>4.8</v>
      </c>
      <c r="L1419" s="5"/>
      <c r="M1419" s="4"/>
      <c r="N1419" s="3"/>
      <c r="O1419" s="6">
        <f>+O1418/M1413</f>
        <v>4.8499999999999996</v>
      </c>
      <c r="P1419" s="5"/>
      <c r="Q1419" s="46"/>
    </row>
    <row r="1420" spans="1:17" x14ac:dyDescent="0.25">
      <c r="Q1420" s="46"/>
    </row>
    <row r="1421" spans="1:17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46"/>
    </row>
    <row r="1422" spans="1:17" ht="15.75" thickBot="1" x14ac:dyDescent="0.3">
      <c r="Q1422" s="46"/>
    </row>
    <row r="1423" spans="1:17" ht="16.5" thickBot="1" x14ac:dyDescent="0.3">
      <c r="A1423" s="20" t="s">
        <v>188</v>
      </c>
      <c r="B1423" s="19" t="s">
        <v>187</v>
      </c>
      <c r="C1423" s="18" t="s">
        <v>3</v>
      </c>
      <c r="Q1423" s="46"/>
    </row>
    <row r="1424" spans="1:17" ht="15.75" thickBot="1" x14ac:dyDescent="0.3">
      <c r="Q1424" s="46"/>
    </row>
    <row r="1425" spans="1:17" ht="16.5" thickBot="1" x14ac:dyDescent="0.3">
      <c r="A1425" s="62" t="s">
        <v>11</v>
      </c>
      <c r="B1425" s="63"/>
      <c r="C1425" s="63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6"/>
      <c r="P1425" s="17"/>
      <c r="Q1425" s="46"/>
    </row>
    <row r="1426" spans="1:17" ht="15.75" thickBot="1" x14ac:dyDescent="0.3">
      <c r="A1426" s="15"/>
      <c r="B1426" s="14"/>
      <c r="C1426" s="13"/>
      <c r="D1426" s="12"/>
      <c r="E1426" s="11"/>
      <c r="F1426" s="10"/>
      <c r="G1426" s="10">
        <f>+E1426*F1426</f>
        <v>0</v>
      </c>
      <c r="H1426" s="12"/>
      <c r="I1426" s="11"/>
      <c r="J1426" s="10"/>
      <c r="K1426" s="10">
        <f>+I1426*J1426</f>
        <v>0</v>
      </c>
      <c r="L1426" s="12"/>
      <c r="M1426" s="11"/>
      <c r="N1426" s="10"/>
      <c r="O1426" s="10">
        <f>+M1426*N1426</f>
        <v>0</v>
      </c>
      <c r="P1426" s="12"/>
      <c r="Q1426" s="46"/>
    </row>
    <row r="1427" spans="1:17" ht="16.5" thickBot="1" x14ac:dyDescent="0.3">
      <c r="A1427" s="62" t="s">
        <v>5</v>
      </c>
      <c r="B1427" s="63"/>
      <c r="C1427" s="63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6"/>
      <c r="P1427" s="17"/>
      <c r="Q1427" s="46"/>
    </row>
    <row r="1428" spans="1:17" x14ac:dyDescent="0.25">
      <c r="A1428" s="15"/>
      <c r="B1428" s="14" t="s">
        <v>186</v>
      </c>
      <c r="C1428" s="13" t="s">
        <v>3</v>
      </c>
      <c r="D1428" s="12"/>
      <c r="E1428" s="11">
        <v>331.1</v>
      </c>
      <c r="F1428" s="42">
        <v>3.1</v>
      </c>
      <c r="G1428" s="10">
        <f>+E1428*F1428</f>
        <v>1026.4100000000001</v>
      </c>
      <c r="H1428" s="12"/>
      <c r="I1428" s="11">
        <v>89.2</v>
      </c>
      <c r="J1428" s="10">
        <v>2.9</v>
      </c>
      <c r="K1428" s="10">
        <f>+I1428*J1428</f>
        <v>258.68</v>
      </c>
      <c r="L1428" s="12"/>
      <c r="M1428" s="11"/>
      <c r="N1428" s="10"/>
      <c r="O1428" s="10">
        <f>+M1428*N1428</f>
        <v>0</v>
      </c>
      <c r="P1428" s="12"/>
      <c r="Q1428" s="46"/>
    </row>
    <row r="1429" spans="1:17" ht="15.75" thickBot="1" x14ac:dyDescent="0.3">
      <c r="A1429" s="15"/>
      <c r="B1429" s="14"/>
      <c r="C1429" s="13"/>
      <c r="D1429" s="12"/>
      <c r="E1429" s="11"/>
      <c r="F1429" s="10"/>
      <c r="G1429" s="10">
        <f>+E1429*F1429</f>
        <v>0</v>
      </c>
      <c r="H1429" s="12"/>
      <c r="I1429" s="11"/>
      <c r="J1429" s="10"/>
      <c r="K1429" s="10">
        <f>+I1429*J1429</f>
        <v>0</v>
      </c>
      <c r="L1429" s="12"/>
      <c r="M1429" s="11"/>
      <c r="N1429" s="10"/>
      <c r="O1429" s="10">
        <f>+M1429*N1429</f>
        <v>0</v>
      </c>
      <c r="P1429" s="12"/>
      <c r="Q1429" s="46"/>
    </row>
    <row r="1430" spans="1:17" ht="16.5" thickBot="1" x14ac:dyDescent="0.3">
      <c r="A1430" s="62" t="s">
        <v>2</v>
      </c>
      <c r="B1430" s="63"/>
      <c r="C1430" s="63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6"/>
      <c r="P1430" s="17"/>
      <c r="Q1430" s="46"/>
    </row>
    <row r="1431" spans="1:17" x14ac:dyDescent="0.25">
      <c r="A1431" s="15"/>
      <c r="B1431" s="14"/>
      <c r="C1431" s="13"/>
      <c r="D1431" s="12"/>
      <c r="E1431" s="11"/>
      <c r="F1431" s="10"/>
      <c r="G1431" s="10">
        <f>+E1431*F1431</f>
        <v>0</v>
      </c>
      <c r="H1431" s="12"/>
      <c r="I1431" s="11"/>
      <c r="J1431" s="10"/>
      <c r="K1431" s="10">
        <f>+I1431*J1431</f>
        <v>0</v>
      </c>
      <c r="L1431" s="12"/>
      <c r="M1431" s="11"/>
      <c r="N1431" s="10"/>
      <c r="O1431" s="10">
        <f>+M1431*N1431</f>
        <v>0</v>
      </c>
      <c r="P1431" s="12"/>
      <c r="Q1431" s="46"/>
    </row>
    <row r="1432" spans="1:17" ht="15.75" thickBot="1" x14ac:dyDescent="0.3">
      <c r="Q1432" s="46"/>
    </row>
    <row r="1433" spans="1:17" ht="21" thickBot="1" x14ac:dyDescent="0.3">
      <c r="A1433" s="64" t="s">
        <v>1</v>
      </c>
      <c r="B1433" s="65"/>
      <c r="C1433" s="66"/>
      <c r="D1433" s="5"/>
      <c r="E1433" s="9"/>
      <c r="F1433" s="8"/>
      <c r="G1433" s="7">
        <f>SUM(G1425:G1432)</f>
        <v>1026.4100000000001</v>
      </c>
      <c r="H1433" s="5"/>
      <c r="I1433" s="9"/>
      <c r="J1433" s="8"/>
      <c r="K1433" s="7">
        <f>SUM(K1423:K1431)</f>
        <v>258.68</v>
      </c>
      <c r="L1433" s="5"/>
      <c r="M1433" s="9"/>
      <c r="N1433" s="8"/>
      <c r="O1433" s="7">
        <f>SUM(O1423:O1431)</f>
        <v>0</v>
      </c>
      <c r="P1433" s="5"/>
      <c r="Q1433" s="46"/>
    </row>
    <row r="1434" spans="1:17" ht="21" thickBot="1" x14ac:dyDescent="0.3">
      <c r="A1434" s="60" t="s">
        <v>0</v>
      </c>
      <c r="B1434" s="61"/>
      <c r="C1434" s="61"/>
      <c r="D1434" s="5"/>
      <c r="E1434" s="4"/>
      <c r="F1434" s="3"/>
      <c r="G1434" s="6">
        <f>+G1433/E1428</f>
        <v>3.1</v>
      </c>
      <c r="H1434" s="5"/>
      <c r="I1434" s="4"/>
      <c r="J1434" s="3"/>
      <c r="K1434" s="6">
        <f>+K1433/I1428</f>
        <v>2.9</v>
      </c>
      <c r="L1434" s="5"/>
      <c r="M1434" s="4"/>
      <c r="N1434" s="3"/>
      <c r="O1434" s="6" t="e">
        <f>+O1433/M1428</f>
        <v>#DIV/0!</v>
      </c>
      <c r="P1434" s="5"/>
      <c r="Q1434" s="46"/>
    </row>
    <row r="1435" spans="1:17" x14ac:dyDescent="0.25">
      <c r="Q1435" s="46"/>
    </row>
    <row r="1436" spans="1:17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46"/>
    </row>
    <row r="1437" spans="1:17" ht="15.75" thickBot="1" x14ac:dyDescent="0.3">
      <c r="Q1437" s="46"/>
    </row>
    <row r="1438" spans="1:17" ht="16.5" thickBot="1" x14ac:dyDescent="0.3">
      <c r="A1438" s="20" t="s">
        <v>185</v>
      </c>
      <c r="B1438" s="19" t="s">
        <v>184</v>
      </c>
      <c r="C1438" s="18" t="s">
        <v>3</v>
      </c>
      <c r="Q1438" s="46"/>
    </row>
    <row r="1439" spans="1:17" ht="15.75" thickBot="1" x14ac:dyDescent="0.3">
      <c r="Q1439" s="46"/>
    </row>
    <row r="1440" spans="1:17" ht="16.5" thickBot="1" x14ac:dyDescent="0.3">
      <c r="A1440" s="62" t="s">
        <v>11</v>
      </c>
      <c r="B1440" s="63"/>
      <c r="C1440" s="63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6"/>
      <c r="P1440" s="17"/>
      <c r="Q1440" s="46"/>
    </row>
    <row r="1441" spans="1:17" ht="15.75" thickBot="1" x14ac:dyDescent="0.3">
      <c r="A1441" s="15"/>
      <c r="B1441" s="14"/>
      <c r="C1441" s="13"/>
      <c r="D1441" s="12"/>
      <c r="E1441" s="11"/>
      <c r="F1441" s="10"/>
      <c r="G1441" s="10">
        <f>+E1441*F1441</f>
        <v>0</v>
      </c>
      <c r="H1441" s="12"/>
      <c r="I1441" s="11"/>
      <c r="J1441" s="10"/>
      <c r="K1441" s="10">
        <f>+I1441*J1441</f>
        <v>0</v>
      </c>
      <c r="L1441" s="12"/>
      <c r="M1441" s="11"/>
      <c r="N1441" s="10"/>
      <c r="O1441" s="10">
        <f>+M1441*N1441</f>
        <v>0</v>
      </c>
      <c r="P1441" s="12"/>
      <c r="Q1441" s="46"/>
    </row>
    <row r="1442" spans="1:17" ht="16.5" thickBot="1" x14ac:dyDescent="0.3">
      <c r="A1442" s="62" t="s">
        <v>5</v>
      </c>
      <c r="B1442" s="63"/>
      <c r="C1442" s="63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6"/>
      <c r="P1442" s="17"/>
      <c r="Q1442" s="46"/>
    </row>
    <row r="1443" spans="1:17" x14ac:dyDescent="0.25">
      <c r="A1443" s="15"/>
      <c r="B1443" s="14" t="s">
        <v>183</v>
      </c>
      <c r="C1443" s="13" t="s">
        <v>3</v>
      </c>
      <c r="D1443" s="12"/>
      <c r="E1443" s="11">
        <v>15.9</v>
      </c>
      <c r="F1443" s="42">
        <v>1.6</v>
      </c>
      <c r="G1443" s="10">
        <f>+E1443*F1443</f>
        <v>25.44</v>
      </c>
      <c r="H1443" s="12"/>
      <c r="I1443" s="11">
        <v>42.8</v>
      </c>
      <c r="J1443" s="10">
        <v>1.3</v>
      </c>
      <c r="K1443" s="10">
        <f>+I1443*J1443</f>
        <v>55.64</v>
      </c>
      <c r="L1443" s="12"/>
      <c r="M1443" s="11"/>
      <c r="N1443" s="10"/>
      <c r="O1443" s="10">
        <f>+M1443*N1443</f>
        <v>0</v>
      </c>
      <c r="P1443" s="12"/>
      <c r="Q1443" s="46"/>
    </row>
    <row r="1444" spans="1:17" ht="15.75" thickBot="1" x14ac:dyDescent="0.3">
      <c r="A1444" s="15"/>
      <c r="B1444" s="14"/>
      <c r="C1444" s="13"/>
      <c r="D1444" s="12"/>
      <c r="E1444" s="11"/>
      <c r="F1444" s="10"/>
      <c r="G1444" s="10">
        <f>+E1444*F1444</f>
        <v>0</v>
      </c>
      <c r="H1444" s="12"/>
      <c r="I1444" s="11"/>
      <c r="J1444" s="10"/>
      <c r="K1444" s="10">
        <f>+I1444*J1444</f>
        <v>0</v>
      </c>
      <c r="L1444" s="12"/>
      <c r="M1444" s="11"/>
      <c r="N1444" s="10"/>
      <c r="O1444" s="10">
        <f>+M1444*N1444</f>
        <v>0</v>
      </c>
      <c r="P1444" s="12"/>
      <c r="Q1444" s="46"/>
    </row>
    <row r="1445" spans="1:17" ht="16.5" thickBot="1" x14ac:dyDescent="0.3">
      <c r="A1445" s="62" t="s">
        <v>2</v>
      </c>
      <c r="B1445" s="63"/>
      <c r="C1445" s="63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6"/>
      <c r="P1445" s="17"/>
      <c r="Q1445" s="46"/>
    </row>
    <row r="1446" spans="1:17" x14ac:dyDescent="0.25">
      <c r="A1446" s="15"/>
      <c r="B1446" s="14"/>
      <c r="C1446" s="13"/>
      <c r="D1446" s="12"/>
      <c r="E1446" s="11"/>
      <c r="F1446" s="10"/>
      <c r="G1446" s="10">
        <f>+E1446*F1446</f>
        <v>0</v>
      </c>
      <c r="H1446" s="12"/>
      <c r="I1446" s="11"/>
      <c r="J1446" s="10"/>
      <c r="K1446" s="10">
        <f>+I1446*J1446</f>
        <v>0</v>
      </c>
      <c r="L1446" s="12"/>
      <c r="M1446" s="11"/>
      <c r="N1446" s="10"/>
      <c r="O1446" s="10">
        <f>+M1446*N1446</f>
        <v>0</v>
      </c>
      <c r="P1446" s="12"/>
      <c r="Q1446" s="46"/>
    </row>
    <row r="1447" spans="1:17" ht="15.75" thickBot="1" x14ac:dyDescent="0.3">
      <c r="Q1447" s="46"/>
    </row>
    <row r="1448" spans="1:17" ht="21" thickBot="1" x14ac:dyDescent="0.3">
      <c r="A1448" s="64" t="s">
        <v>1</v>
      </c>
      <c r="B1448" s="65"/>
      <c r="C1448" s="66"/>
      <c r="D1448" s="5"/>
      <c r="E1448" s="9"/>
      <c r="F1448" s="8"/>
      <c r="G1448" s="7">
        <f>SUM(G1440:G1447)</f>
        <v>25.44</v>
      </c>
      <c r="H1448" s="5"/>
      <c r="I1448" s="9"/>
      <c r="J1448" s="8"/>
      <c r="K1448" s="7">
        <f>SUM(K1438:K1446)</f>
        <v>55.64</v>
      </c>
      <c r="L1448" s="5"/>
      <c r="M1448" s="9"/>
      <c r="N1448" s="8"/>
      <c r="O1448" s="7">
        <f>SUM(O1438:O1446)</f>
        <v>0</v>
      </c>
      <c r="P1448" s="5"/>
      <c r="Q1448" s="46"/>
    </row>
    <row r="1449" spans="1:17" ht="21" thickBot="1" x14ac:dyDescent="0.3">
      <c r="A1449" s="60" t="s">
        <v>0</v>
      </c>
      <c r="B1449" s="61"/>
      <c r="C1449" s="61"/>
      <c r="D1449" s="5"/>
      <c r="E1449" s="4"/>
      <c r="F1449" s="3"/>
      <c r="G1449" s="6">
        <f>+G1448/E1443</f>
        <v>1.6</v>
      </c>
      <c r="H1449" s="5"/>
      <c r="I1449" s="4"/>
      <c r="J1449" s="3"/>
      <c r="K1449" s="6">
        <f>+K1448/I1443</f>
        <v>1.3</v>
      </c>
      <c r="L1449" s="5"/>
      <c r="M1449" s="4"/>
      <c r="N1449" s="3"/>
      <c r="O1449" s="6" t="e">
        <f>+O1448/M1443</f>
        <v>#DIV/0!</v>
      </c>
      <c r="P1449" s="5"/>
      <c r="Q1449" s="46"/>
    </row>
    <row r="1450" spans="1:17" x14ac:dyDescent="0.25">
      <c r="Q1450" s="46"/>
    </row>
    <row r="1451" spans="1:17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46"/>
    </row>
    <row r="1452" spans="1:17" ht="15.75" thickBot="1" x14ac:dyDescent="0.3">
      <c r="Q1452" s="46"/>
    </row>
    <row r="1453" spans="1:17" ht="19.5" thickBot="1" x14ac:dyDescent="0.3">
      <c r="A1453" s="20" t="s">
        <v>182</v>
      </c>
      <c r="B1453" s="19" t="s">
        <v>181</v>
      </c>
      <c r="C1453" s="18" t="s">
        <v>19</v>
      </c>
      <c r="Q1453" s="46"/>
    </row>
    <row r="1454" spans="1:17" ht="15.75" thickBot="1" x14ac:dyDescent="0.3">
      <c r="Q1454" s="46"/>
    </row>
    <row r="1455" spans="1:17" ht="16.5" thickBot="1" x14ac:dyDescent="0.3">
      <c r="A1455" s="62" t="s">
        <v>11</v>
      </c>
      <c r="B1455" s="63"/>
      <c r="C1455" s="63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6"/>
      <c r="P1455" s="17"/>
      <c r="Q1455" s="46"/>
    </row>
    <row r="1456" spans="1:17" x14ac:dyDescent="0.25">
      <c r="A1456" s="15"/>
      <c r="B1456" s="14" t="s">
        <v>261</v>
      </c>
      <c r="C1456" s="13" t="s">
        <v>6</v>
      </c>
      <c r="D1456" s="12"/>
      <c r="E1456" s="11"/>
      <c r="F1456" s="10"/>
      <c r="G1456" s="10">
        <f t="shared" ref="G1456:G1462" si="82">+E1456*F1456</f>
        <v>0</v>
      </c>
      <c r="H1456" s="12"/>
      <c r="I1456" s="11"/>
      <c r="J1456" s="10"/>
      <c r="K1456" s="10">
        <f t="shared" ref="K1456:K1462" si="83">+I1456*J1456</f>
        <v>0</v>
      </c>
      <c r="L1456" s="12"/>
      <c r="M1456" s="11">
        <v>6.24</v>
      </c>
      <c r="N1456" s="10">
        <v>13.07</v>
      </c>
      <c r="O1456" s="10">
        <f t="shared" ref="O1456:O1462" si="84">+M1456*N1456</f>
        <v>81.55680000000001</v>
      </c>
      <c r="P1456" s="12"/>
      <c r="Q1456" s="55">
        <f>+M1456/$M$1467</f>
        <v>5.9465383332539196E-3</v>
      </c>
    </row>
    <row r="1457" spans="1:17" ht="18" x14ac:dyDescent="0.25">
      <c r="A1457" s="15"/>
      <c r="B1457" s="14" t="s">
        <v>176</v>
      </c>
      <c r="C1457" s="13" t="s">
        <v>42</v>
      </c>
      <c r="D1457" s="12"/>
      <c r="E1457" s="11">
        <v>0.48</v>
      </c>
      <c r="F1457" s="10">
        <v>12.46</v>
      </c>
      <c r="G1457" s="10">
        <f t="shared" si="82"/>
        <v>5.9808000000000003</v>
      </c>
      <c r="H1457" s="12"/>
      <c r="I1457" s="11"/>
      <c r="J1457" s="10"/>
      <c r="K1457" s="10">
        <f t="shared" si="83"/>
        <v>0</v>
      </c>
      <c r="L1457" s="12"/>
      <c r="M1457" s="11">
        <v>4.32</v>
      </c>
      <c r="N1457" s="10">
        <v>14</v>
      </c>
      <c r="O1457" s="10">
        <f t="shared" si="84"/>
        <v>60.480000000000004</v>
      </c>
      <c r="P1457" s="12"/>
      <c r="Q1457" s="55">
        <f>+(E1457+M1457)/($E$1467+$M$1467)</f>
        <v>2.4710170294256948E-3</v>
      </c>
    </row>
    <row r="1458" spans="1:17" x14ac:dyDescent="0.25">
      <c r="A1458" s="15"/>
      <c r="B1458" s="14" t="s">
        <v>551</v>
      </c>
      <c r="C1458" s="13" t="s">
        <v>15</v>
      </c>
      <c r="D1458" s="12"/>
      <c r="E1458" s="11"/>
      <c r="F1458" s="10"/>
      <c r="G1458" s="10">
        <f t="shared" si="82"/>
        <v>0</v>
      </c>
      <c r="H1458" s="12"/>
      <c r="I1458" s="11"/>
      <c r="J1458" s="10"/>
      <c r="K1458" s="10">
        <f t="shared" si="83"/>
        <v>0</v>
      </c>
      <c r="L1458" s="12"/>
      <c r="M1458" s="11">
        <v>9</v>
      </c>
      <c r="N1458" s="10">
        <v>1.1299999999999999</v>
      </c>
      <c r="O1458" s="10">
        <f t="shared" si="84"/>
        <v>10.169999999999998</v>
      </c>
      <c r="P1458" s="12"/>
      <c r="Q1458" s="55">
        <f>+M1458/$M$1467</f>
        <v>8.5767379806546921E-3</v>
      </c>
    </row>
    <row r="1459" spans="1:17" x14ac:dyDescent="0.25">
      <c r="A1459" s="15"/>
      <c r="B1459" s="14" t="s">
        <v>48</v>
      </c>
      <c r="C1459" s="13" t="s">
        <v>8</v>
      </c>
      <c r="D1459" s="12"/>
      <c r="E1459" s="11">
        <v>2</v>
      </c>
      <c r="F1459" s="10">
        <v>6.59</v>
      </c>
      <c r="G1459" s="10">
        <f t="shared" si="82"/>
        <v>13.18</v>
      </c>
      <c r="H1459" s="12"/>
      <c r="I1459" s="11"/>
      <c r="J1459" s="10"/>
      <c r="K1459" s="10">
        <f t="shared" si="83"/>
        <v>0</v>
      </c>
      <c r="L1459" s="12"/>
      <c r="M1459" s="11">
        <v>87</v>
      </c>
      <c r="N1459" s="10">
        <v>6.72</v>
      </c>
      <c r="O1459" s="10">
        <f t="shared" si="84"/>
        <v>584.64</v>
      </c>
      <c r="P1459" s="12"/>
      <c r="Q1459" s="55">
        <f>+(E1459+M1459)/($E$1467+$M$1467)</f>
        <v>4.5816774087268086E-2</v>
      </c>
    </row>
    <row r="1460" spans="1:17" x14ac:dyDescent="0.25">
      <c r="A1460" s="15"/>
      <c r="B1460" s="14" t="s">
        <v>157</v>
      </c>
      <c r="C1460" s="13" t="s">
        <v>15</v>
      </c>
      <c r="D1460" s="12"/>
      <c r="E1460" s="11"/>
      <c r="F1460" s="10"/>
      <c r="G1460" s="10">
        <f t="shared" si="82"/>
        <v>0</v>
      </c>
      <c r="H1460" s="12"/>
      <c r="I1460" s="11"/>
      <c r="J1460" s="10"/>
      <c r="K1460" s="10">
        <f t="shared" si="83"/>
        <v>0</v>
      </c>
      <c r="L1460" s="12"/>
      <c r="M1460" s="11">
        <v>1</v>
      </c>
      <c r="N1460" s="10">
        <v>7.25</v>
      </c>
      <c r="O1460" s="10">
        <f t="shared" si="84"/>
        <v>7.25</v>
      </c>
      <c r="P1460" s="12"/>
      <c r="Q1460" s="56">
        <f>+M1460/$M$1467</f>
        <v>9.5297088673941023E-4</v>
      </c>
    </row>
    <row r="1461" spans="1:17" ht="30" x14ac:dyDescent="0.25">
      <c r="A1461" s="15"/>
      <c r="B1461" s="14" t="s">
        <v>363</v>
      </c>
      <c r="C1461" s="13" t="s">
        <v>15</v>
      </c>
      <c r="D1461" s="12"/>
      <c r="E1461" s="11"/>
      <c r="F1461" s="10"/>
      <c r="G1461" s="10">
        <f t="shared" si="82"/>
        <v>0</v>
      </c>
      <c r="H1461" s="12"/>
      <c r="I1461" s="11"/>
      <c r="J1461" s="10"/>
      <c r="K1461" s="10">
        <f t="shared" si="83"/>
        <v>0</v>
      </c>
      <c r="L1461" s="12"/>
      <c r="M1461" s="11">
        <v>24</v>
      </c>
      <c r="N1461" s="10">
        <v>4.82</v>
      </c>
      <c r="O1461" s="10">
        <f t="shared" si="84"/>
        <v>115.68</v>
      </c>
      <c r="P1461" s="12"/>
      <c r="Q1461" s="56">
        <f>+M1461/$M$1467</f>
        <v>2.2871301281745846E-2</v>
      </c>
    </row>
    <row r="1462" spans="1:17" x14ac:dyDescent="0.25">
      <c r="A1462" s="15"/>
      <c r="B1462" s="14" t="s">
        <v>180</v>
      </c>
      <c r="C1462" s="13" t="s">
        <v>3</v>
      </c>
      <c r="D1462" s="12"/>
      <c r="E1462" s="11"/>
      <c r="F1462" s="10"/>
      <c r="G1462" s="10">
        <f t="shared" si="82"/>
        <v>0</v>
      </c>
      <c r="H1462" s="12"/>
      <c r="I1462" s="11">
        <v>2</v>
      </c>
      <c r="J1462" s="10">
        <v>2.74</v>
      </c>
      <c r="K1462" s="10">
        <f t="shared" si="83"/>
        <v>5.48</v>
      </c>
      <c r="L1462" s="12"/>
      <c r="M1462" s="11">
        <v>4</v>
      </c>
      <c r="N1462" s="10">
        <v>2.74</v>
      </c>
      <c r="O1462" s="10">
        <f t="shared" si="84"/>
        <v>10.96</v>
      </c>
      <c r="P1462" s="12"/>
      <c r="Q1462" s="55">
        <f>+(I1462+M1462)/($I$1467+$M$1467)</f>
        <v>4.0669142965593904E-3</v>
      </c>
    </row>
    <row r="1463" spans="1:17" x14ac:dyDescent="0.25">
      <c r="A1463" s="15"/>
      <c r="B1463" s="14" t="s">
        <v>154</v>
      </c>
      <c r="C1463" s="13" t="s">
        <v>15</v>
      </c>
      <c r="D1463" s="12"/>
      <c r="E1463" s="11"/>
      <c r="F1463" s="10"/>
      <c r="G1463" s="10">
        <f>+E1463*F1463</f>
        <v>0</v>
      </c>
      <c r="H1463" s="12"/>
      <c r="I1463" s="11"/>
      <c r="J1463" s="10"/>
      <c r="K1463" s="10">
        <f>+I1463*J1463</f>
        <v>0</v>
      </c>
      <c r="L1463" s="12"/>
      <c r="M1463" s="11">
        <v>4</v>
      </c>
      <c r="N1463" s="10">
        <v>103.82</v>
      </c>
      <c r="O1463" s="10">
        <f>+M1463*N1463</f>
        <v>415.28</v>
      </c>
      <c r="P1463" s="12"/>
      <c r="Q1463" s="56">
        <f>+M1463/$M$1467</f>
        <v>3.8118835469576409E-3</v>
      </c>
    </row>
    <row r="1464" spans="1:17" x14ac:dyDescent="0.25">
      <c r="A1464" s="15"/>
      <c r="B1464" s="14" t="s">
        <v>7</v>
      </c>
      <c r="C1464" s="13" t="s">
        <v>6</v>
      </c>
      <c r="D1464" s="12"/>
      <c r="E1464" s="11"/>
      <c r="F1464" s="10"/>
      <c r="G1464" s="10">
        <f>+E1464*F1464</f>
        <v>0</v>
      </c>
      <c r="H1464" s="12"/>
      <c r="I1464" s="11"/>
      <c r="J1464" s="10"/>
      <c r="K1464" s="10">
        <f>+I1464*J1464</f>
        <v>0</v>
      </c>
      <c r="L1464" s="12"/>
      <c r="M1464" s="11">
        <v>1.72</v>
      </c>
      <c r="N1464" s="10">
        <v>16.29</v>
      </c>
      <c r="O1464" s="10">
        <f>+M1464*N1464</f>
        <v>28.018799999999999</v>
      </c>
      <c r="P1464" s="12"/>
      <c r="Q1464" s="56">
        <f>+M1464/$M$1467</f>
        <v>1.6391099251917855E-3</v>
      </c>
    </row>
    <row r="1465" spans="1:17" ht="15.75" thickBot="1" x14ac:dyDescent="0.3">
      <c r="A1465" s="15"/>
      <c r="B1465" s="14"/>
      <c r="C1465" s="13"/>
      <c r="D1465" s="12"/>
      <c r="E1465" s="11"/>
      <c r="F1465" s="10"/>
      <c r="G1465" s="10">
        <f>+E1465*F1465</f>
        <v>0</v>
      </c>
      <c r="H1465" s="12"/>
      <c r="I1465" s="11"/>
      <c r="J1465" s="10"/>
      <c r="K1465" s="10">
        <f>+I1465*J1465</f>
        <v>0</v>
      </c>
      <c r="L1465" s="12"/>
      <c r="M1465" s="11"/>
      <c r="N1465" s="10"/>
      <c r="O1465" s="10">
        <f>+M1465*N1465</f>
        <v>0</v>
      </c>
      <c r="P1465" s="12"/>
      <c r="Q1465" s="46"/>
    </row>
    <row r="1466" spans="1:17" ht="16.5" thickBot="1" x14ac:dyDescent="0.3">
      <c r="A1466" s="62" t="s">
        <v>5</v>
      </c>
      <c r="B1466" s="63"/>
      <c r="C1466" s="63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6"/>
      <c r="P1466" s="17"/>
      <c r="Q1466" s="46"/>
    </row>
    <row r="1467" spans="1:17" ht="18" x14ac:dyDescent="0.25">
      <c r="A1467" s="15"/>
      <c r="B1467" s="14" t="s">
        <v>179</v>
      </c>
      <c r="C1467" s="13" t="s">
        <v>13</v>
      </c>
      <c r="D1467" s="12"/>
      <c r="E1467" s="11">
        <v>893.17</v>
      </c>
      <c r="F1467" s="42">
        <v>1.2</v>
      </c>
      <c r="G1467" s="10">
        <f>+E1467*F1467</f>
        <v>1071.8039999999999</v>
      </c>
      <c r="H1467" s="12"/>
      <c r="I1467" s="11">
        <v>425.97</v>
      </c>
      <c r="J1467" s="10">
        <v>1.1299999999999999</v>
      </c>
      <c r="K1467" s="10">
        <f>+I1467*J1467</f>
        <v>481.34609999999998</v>
      </c>
      <c r="L1467" s="12"/>
      <c r="M1467" s="11">
        <v>1049.3499999999999</v>
      </c>
      <c r="N1467" s="10">
        <v>1.1299999999999999</v>
      </c>
      <c r="O1467" s="10">
        <f>+M1467*N1467</f>
        <v>1185.7654999999997</v>
      </c>
      <c r="P1467" s="12"/>
      <c r="Q1467" s="46"/>
    </row>
    <row r="1468" spans="1:17" ht="15.75" thickBot="1" x14ac:dyDescent="0.3">
      <c r="A1468" s="15"/>
      <c r="B1468" s="14"/>
      <c r="C1468" s="13"/>
      <c r="D1468" s="12"/>
      <c r="E1468" s="11"/>
      <c r="F1468" s="10"/>
      <c r="G1468" s="10">
        <f>+E1468*F1468</f>
        <v>0</v>
      </c>
      <c r="H1468" s="12"/>
      <c r="I1468" s="11"/>
      <c r="J1468" s="10"/>
      <c r="K1468" s="10">
        <f>+I1468*J1468</f>
        <v>0</v>
      </c>
      <c r="L1468" s="12"/>
      <c r="M1468" s="11"/>
      <c r="N1468" s="10"/>
      <c r="O1468" s="10">
        <f>+M1468*N1468</f>
        <v>0</v>
      </c>
      <c r="P1468" s="12"/>
      <c r="Q1468" s="46"/>
    </row>
    <row r="1469" spans="1:17" ht="16.5" thickBot="1" x14ac:dyDescent="0.3">
      <c r="A1469" s="62" t="s">
        <v>2</v>
      </c>
      <c r="B1469" s="63"/>
      <c r="C1469" s="63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6"/>
      <c r="P1469" s="17"/>
      <c r="Q1469" s="46"/>
    </row>
    <row r="1470" spans="1:17" x14ac:dyDescent="0.25">
      <c r="A1470" s="15"/>
      <c r="B1470" s="14" t="s">
        <v>310</v>
      </c>
      <c r="C1470" s="13" t="s">
        <v>15</v>
      </c>
      <c r="D1470" s="12"/>
      <c r="E1470" s="11"/>
      <c r="F1470" s="10"/>
      <c r="G1470" s="10">
        <f>+E1470*F1470</f>
        <v>0</v>
      </c>
      <c r="H1470" s="12"/>
      <c r="I1470" s="11"/>
      <c r="J1470" s="10"/>
      <c r="K1470" s="10">
        <f>+I1470*J1470</f>
        <v>0</v>
      </c>
      <c r="L1470" s="12"/>
      <c r="M1470" s="11">
        <v>13</v>
      </c>
      <c r="N1470" s="10">
        <v>31.25</v>
      </c>
      <c r="O1470" s="10">
        <f>+M1470*N1470</f>
        <v>406.25</v>
      </c>
      <c r="P1470" s="12"/>
      <c r="Q1470" s="55">
        <f>+M1470/M1467</f>
        <v>1.2388621527612333E-2</v>
      </c>
    </row>
    <row r="1471" spans="1:17" ht="15.75" thickBot="1" x14ac:dyDescent="0.3">
      <c r="Q1471" s="46"/>
    </row>
    <row r="1472" spans="1:17" ht="21" thickBot="1" x14ac:dyDescent="0.3">
      <c r="A1472" s="64" t="s">
        <v>1</v>
      </c>
      <c r="B1472" s="65"/>
      <c r="C1472" s="66"/>
      <c r="D1472" s="5"/>
      <c r="E1472" s="9"/>
      <c r="F1472" s="8"/>
      <c r="G1472" s="7">
        <f>SUM(G1455:G1471)</f>
        <v>1090.9648</v>
      </c>
      <c r="H1472" s="5"/>
      <c r="I1472" s="9"/>
      <c r="J1472" s="8"/>
      <c r="K1472" s="7">
        <f>SUM(K1453:K1470)</f>
        <v>486.8261</v>
      </c>
      <c r="L1472" s="5"/>
      <c r="M1472" s="9"/>
      <c r="N1472" s="8"/>
      <c r="O1472" s="7">
        <f>SUM(O1453:O1470)</f>
        <v>2906.0510999999997</v>
      </c>
      <c r="P1472" s="5"/>
      <c r="Q1472" s="46"/>
    </row>
    <row r="1473" spans="1:17" ht="21" thickBot="1" x14ac:dyDescent="0.3">
      <c r="A1473" s="60" t="s">
        <v>0</v>
      </c>
      <c r="B1473" s="61"/>
      <c r="C1473" s="61"/>
      <c r="D1473" s="5"/>
      <c r="E1473" s="4"/>
      <c r="F1473" s="3"/>
      <c r="G1473" s="6">
        <f>+G1472/E1467</f>
        <v>1.2214525790163127</v>
      </c>
      <c r="H1473" s="5"/>
      <c r="I1473" s="4"/>
      <c r="J1473" s="3"/>
      <c r="K1473" s="6">
        <f>+K1472/I1467</f>
        <v>1.1428647557339717</v>
      </c>
      <c r="L1473" s="5"/>
      <c r="M1473" s="4"/>
      <c r="N1473" s="3"/>
      <c r="O1473" s="6">
        <f>+O1472/M1467</f>
        <v>2.7693820936770379</v>
      </c>
      <c r="P1473" s="5"/>
      <c r="Q1473" s="46"/>
    </row>
    <row r="1474" spans="1:17" x14ac:dyDescent="0.25">
      <c r="Q1474" s="46"/>
    </row>
    <row r="1475" spans="1:17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46"/>
    </row>
    <row r="1476" spans="1:17" ht="15.75" thickBot="1" x14ac:dyDescent="0.3">
      <c r="O1476" s="38"/>
      <c r="Q1476" s="46"/>
    </row>
    <row r="1477" spans="1:17" ht="16.5" thickBot="1" x14ac:dyDescent="0.3">
      <c r="A1477" s="20" t="s">
        <v>178</v>
      </c>
      <c r="B1477" s="19" t="s">
        <v>177</v>
      </c>
      <c r="C1477" s="18" t="s">
        <v>3</v>
      </c>
      <c r="Q1477" s="46"/>
    </row>
    <row r="1478" spans="1:17" ht="15.75" thickBot="1" x14ac:dyDescent="0.3">
      <c r="Q1478" s="46"/>
    </row>
    <row r="1479" spans="1:17" ht="16.5" thickBot="1" x14ac:dyDescent="0.3">
      <c r="A1479" s="62" t="s">
        <v>11</v>
      </c>
      <c r="B1479" s="63"/>
      <c r="C1479" s="63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6"/>
      <c r="P1479" s="17"/>
      <c r="Q1479" s="46"/>
    </row>
    <row r="1480" spans="1:17" ht="18" x14ac:dyDescent="0.25">
      <c r="A1480" s="15"/>
      <c r="B1480" s="14" t="s">
        <v>261</v>
      </c>
      <c r="C1480" s="13" t="s">
        <v>42</v>
      </c>
      <c r="D1480" s="12"/>
      <c r="E1480" s="11"/>
      <c r="F1480" s="10"/>
      <c r="G1480" s="10">
        <f t="shared" ref="G1480:G1492" si="85">+E1480*F1480</f>
        <v>0</v>
      </c>
      <c r="H1480" s="12"/>
      <c r="I1480" s="11"/>
      <c r="J1480" s="10"/>
      <c r="K1480" s="10">
        <f t="shared" ref="K1480:K1492" si="86">+I1480*J1480</f>
        <v>0</v>
      </c>
      <c r="L1480" s="12"/>
      <c r="M1480" s="11">
        <v>0.48</v>
      </c>
      <c r="N1480" s="10">
        <v>12.27</v>
      </c>
      <c r="O1480" s="10">
        <f t="shared" ref="O1480:O1492" si="87">+M1480*N1480</f>
        <v>5.8895999999999997</v>
      </c>
      <c r="P1480" s="12"/>
      <c r="Q1480" s="55">
        <f>+M1480/$M$1494</f>
        <v>1.3714285714285714E-3</v>
      </c>
    </row>
    <row r="1481" spans="1:17" ht="18" x14ac:dyDescent="0.25">
      <c r="A1481" s="15"/>
      <c r="B1481" s="14" t="s">
        <v>176</v>
      </c>
      <c r="C1481" s="13" t="s">
        <v>42</v>
      </c>
      <c r="D1481" s="12"/>
      <c r="E1481" s="11">
        <v>1.6</v>
      </c>
      <c r="F1481" s="10">
        <v>13.4</v>
      </c>
      <c r="G1481" s="10">
        <f>+E1481*F1481</f>
        <v>21.44</v>
      </c>
      <c r="H1481" s="12"/>
      <c r="I1481" s="11"/>
      <c r="J1481" s="10"/>
      <c r="K1481" s="10">
        <f>+I1481*J1481</f>
        <v>0</v>
      </c>
      <c r="L1481" s="12"/>
      <c r="M1481" s="11">
        <v>0.36</v>
      </c>
      <c r="N1481" s="10">
        <v>14</v>
      </c>
      <c r="O1481" s="10">
        <f>+M1481*N1481</f>
        <v>5.04</v>
      </c>
      <c r="P1481" s="12"/>
      <c r="Q1481" s="55">
        <f>+(E1481+M1481)/($E$1494+$M$1494)</f>
        <v>3.9720336406930791E-3</v>
      </c>
    </row>
    <row r="1482" spans="1:17" x14ac:dyDescent="0.25">
      <c r="A1482" s="15"/>
      <c r="B1482" s="14" t="s">
        <v>175</v>
      </c>
      <c r="C1482" s="13" t="s">
        <v>15</v>
      </c>
      <c r="D1482" s="12"/>
      <c r="E1482" s="11">
        <v>8</v>
      </c>
      <c r="F1482" s="10">
        <v>6.63</v>
      </c>
      <c r="G1482" s="10">
        <f t="shared" si="85"/>
        <v>53.04</v>
      </c>
      <c r="H1482" s="12"/>
      <c r="I1482" s="11"/>
      <c r="J1482" s="10"/>
      <c r="K1482" s="10">
        <f t="shared" si="86"/>
        <v>0</v>
      </c>
      <c r="L1482" s="12"/>
      <c r="M1482" s="11"/>
      <c r="N1482" s="10"/>
      <c r="O1482" s="10">
        <f t="shared" si="87"/>
        <v>0</v>
      </c>
      <c r="P1482" s="12"/>
      <c r="Q1482" s="55">
        <f>+(E1482)/($E$1494)</f>
        <v>5.5768560474032766E-2</v>
      </c>
    </row>
    <row r="1483" spans="1:17" x14ac:dyDescent="0.25">
      <c r="A1483" s="15"/>
      <c r="B1483" s="14" t="s">
        <v>48</v>
      </c>
      <c r="C1483" s="13" t="s">
        <v>174</v>
      </c>
      <c r="D1483" s="12"/>
      <c r="E1483" s="11">
        <v>17</v>
      </c>
      <c r="F1483" s="10">
        <v>6.6</v>
      </c>
      <c r="G1483" s="10">
        <f t="shared" si="85"/>
        <v>112.19999999999999</v>
      </c>
      <c r="H1483" s="12"/>
      <c r="I1483" s="11">
        <v>8</v>
      </c>
      <c r="J1483" s="10">
        <v>6.77</v>
      </c>
      <c r="K1483" s="10">
        <f t="shared" si="86"/>
        <v>54.16</v>
      </c>
      <c r="L1483" s="12"/>
      <c r="M1483" s="11">
        <v>16</v>
      </c>
      <c r="N1483" s="10">
        <v>6.76</v>
      </c>
      <c r="O1483" s="10">
        <f t="shared" si="87"/>
        <v>108.16</v>
      </c>
      <c r="P1483" s="12"/>
      <c r="Q1483" s="55">
        <f>+(E1483+I1483+M1483)/($E$1494+$I$1494+$M$1494)</f>
        <v>5.9124666522460158E-2</v>
      </c>
    </row>
    <row r="1484" spans="1:17" ht="30" x14ac:dyDescent="0.25">
      <c r="A1484" s="15"/>
      <c r="B1484" s="14" t="s">
        <v>173</v>
      </c>
      <c r="C1484" s="13" t="s">
        <v>30</v>
      </c>
      <c r="D1484" s="12"/>
      <c r="E1484" s="11">
        <v>0.25</v>
      </c>
      <c r="F1484" s="10">
        <v>3.16</v>
      </c>
      <c r="G1484" s="10">
        <f t="shared" si="85"/>
        <v>0.79</v>
      </c>
      <c r="H1484" s="12"/>
      <c r="I1484" s="11"/>
      <c r="J1484" s="10"/>
      <c r="K1484" s="10">
        <f t="shared" si="86"/>
        <v>0</v>
      </c>
      <c r="L1484" s="12"/>
      <c r="M1484" s="11"/>
      <c r="N1484" s="10"/>
      <c r="O1484" s="10">
        <f t="shared" si="87"/>
        <v>0</v>
      </c>
      <c r="P1484" s="12"/>
      <c r="Q1484" s="56">
        <f>+(E1484)/($E$1494)</f>
        <v>1.7427675148135239E-3</v>
      </c>
    </row>
    <row r="1485" spans="1:17" ht="30" x14ac:dyDescent="0.25">
      <c r="A1485" s="15"/>
      <c r="B1485" s="14" t="s">
        <v>363</v>
      </c>
      <c r="C1485" s="13" t="s">
        <v>15</v>
      </c>
      <c r="D1485" s="12"/>
      <c r="E1485" s="11"/>
      <c r="F1485" s="10"/>
      <c r="G1485" s="10">
        <f t="shared" si="85"/>
        <v>0</v>
      </c>
      <c r="H1485" s="12"/>
      <c r="I1485" s="11"/>
      <c r="J1485" s="10"/>
      <c r="K1485" s="10">
        <f t="shared" si="86"/>
        <v>0</v>
      </c>
      <c r="L1485" s="12"/>
      <c r="M1485" s="11">
        <v>2</v>
      </c>
      <c r="N1485" s="10">
        <v>4.83</v>
      </c>
      <c r="O1485" s="10">
        <f t="shared" si="87"/>
        <v>9.66</v>
      </c>
      <c r="P1485" s="12"/>
      <c r="Q1485" s="56">
        <f>+M1485/$M$1494</f>
        <v>5.7142857142857143E-3</v>
      </c>
    </row>
    <row r="1486" spans="1:17" x14ac:dyDescent="0.25">
      <c r="A1486" s="15"/>
      <c r="B1486" s="14" t="s">
        <v>155</v>
      </c>
      <c r="C1486" s="13" t="s">
        <v>15</v>
      </c>
      <c r="D1486" s="12"/>
      <c r="E1486" s="11">
        <v>1</v>
      </c>
      <c r="F1486" s="10">
        <v>10.58</v>
      </c>
      <c r="G1486" s="10">
        <f t="shared" si="85"/>
        <v>10.58</v>
      </c>
      <c r="H1486" s="12"/>
      <c r="I1486" s="11"/>
      <c r="J1486" s="10"/>
      <c r="K1486" s="10">
        <f t="shared" si="86"/>
        <v>0</v>
      </c>
      <c r="L1486" s="12"/>
      <c r="M1486" s="11">
        <v>1</v>
      </c>
      <c r="N1486" s="10">
        <v>14.38</v>
      </c>
      <c r="O1486" s="10">
        <f t="shared" si="87"/>
        <v>14.38</v>
      </c>
      <c r="P1486" s="12"/>
      <c r="Q1486" s="55">
        <f>+(E1486+M1486)/($E$1494+$M$1494)</f>
        <v>4.0530955517276319E-3</v>
      </c>
    </row>
    <row r="1487" spans="1:17" x14ac:dyDescent="0.25">
      <c r="A1487" s="15"/>
      <c r="B1487" s="14" t="s">
        <v>172</v>
      </c>
      <c r="C1487" s="13" t="s">
        <v>102</v>
      </c>
      <c r="D1487" s="12"/>
      <c r="E1487" s="11">
        <v>2</v>
      </c>
      <c r="F1487" s="10">
        <v>3.22</v>
      </c>
      <c r="G1487" s="10">
        <f t="shared" si="85"/>
        <v>6.44</v>
      </c>
      <c r="H1487" s="12"/>
      <c r="I1487" s="11"/>
      <c r="J1487" s="10"/>
      <c r="K1487" s="10">
        <f t="shared" si="86"/>
        <v>0</v>
      </c>
      <c r="L1487" s="12"/>
      <c r="M1487" s="11"/>
      <c r="N1487" s="10"/>
      <c r="O1487" s="10">
        <f t="shared" si="87"/>
        <v>0</v>
      </c>
      <c r="P1487" s="12"/>
      <c r="Q1487" s="55">
        <f>+(E1487)/($E$1494)</f>
        <v>1.3942140118508192E-2</v>
      </c>
    </row>
    <row r="1488" spans="1:17" ht="18" x14ac:dyDescent="0.25">
      <c r="A1488" s="15"/>
      <c r="B1488" s="14" t="s">
        <v>7</v>
      </c>
      <c r="C1488" s="13" t="s">
        <v>42</v>
      </c>
      <c r="D1488" s="12"/>
      <c r="E1488" s="11"/>
      <c r="F1488" s="10"/>
      <c r="G1488" s="10">
        <f t="shared" si="85"/>
        <v>0</v>
      </c>
      <c r="H1488" s="12"/>
      <c r="I1488" s="11"/>
      <c r="J1488" s="10"/>
      <c r="K1488" s="10">
        <f t="shared" si="86"/>
        <v>0</v>
      </c>
      <c r="L1488" s="12"/>
      <c r="M1488" s="11">
        <v>0.16</v>
      </c>
      <c r="N1488" s="10">
        <v>17.5</v>
      </c>
      <c r="O1488" s="10">
        <f t="shared" si="87"/>
        <v>2.8000000000000003</v>
      </c>
      <c r="P1488" s="12"/>
      <c r="Q1488" s="55">
        <f>+M1488/$M$1494</f>
        <v>4.5714285714285713E-4</v>
      </c>
    </row>
    <row r="1489" spans="1:17" x14ac:dyDescent="0.25">
      <c r="A1489" s="15"/>
      <c r="B1489" s="14" t="s">
        <v>552</v>
      </c>
      <c r="C1489" s="13" t="s">
        <v>15</v>
      </c>
      <c r="D1489" s="12"/>
      <c r="E1489" s="11"/>
      <c r="F1489" s="10"/>
      <c r="G1489" s="10">
        <f t="shared" si="85"/>
        <v>0</v>
      </c>
      <c r="H1489" s="12"/>
      <c r="I1489" s="11"/>
      <c r="J1489" s="10"/>
      <c r="K1489" s="10">
        <f t="shared" si="86"/>
        <v>0</v>
      </c>
      <c r="L1489" s="12"/>
      <c r="M1489" s="11">
        <v>1</v>
      </c>
      <c r="N1489" s="10">
        <v>15.15</v>
      </c>
      <c r="O1489" s="10">
        <f t="shared" si="87"/>
        <v>15.15</v>
      </c>
      <c r="P1489" s="12"/>
      <c r="Q1489" s="55">
        <f>+M1489/$M$1494</f>
        <v>2.8571428571428571E-3</v>
      </c>
    </row>
    <row r="1490" spans="1:17" x14ac:dyDescent="0.25">
      <c r="A1490" s="15"/>
      <c r="B1490" s="14" t="s">
        <v>43</v>
      </c>
      <c r="C1490" s="13" t="s">
        <v>15</v>
      </c>
      <c r="D1490" s="12"/>
      <c r="E1490" s="11">
        <v>1</v>
      </c>
      <c r="F1490" s="10">
        <v>69.17</v>
      </c>
      <c r="G1490" s="10">
        <f t="shared" si="85"/>
        <v>69.17</v>
      </c>
      <c r="H1490" s="12"/>
      <c r="I1490" s="11"/>
      <c r="J1490" s="10"/>
      <c r="K1490" s="10">
        <f t="shared" si="86"/>
        <v>0</v>
      </c>
      <c r="L1490" s="12"/>
      <c r="M1490" s="11"/>
      <c r="N1490" s="10"/>
      <c r="O1490" s="10">
        <f t="shared" si="87"/>
        <v>0</v>
      </c>
      <c r="P1490" s="12"/>
      <c r="Q1490" s="56">
        <f>+(E1490)/($E$1494)</f>
        <v>6.9710700592540958E-3</v>
      </c>
    </row>
    <row r="1491" spans="1:17" ht="30" x14ac:dyDescent="0.25">
      <c r="A1491" s="15"/>
      <c r="B1491" s="14" t="s">
        <v>170</v>
      </c>
      <c r="C1491" s="13" t="s">
        <v>15</v>
      </c>
      <c r="D1491" s="12"/>
      <c r="E1491" s="11">
        <v>1</v>
      </c>
      <c r="F1491" s="10">
        <v>8.3699999999999992</v>
      </c>
      <c r="G1491" s="10">
        <f t="shared" si="85"/>
        <v>8.3699999999999992</v>
      </c>
      <c r="H1491" s="12"/>
      <c r="I1491" s="11"/>
      <c r="J1491" s="10"/>
      <c r="K1491" s="10">
        <f t="shared" si="86"/>
        <v>0</v>
      </c>
      <c r="L1491" s="12"/>
      <c r="M1491" s="11"/>
      <c r="N1491" s="10"/>
      <c r="O1491" s="10">
        <f t="shared" si="87"/>
        <v>0</v>
      </c>
      <c r="P1491" s="12"/>
      <c r="Q1491" s="56">
        <f>+(E1491)/($E$1494)</f>
        <v>6.9710700592540958E-3</v>
      </c>
    </row>
    <row r="1492" spans="1:17" ht="15.75" thickBot="1" x14ac:dyDescent="0.3">
      <c r="A1492" s="15"/>
      <c r="B1492" s="14"/>
      <c r="C1492" s="13"/>
      <c r="D1492" s="12"/>
      <c r="E1492" s="11"/>
      <c r="F1492" s="10"/>
      <c r="G1492" s="10">
        <f t="shared" si="85"/>
        <v>0</v>
      </c>
      <c r="H1492" s="12"/>
      <c r="I1492" s="11"/>
      <c r="J1492" s="10"/>
      <c r="K1492" s="10">
        <f t="shared" si="86"/>
        <v>0</v>
      </c>
      <c r="L1492" s="12"/>
      <c r="M1492" s="11"/>
      <c r="N1492" s="10"/>
      <c r="O1492" s="10">
        <f t="shared" si="87"/>
        <v>0</v>
      </c>
      <c r="P1492" s="12"/>
      <c r="Q1492" s="46"/>
    </row>
    <row r="1493" spans="1:17" ht="16.5" thickBot="1" x14ac:dyDescent="0.3">
      <c r="A1493" s="62" t="s">
        <v>5</v>
      </c>
      <c r="B1493" s="63"/>
      <c r="C1493" s="63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6"/>
      <c r="P1493" s="17"/>
      <c r="Q1493" s="46"/>
    </row>
    <row r="1494" spans="1:17" x14ac:dyDescent="0.25">
      <c r="A1494" s="15"/>
      <c r="B1494" s="14" t="s">
        <v>169</v>
      </c>
      <c r="C1494" s="13" t="s">
        <v>3</v>
      </c>
      <c r="D1494" s="12"/>
      <c r="E1494" s="11">
        <v>143.44999999999999</v>
      </c>
      <c r="F1494" s="42">
        <v>0.95</v>
      </c>
      <c r="G1494" s="10">
        <f>+E1494*F1494</f>
        <v>136.27749999999997</v>
      </c>
      <c r="H1494" s="12"/>
      <c r="I1494" s="11">
        <v>200</v>
      </c>
      <c r="J1494" s="10">
        <v>0.95</v>
      </c>
      <c r="K1494" s="10">
        <f>+I1494*J1494</f>
        <v>190</v>
      </c>
      <c r="L1494" s="12"/>
      <c r="M1494" s="11">
        <v>350</v>
      </c>
      <c r="N1494" s="10">
        <v>0.95</v>
      </c>
      <c r="O1494" s="10">
        <f>+M1494*N1494</f>
        <v>332.5</v>
      </c>
      <c r="P1494" s="12"/>
      <c r="Q1494" s="46"/>
    </row>
    <row r="1495" spans="1:17" ht="15.75" thickBot="1" x14ac:dyDescent="0.3">
      <c r="A1495" s="15"/>
      <c r="B1495" s="14"/>
      <c r="C1495" s="13"/>
      <c r="D1495" s="12"/>
      <c r="E1495" s="11"/>
      <c r="F1495" s="10"/>
      <c r="G1495" s="10">
        <f>+E1495*F1495</f>
        <v>0</v>
      </c>
      <c r="H1495" s="12"/>
      <c r="I1495" s="11"/>
      <c r="J1495" s="10"/>
      <c r="K1495" s="10">
        <f>+I1495*J1495</f>
        <v>0</v>
      </c>
      <c r="L1495" s="12"/>
      <c r="M1495" s="11"/>
      <c r="N1495" s="10"/>
      <c r="O1495" s="10">
        <f>+M1495*N1495</f>
        <v>0</v>
      </c>
      <c r="P1495" s="12"/>
      <c r="Q1495" s="46"/>
    </row>
    <row r="1496" spans="1:17" ht="16.5" thickBot="1" x14ac:dyDescent="0.3">
      <c r="A1496" s="62" t="s">
        <v>2</v>
      </c>
      <c r="B1496" s="63"/>
      <c r="C1496" s="63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6"/>
      <c r="P1496" s="17"/>
      <c r="Q1496" s="46"/>
    </row>
    <row r="1497" spans="1:17" x14ac:dyDescent="0.25">
      <c r="A1497" s="15"/>
      <c r="B1497" s="14"/>
      <c r="C1497" s="13"/>
      <c r="D1497" s="12"/>
      <c r="E1497" s="11"/>
      <c r="F1497" s="10"/>
      <c r="G1497" s="10">
        <f>+E1497*F1497</f>
        <v>0</v>
      </c>
      <c r="H1497" s="12"/>
      <c r="I1497" s="11"/>
      <c r="J1497" s="10"/>
      <c r="K1497" s="10">
        <f>+I1497*J1497</f>
        <v>0</v>
      </c>
      <c r="L1497" s="12"/>
      <c r="M1497" s="11"/>
      <c r="N1497" s="10"/>
      <c r="O1497" s="10">
        <f>+M1497*N1497</f>
        <v>0</v>
      </c>
      <c r="P1497" s="12"/>
      <c r="Q1497" s="46"/>
    </row>
    <row r="1498" spans="1:17" ht="15.75" thickBot="1" x14ac:dyDescent="0.3">
      <c r="Q1498" s="46"/>
    </row>
    <row r="1499" spans="1:17" ht="21" thickBot="1" x14ac:dyDescent="0.3">
      <c r="A1499" s="64" t="s">
        <v>1</v>
      </c>
      <c r="B1499" s="65"/>
      <c r="C1499" s="66"/>
      <c r="D1499" s="5"/>
      <c r="E1499" s="9"/>
      <c r="F1499" s="8"/>
      <c r="G1499" s="7">
        <f>SUM(G1479:G1498)</f>
        <v>418.3075</v>
      </c>
      <c r="H1499" s="5"/>
      <c r="I1499" s="9"/>
      <c r="J1499" s="8"/>
      <c r="K1499" s="7">
        <f>SUM(K1477:K1497)</f>
        <v>244.16</v>
      </c>
      <c r="L1499" s="5"/>
      <c r="M1499" s="9"/>
      <c r="N1499" s="8"/>
      <c r="O1499" s="7">
        <f>SUM(O1477:O1497)</f>
        <v>493.57960000000003</v>
      </c>
      <c r="P1499" s="5"/>
      <c r="Q1499" s="46"/>
    </row>
    <row r="1500" spans="1:17" ht="21" thickBot="1" x14ac:dyDescent="0.3">
      <c r="A1500" s="60" t="s">
        <v>0</v>
      </c>
      <c r="B1500" s="61"/>
      <c r="C1500" s="61"/>
      <c r="D1500" s="5"/>
      <c r="E1500" s="4"/>
      <c r="F1500" s="3"/>
      <c r="G1500" s="6">
        <f>+G1499/E1494</f>
        <v>2.9160508888114327</v>
      </c>
      <c r="H1500" s="5"/>
      <c r="I1500" s="4"/>
      <c r="J1500" s="3"/>
      <c r="K1500" s="6">
        <f>+K1499/I1494</f>
        <v>1.2207999999999999</v>
      </c>
      <c r="L1500" s="5"/>
      <c r="M1500" s="4"/>
      <c r="N1500" s="3"/>
      <c r="O1500" s="6">
        <f>+O1499/M1494</f>
        <v>1.4102274285714287</v>
      </c>
      <c r="P1500" s="5"/>
      <c r="Q1500" s="46"/>
    </row>
    <row r="1501" spans="1:17" x14ac:dyDescent="0.25">
      <c r="Q1501" s="46"/>
    </row>
    <row r="1502" spans="1:17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46"/>
    </row>
    <row r="1503" spans="1:17" ht="15.75" thickBot="1" x14ac:dyDescent="0.3">
      <c r="Q1503" s="46"/>
    </row>
    <row r="1504" spans="1:17" ht="16.5" thickBot="1" x14ac:dyDescent="0.3">
      <c r="A1504" s="20" t="s">
        <v>168</v>
      </c>
      <c r="B1504" s="19" t="s">
        <v>167</v>
      </c>
      <c r="C1504" s="18" t="s">
        <v>3</v>
      </c>
      <c r="Q1504" s="46"/>
    </row>
    <row r="1505" spans="1:17" ht="15.75" thickBot="1" x14ac:dyDescent="0.3">
      <c r="Q1505" s="46"/>
    </row>
    <row r="1506" spans="1:17" ht="16.5" thickBot="1" x14ac:dyDescent="0.3">
      <c r="A1506" s="62" t="s">
        <v>11</v>
      </c>
      <c r="B1506" s="63"/>
      <c r="C1506" s="63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6"/>
      <c r="P1506" s="17"/>
      <c r="Q1506" s="46"/>
    </row>
    <row r="1507" spans="1:17" ht="15.75" thickBot="1" x14ac:dyDescent="0.3">
      <c r="A1507" s="15"/>
      <c r="B1507" s="14"/>
      <c r="C1507" s="13"/>
      <c r="D1507" s="12"/>
      <c r="E1507" s="11"/>
      <c r="F1507" s="10"/>
      <c r="G1507" s="10">
        <f>+E1507*F1507</f>
        <v>0</v>
      </c>
      <c r="H1507" s="12"/>
      <c r="I1507" s="11"/>
      <c r="J1507" s="10"/>
      <c r="K1507" s="10">
        <f>+I1507*J1507</f>
        <v>0</v>
      </c>
      <c r="L1507" s="12"/>
      <c r="M1507" s="11"/>
      <c r="N1507" s="10"/>
      <c r="O1507" s="10">
        <f>+M1507*N1507</f>
        <v>0</v>
      </c>
      <c r="P1507" s="12"/>
      <c r="Q1507" s="46"/>
    </row>
    <row r="1508" spans="1:17" ht="16.5" thickBot="1" x14ac:dyDescent="0.3">
      <c r="A1508" s="62" t="s">
        <v>5</v>
      </c>
      <c r="B1508" s="63"/>
      <c r="C1508" s="63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6"/>
      <c r="P1508" s="17"/>
      <c r="Q1508" s="46"/>
    </row>
    <row r="1509" spans="1:17" x14ac:dyDescent="0.25">
      <c r="A1509" s="15"/>
      <c r="B1509" s="14" t="s">
        <v>166</v>
      </c>
      <c r="C1509" s="13" t="s">
        <v>3</v>
      </c>
      <c r="D1509" s="12"/>
      <c r="E1509" s="11">
        <v>133</v>
      </c>
      <c r="F1509" s="42">
        <v>1.5</v>
      </c>
      <c r="G1509" s="10">
        <f>+E1509*F1509</f>
        <v>199.5</v>
      </c>
      <c r="H1509" s="12"/>
      <c r="I1509" s="11">
        <v>50.44</v>
      </c>
      <c r="J1509" s="10">
        <v>1.26</v>
      </c>
      <c r="K1509" s="10">
        <f>+I1509*J1509</f>
        <v>63.554400000000001</v>
      </c>
      <c r="L1509" s="12"/>
      <c r="M1509" s="11">
        <v>163.4</v>
      </c>
      <c r="N1509" s="10">
        <v>1.26</v>
      </c>
      <c r="O1509" s="10">
        <f>+M1509*N1509</f>
        <v>205.88400000000001</v>
      </c>
      <c r="P1509" s="12"/>
      <c r="Q1509" s="46"/>
    </row>
    <row r="1510" spans="1:17" ht="15.75" thickBot="1" x14ac:dyDescent="0.3">
      <c r="A1510" s="15"/>
      <c r="B1510" s="14"/>
      <c r="C1510" s="13"/>
      <c r="D1510" s="12"/>
      <c r="E1510" s="11"/>
      <c r="F1510" s="10"/>
      <c r="G1510" s="10">
        <f>+E1510*F1510</f>
        <v>0</v>
      </c>
      <c r="H1510" s="12"/>
      <c r="I1510" s="11"/>
      <c r="J1510" s="10"/>
      <c r="K1510" s="10">
        <f>+I1510*J1510</f>
        <v>0</v>
      </c>
      <c r="L1510" s="12"/>
      <c r="M1510" s="11"/>
      <c r="N1510" s="10"/>
      <c r="O1510" s="10">
        <f>+M1510*N1510</f>
        <v>0</v>
      </c>
      <c r="P1510" s="12"/>
      <c r="Q1510" s="46"/>
    </row>
    <row r="1511" spans="1:17" ht="16.5" thickBot="1" x14ac:dyDescent="0.3">
      <c r="A1511" s="62" t="s">
        <v>2</v>
      </c>
      <c r="B1511" s="63"/>
      <c r="C1511" s="63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6"/>
      <c r="P1511" s="17"/>
      <c r="Q1511" s="46"/>
    </row>
    <row r="1512" spans="1:17" x14ac:dyDescent="0.25">
      <c r="A1512" s="15"/>
      <c r="B1512" s="14"/>
      <c r="C1512" s="13"/>
      <c r="D1512" s="12"/>
      <c r="E1512" s="11"/>
      <c r="F1512" s="10"/>
      <c r="G1512" s="10">
        <f>+E1512*F1512</f>
        <v>0</v>
      </c>
      <c r="H1512" s="12"/>
      <c r="I1512" s="11"/>
      <c r="J1512" s="10"/>
      <c r="K1512" s="10">
        <f>+I1512*J1512</f>
        <v>0</v>
      </c>
      <c r="L1512" s="12"/>
      <c r="M1512" s="11"/>
      <c r="N1512" s="10"/>
      <c r="O1512" s="10">
        <f>+M1512*N1512</f>
        <v>0</v>
      </c>
      <c r="P1512" s="12"/>
      <c r="Q1512" s="46"/>
    </row>
    <row r="1513" spans="1:17" ht="15.75" thickBot="1" x14ac:dyDescent="0.3">
      <c r="Q1513" s="46"/>
    </row>
    <row r="1514" spans="1:17" ht="21" thickBot="1" x14ac:dyDescent="0.3">
      <c r="A1514" s="64" t="s">
        <v>1</v>
      </c>
      <c r="B1514" s="65"/>
      <c r="C1514" s="66"/>
      <c r="D1514" s="5"/>
      <c r="E1514" s="9"/>
      <c r="F1514" s="8"/>
      <c r="G1514" s="7">
        <f>SUM(G1506:G1513)</f>
        <v>199.5</v>
      </c>
      <c r="H1514" s="5"/>
      <c r="I1514" s="9"/>
      <c r="J1514" s="8"/>
      <c r="K1514" s="7">
        <f>SUM(K1504:K1512)</f>
        <v>63.554400000000001</v>
      </c>
      <c r="L1514" s="5"/>
      <c r="M1514" s="9"/>
      <c r="N1514" s="8"/>
      <c r="O1514" s="7">
        <f>SUM(O1504:O1512)</f>
        <v>205.88400000000001</v>
      </c>
      <c r="P1514" s="5"/>
      <c r="Q1514" s="46"/>
    </row>
    <row r="1515" spans="1:17" ht="21" thickBot="1" x14ac:dyDescent="0.3">
      <c r="A1515" s="60" t="s">
        <v>0</v>
      </c>
      <c r="B1515" s="61"/>
      <c r="C1515" s="61"/>
      <c r="D1515" s="5"/>
      <c r="E1515" s="4"/>
      <c r="F1515" s="3"/>
      <c r="G1515" s="6">
        <f>+G1514/E1509</f>
        <v>1.5</v>
      </c>
      <c r="H1515" s="5"/>
      <c r="I1515" s="4"/>
      <c r="J1515" s="3"/>
      <c r="K1515" s="6">
        <f>+K1514/I1509</f>
        <v>1.26</v>
      </c>
      <c r="L1515" s="5"/>
      <c r="M1515" s="4"/>
      <c r="N1515" s="3"/>
      <c r="O1515" s="6">
        <f>+O1514/M1509</f>
        <v>1.26</v>
      </c>
      <c r="P1515" s="5"/>
      <c r="Q1515" s="46"/>
    </row>
    <row r="1516" spans="1:17" x14ac:dyDescent="0.25">
      <c r="Q1516" s="46"/>
    </row>
    <row r="1517" spans="1:17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46"/>
    </row>
    <row r="1518" spans="1:17" ht="15.75" thickBot="1" x14ac:dyDescent="0.3">
      <c r="Q1518" s="46"/>
    </row>
    <row r="1519" spans="1:17" ht="16.5" thickBot="1" x14ac:dyDescent="0.3">
      <c r="A1519" s="20" t="s">
        <v>507</v>
      </c>
      <c r="B1519" s="19" t="s">
        <v>165</v>
      </c>
      <c r="C1519" s="18" t="s">
        <v>130</v>
      </c>
      <c r="Q1519" s="46"/>
    </row>
    <row r="1520" spans="1:17" ht="15.75" thickBot="1" x14ac:dyDescent="0.3">
      <c r="Q1520" s="46"/>
    </row>
    <row r="1521" spans="1:17" ht="16.5" thickBot="1" x14ac:dyDescent="0.3">
      <c r="A1521" s="62" t="s">
        <v>11</v>
      </c>
      <c r="B1521" s="63"/>
      <c r="C1521" s="63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6"/>
      <c r="P1521" s="17"/>
      <c r="Q1521" s="46"/>
    </row>
    <row r="1522" spans="1:17" ht="15.75" thickBot="1" x14ac:dyDescent="0.3">
      <c r="A1522" s="15"/>
      <c r="B1522" s="14"/>
      <c r="C1522" s="13"/>
      <c r="D1522" s="12"/>
      <c r="E1522" s="11"/>
      <c r="F1522" s="10"/>
      <c r="G1522" s="10">
        <f>+E1522*F1522</f>
        <v>0</v>
      </c>
      <c r="H1522" s="12"/>
      <c r="I1522" s="11"/>
      <c r="J1522" s="10"/>
      <c r="K1522" s="10">
        <f>+I1522*J1522</f>
        <v>0</v>
      </c>
      <c r="L1522" s="12"/>
      <c r="M1522" s="11"/>
      <c r="N1522" s="10"/>
      <c r="O1522" s="10">
        <f>+M1522*N1522</f>
        <v>0</v>
      </c>
      <c r="P1522" s="12"/>
      <c r="Q1522" s="46"/>
    </row>
    <row r="1523" spans="1:17" ht="16.5" thickBot="1" x14ac:dyDescent="0.3">
      <c r="A1523" s="62" t="s">
        <v>5</v>
      </c>
      <c r="B1523" s="63"/>
      <c r="C1523" s="63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6"/>
      <c r="P1523" s="17"/>
      <c r="Q1523" s="46"/>
    </row>
    <row r="1524" spans="1:17" x14ac:dyDescent="0.25">
      <c r="A1524" s="15"/>
      <c r="B1524" s="14" t="s">
        <v>164</v>
      </c>
      <c r="C1524" s="13" t="s">
        <v>130</v>
      </c>
      <c r="D1524" s="12"/>
      <c r="E1524" s="11"/>
      <c r="F1524" s="10"/>
      <c r="G1524" s="10">
        <f>+E1524*F1524</f>
        <v>0</v>
      </c>
      <c r="H1524" s="12"/>
      <c r="I1524" s="11">
        <v>245.16</v>
      </c>
      <c r="J1524" s="42">
        <v>3.1</v>
      </c>
      <c r="K1524" s="10">
        <f>+I1524*J1524</f>
        <v>759.99599999999998</v>
      </c>
      <c r="L1524" s="12"/>
      <c r="M1524" s="11">
        <v>333.58</v>
      </c>
      <c r="N1524" s="10">
        <v>4.8</v>
      </c>
      <c r="O1524" s="10">
        <f>+M1524*N1524</f>
        <v>1601.184</v>
      </c>
      <c r="P1524" s="12"/>
      <c r="Q1524" s="46"/>
    </row>
    <row r="1525" spans="1:17" ht="15.75" thickBot="1" x14ac:dyDescent="0.3">
      <c r="A1525" s="15"/>
      <c r="B1525" s="14"/>
      <c r="C1525" s="13"/>
      <c r="D1525" s="12"/>
      <c r="E1525" s="11"/>
      <c r="F1525" s="10"/>
      <c r="G1525" s="10">
        <f>+E1525*F1525</f>
        <v>0</v>
      </c>
      <c r="H1525" s="12"/>
      <c r="I1525" s="11"/>
      <c r="J1525" s="10"/>
      <c r="K1525" s="10">
        <f>+I1525*J1525</f>
        <v>0</v>
      </c>
      <c r="L1525" s="12"/>
      <c r="M1525" s="11"/>
      <c r="N1525" s="10"/>
      <c r="O1525" s="10">
        <f>+M1525*N1525</f>
        <v>0</v>
      </c>
      <c r="P1525" s="12"/>
      <c r="Q1525" s="46"/>
    </row>
    <row r="1526" spans="1:17" ht="16.5" thickBot="1" x14ac:dyDescent="0.3">
      <c r="A1526" s="62" t="s">
        <v>2</v>
      </c>
      <c r="B1526" s="63"/>
      <c r="C1526" s="63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6"/>
      <c r="P1526" s="17"/>
      <c r="Q1526" s="46"/>
    </row>
    <row r="1527" spans="1:17" x14ac:dyDescent="0.25">
      <c r="A1527" s="15"/>
      <c r="B1527" s="14"/>
      <c r="C1527" s="13"/>
      <c r="D1527" s="12"/>
      <c r="E1527" s="11"/>
      <c r="F1527" s="10"/>
      <c r="G1527" s="10">
        <f>+E1527*F1527</f>
        <v>0</v>
      </c>
      <c r="H1527" s="12"/>
      <c r="I1527" s="11"/>
      <c r="J1527" s="10"/>
      <c r="K1527" s="10">
        <f>+I1527*J1527</f>
        <v>0</v>
      </c>
      <c r="L1527" s="12"/>
      <c r="M1527" s="11"/>
      <c r="N1527" s="10"/>
      <c r="O1527" s="10">
        <f>+M1527*N1527</f>
        <v>0</v>
      </c>
      <c r="P1527" s="12"/>
      <c r="Q1527" s="46"/>
    </row>
    <row r="1528" spans="1:17" ht="15.75" thickBot="1" x14ac:dyDescent="0.3">
      <c r="Q1528" s="46"/>
    </row>
    <row r="1529" spans="1:17" ht="21" thickBot="1" x14ac:dyDescent="0.3">
      <c r="A1529" s="64" t="s">
        <v>1</v>
      </c>
      <c r="B1529" s="65"/>
      <c r="C1529" s="66"/>
      <c r="D1529" s="5"/>
      <c r="E1529" s="9"/>
      <c r="F1529" s="8"/>
      <c r="G1529" s="7">
        <f>SUM(G1521:G1528)</f>
        <v>0</v>
      </c>
      <c r="H1529" s="5"/>
      <c r="I1529" s="9"/>
      <c r="J1529" s="8"/>
      <c r="K1529" s="7">
        <f>SUM(K1519:K1527)</f>
        <v>759.99599999999998</v>
      </c>
      <c r="L1529" s="5"/>
      <c r="M1529" s="9"/>
      <c r="N1529" s="8"/>
      <c r="O1529" s="7">
        <f>SUM(O1519:O1527)</f>
        <v>1601.184</v>
      </c>
      <c r="P1529" s="5"/>
      <c r="Q1529" s="46"/>
    </row>
    <row r="1530" spans="1:17" ht="21" thickBot="1" x14ac:dyDescent="0.3">
      <c r="A1530" s="60" t="s">
        <v>0</v>
      </c>
      <c r="B1530" s="61"/>
      <c r="C1530" s="61"/>
      <c r="D1530" s="5"/>
      <c r="E1530" s="4"/>
      <c r="F1530" s="3"/>
      <c r="G1530" s="6" t="e">
        <f>+G1529/E1524</f>
        <v>#DIV/0!</v>
      </c>
      <c r="H1530" s="5"/>
      <c r="I1530" s="4"/>
      <c r="J1530" s="3"/>
      <c r="K1530" s="6">
        <f>+K1529/I1524</f>
        <v>3.1</v>
      </c>
      <c r="L1530" s="5"/>
      <c r="M1530" s="4"/>
      <c r="N1530" s="3"/>
      <c r="O1530" s="6">
        <f>+O1529/M1524</f>
        <v>4.8</v>
      </c>
      <c r="P1530" s="5"/>
      <c r="Q1530" s="46"/>
    </row>
    <row r="1531" spans="1:17" x14ac:dyDescent="0.25">
      <c r="Q1531" s="46"/>
    </row>
    <row r="1532" spans="1:17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46"/>
    </row>
    <row r="1533" spans="1:17" ht="15.75" thickBot="1" x14ac:dyDescent="0.3">
      <c r="Q1533" s="46"/>
    </row>
    <row r="1534" spans="1:17" ht="19.5" thickBot="1" x14ac:dyDescent="0.3">
      <c r="A1534" s="20" t="s">
        <v>163</v>
      </c>
      <c r="B1534" s="19" t="s">
        <v>162</v>
      </c>
      <c r="C1534" s="18" t="s">
        <v>19</v>
      </c>
      <c r="Q1534" s="46"/>
    </row>
    <row r="1535" spans="1:17" ht="15.75" thickBot="1" x14ac:dyDescent="0.3">
      <c r="Q1535" s="46"/>
    </row>
    <row r="1536" spans="1:17" ht="16.5" thickBot="1" x14ac:dyDescent="0.3">
      <c r="A1536" s="62" t="s">
        <v>11</v>
      </c>
      <c r="B1536" s="63"/>
      <c r="C1536" s="63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6"/>
      <c r="P1536" s="17"/>
      <c r="Q1536" s="46"/>
    </row>
    <row r="1537" spans="1:17" ht="15.75" thickBot="1" x14ac:dyDescent="0.3">
      <c r="A1537" s="15"/>
      <c r="B1537" s="14"/>
      <c r="C1537" s="13"/>
      <c r="D1537" s="12"/>
      <c r="E1537" s="11"/>
      <c r="F1537" s="10"/>
      <c r="G1537" s="10">
        <f>+E1537*F1537</f>
        <v>0</v>
      </c>
      <c r="H1537" s="12"/>
      <c r="I1537" s="11"/>
      <c r="J1537" s="10"/>
      <c r="K1537" s="10">
        <f>+I1537*J1537</f>
        <v>0</v>
      </c>
      <c r="L1537" s="12"/>
      <c r="M1537" s="11"/>
      <c r="N1537" s="10"/>
      <c r="O1537" s="10">
        <f>+M1537*N1537</f>
        <v>0</v>
      </c>
      <c r="P1537" s="12"/>
      <c r="Q1537" s="46"/>
    </row>
    <row r="1538" spans="1:17" ht="16.5" thickBot="1" x14ac:dyDescent="0.3">
      <c r="A1538" s="62" t="s">
        <v>5</v>
      </c>
      <c r="B1538" s="63"/>
      <c r="C1538" s="63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6"/>
      <c r="P1538" s="17"/>
      <c r="Q1538" s="46"/>
    </row>
    <row r="1539" spans="1:17" ht="18" x14ac:dyDescent="0.25">
      <c r="A1539" s="15"/>
      <c r="B1539" s="14" t="s">
        <v>161</v>
      </c>
      <c r="C1539" s="13" t="s">
        <v>13</v>
      </c>
      <c r="D1539" s="12"/>
      <c r="E1539" s="11">
        <v>21.01</v>
      </c>
      <c r="F1539" s="42">
        <v>5.4</v>
      </c>
      <c r="G1539" s="10">
        <f>+E1539*F1539</f>
        <v>113.45400000000002</v>
      </c>
      <c r="H1539" s="12"/>
      <c r="I1539" s="11"/>
      <c r="J1539" s="10"/>
      <c r="K1539" s="10">
        <f>+I1539*J1539</f>
        <v>0</v>
      </c>
      <c r="L1539" s="12"/>
      <c r="M1539" s="11"/>
      <c r="N1539" s="10"/>
      <c r="O1539" s="10">
        <f>+M1539*N1539</f>
        <v>0</v>
      </c>
      <c r="P1539" s="12"/>
      <c r="Q1539" s="46"/>
    </row>
    <row r="1540" spans="1:17" ht="15.75" thickBot="1" x14ac:dyDescent="0.3">
      <c r="A1540" s="15"/>
      <c r="B1540" s="14"/>
      <c r="C1540" s="13"/>
      <c r="D1540" s="12"/>
      <c r="E1540" s="11"/>
      <c r="F1540" s="10"/>
      <c r="G1540" s="10">
        <f>+E1540*F1540</f>
        <v>0</v>
      </c>
      <c r="H1540" s="12"/>
      <c r="I1540" s="11"/>
      <c r="J1540" s="10"/>
      <c r="K1540" s="10">
        <f>+I1540*J1540</f>
        <v>0</v>
      </c>
      <c r="L1540" s="12"/>
      <c r="M1540" s="11"/>
      <c r="N1540" s="10"/>
      <c r="O1540" s="10">
        <f>+M1540*N1540</f>
        <v>0</v>
      </c>
      <c r="P1540" s="12"/>
      <c r="Q1540" s="46"/>
    </row>
    <row r="1541" spans="1:17" ht="16.5" thickBot="1" x14ac:dyDescent="0.3">
      <c r="A1541" s="62" t="s">
        <v>2</v>
      </c>
      <c r="B1541" s="63"/>
      <c r="C1541" s="63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6"/>
      <c r="P1541" s="17"/>
      <c r="Q1541" s="46"/>
    </row>
    <row r="1542" spans="1:17" x14ac:dyDescent="0.25">
      <c r="A1542" s="15"/>
      <c r="B1542" s="14"/>
      <c r="C1542" s="13"/>
      <c r="D1542" s="12"/>
      <c r="E1542" s="11"/>
      <c r="F1542" s="10"/>
      <c r="G1542" s="10">
        <f>+E1542*F1542</f>
        <v>0</v>
      </c>
      <c r="H1542" s="12"/>
      <c r="I1542" s="11"/>
      <c r="J1542" s="10"/>
      <c r="K1542" s="10">
        <f>+I1542*J1542</f>
        <v>0</v>
      </c>
      <c r="L1542" s="12"/>
      <c r="M1542" s="11"/>
      <c r="N1542" s="10"/>
      <c r="O1542" s="10">
        <f>+M1542*N1542</f>
        <v>0</v>
      </c>
      <c r="P1542" s="12"/>
      <c r="Q1542" s="46"/>
    </row>
    <row r="1543" spans="1:17" ht="15.75" thickBot="1" x14ac:dyDescent="0.3">
      <c r="Q1543" s="46"/>
    </row>
    <row r="1544" spans="1:17" ht="21" thickBot="1" x14ac:dyDescent="0.3">
      <c r="A1544" s="64" t="s">
        <v>1</v>
      </c>
      <c r="B1544" s="65"/>
      <c r="C1544" s="66"/>
      <c r="D1544" s="5"/>
      <c r="E1544" s="9"/>
      <c r="F1544" s="8"/>
      <c r="G1544" s="7">
        <f>SUM(G1536:G1543)</f>
        <v>113.45400000000002</v>
      </c>
      <c r="H1544" s="5"/>
      <c r="I1544" s="9"/>
      <c r="J1544" s="8"/>
      <c r="K1544" s="7">
        <f>SUM(K1534:K1542)</f>
        <v>0</v>
      </c>
      <c r="L1544" s="5"/>
      <c r="M1544" s="9"/>
      <c r="N1544" s="8"/>
      <c r="O1544" s="7">
        <f>SUM(O1534:O1542)</f>
        <v>0</v>
      </c>
      <c r="P1544" s="5"/>
      <c r="Q1544" s="46"/>
    </row>
    <row r="1545" spans="1:17" ht="21" thickBot="1" x14ac:dyDescent="0.3">
      <c r="A1545" s="60" t="s">
        <v>0</v>
      </c>
      <c r="B1545" s="61"/>
      <c r="C1545" s="61"/>
      <c r="D1545" s="5"/>
      <c r="E1545" s="4"/>
      <c r="F1545" s="3"/>
      <c r="G1545" s="6">
        <f>+G1544/E1539</f>
        <v>5.4</v>
      </c>
      <c r="H1545" s="5"/>
      <c r="I1545" s="4"/>
      <c r="J1545" s="3"/>
      <c r="K1545" s="6" t="e">
        <f>+K1544/I1539</f>
        <v>#DIV/0!</v>
      </c>
      <c r="L1545" s="5"/>
      <c r="M1545" s="4"/>
      <c r="N1545" s="3"/>
      <c r="O1545" s="6" t="e">
        <f>+O1544/M1539</f>
        <v>#DIV/0!</v>
      </c>
      <c r="P1545" s="5"/>
      <c r="Q1545" s="46"/>
    </row>
    <row r="1546" spans="1:17" x14ac:dyDescent="0.25">
      <c r="Q1546" s="46"/>
    </row>
    <row r="1547" spans="1:17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46"/>
    </row>
    <row r="1548" spans="1:17" ht="15.75" thickBot="1" x14ac:dyDescent="0.3">
      <c r="Q1548" s="46"/>
    </row>
    <row r="1549" spans="1:17" ht="24" thickBot="1" x14ac:dyDescent="0.3">
      <c r="A1549" s="22" t="s">
        <v>160</v>
      </c>
      <c r="B1549" s="22"/>
      <c r="C1549" s="22"/>
      <c r="D1549" s="22"/>
      <c r="E1549" s="22"/>
      <c r="F1549" s="22"/>
      <c r="G1549" s="22"/>
      <c r="H1549" s="22"/>
      <c r="I1549" s="22"/>
      <c r="J1549" s="22"/>
      <c r="K1549" s="23"/>
      <c r="L1549" s="22"/>
      <c r="M1549" s="22"/>
      <c r="N1549" s="22"/>
      <c r="O1549" s="22"/>
      <c r="P1549" s="22"/>
      <c r="Q1549" s="46"/>
    </row>
    <row r="1550" spans="1:17" ht="15.75" thickBot="1" x14ac:dyDescent="0.3">
      <c r="Q1550" s="46"/>
    </row>
    <row r="1551" spans="1:17" ht="16.5" thickBot="1" x14ac:dyDescent="0.3">
      <c r="A1551" s="20" t="s">
        <v>159</v>
      </c>
      <c r="B1551" s="19" t="s">
        <v>158</v>
      </c>
      <c r="C1551" s="18" t="s">
        <v>130</v>
      </c>
      <c r="Q1551" s="46"/>
    </row>
    <row r="1552" spans="1:17" ht="15.75" thickBot="1" x14ac:dyDescent="0.3">
      <c r="Q1552" s="46"/>
    </row>
    <row r="1553" spans="1:17" ht="16.5" thickBot="1" x14ac:dyDescent="0.3">
      <c r="A1553" s="62" t="s">
        <v>11</v>
      </c>
      <c r="B1553" s="63"/>
      <c r="C1553" s="63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6"/>
      <c r="P1553" s="17"/>
      <c r="Q1553" s="46"/>
    </row>
    <row r="1554" spans="1:17" x14ac:dyDescent="0.25">
      <c r="A1554" s="15"/>
      <c r="B1554" s="14" t="s">
        <v>176</v>
      </c>
      <c r="C1554" s="13" t="s">
        <v>6</v>
      </c>
      <c r="D1554" s="12"/>
      <c r="E1554" s="11"/>
      <c r="F1554" s="10"/>
      <c r="G1554" s="10">
        <f>+E1554*F1554</f>
        <v>0</v>
      </c>
      <c r="H1554" s="12"/>
      <c r="I1554" s="11"/>
      <c r="J1554" s="10"/>
      <c r="K1554" s="10">
        <f>+I1554*J1554</f>
        <v>0</v>
      </c>
      <c r="L1554" s="12"/>
      <c r="M1554" s="11">
        <v>10.88</v>
      </c>
      <c r="N1554" s="10">
        <v>18.75</v>
      </c>
      <c r="O1554" s="10">
        <f>+M1554*N1554</f>
        <v>204.00000000000003</v>
      </c>
      <c r="P1554" s="12"/>
      <c r="Q1554" s="55">
        <f>+M1554/$M$1567</f>
        <v>2.6578722364724562E-2</v>
      </c>
    </row>
    <row r="1555" spans="1:17" x14ac:dyDescent="0.25">
      <c r="A1555" s="15"/>
      <c r="B1555" s="14" t="s">
        <v>554</v>
      </c>
      <c r="C1555" s="13" t="s">
        <v>15</v>
      </c>
      <c r="D1555" s="12"/>
      <c r="E1555" s="11"/>
      <c r="F1555" s="10"/>
      <c r="G1555" s="10">
        <f t="shared" ref="G1555:G1565" si="88">+E1555*F1555</f>
        <v>0</v>
      </c>
      <c r="H1555" s="12"/>
      <c r="I1555" s="11"/>
      <c r="J1555" s="10"/>
      <c r="K1555" s="10">
        <f t="shared" ref="K1555:K1565" si="89">+I1555*J1555</f>
        <v>0</v>
      </c>
      <c r="L1555" s="12"/>
      <c r="M1555" s="11">
        <v>6</v>
      </c>
      <c r="N1555" s="10">
        <v>1.61</v>
      </c>
      <c r="O1555" s="10">
        <f t="shared" ref="O1555:O1565" si="90">+M1555*N1555</f>
        <v>9.66</v>
      </c>
      <c r="P1555" s="12"/>
      <c r="Q1555" s="55">
        <f>+M1555/$M$1567</f>
        <v>1.4657383657017221E-2</v>
      </c>
    </row>
    <row r="1556" spans="1:17" ht="30" x14ac:dyDescent="0.25">
      <c r="A1556" s="15"/>
      <c r="B1556" s="14" t="s">
        <v>9</v>
      </c>
      <c r="C1556" s="13" t="s">
        <v>8</v>
      </c>
      <c r="D1556" s="12"/>
      <c r="E1556" s="11"/>
      <c r="F1556" s="10"/>
      <c r="G1556" s="10">
        <f t="shared" si="88"/>
        <v>0</v>
      </c>
      <c r="H1556" s="12"/>
      <c r="I1556" s="11">
        <v>17.04</v>
      </c>
      <c r="J1556" s="10">
        <v>6.79</v>
      </c>
      <c r="K1556" s="10">
        <f t="shared" si="89"/>
        <v>115.7016</v>
      </c>
      <c r="L1556" s="12"/>
      <c r="M1556" s="11">
        <v>107</v>
      </c>
      <c r="N1556" s="10">
        <v>6.79</v>
      </c>
      <c r="O1556" s="10">
        <f t="shared" si="90"/>
        <v>726.53</v>
      </c>
      <c r="P1556" s="12"/>
      <c r="Q1556" s="56">
        <f>(I1556+M1556)/($I$1567+$M$1567)</f>
        <v>0.2345976718015641</v>
      </c>
    </row>
    <row r="1557" spans="1:17" x14ac:dyDescent="0.25">
      <c r="A1557" s="15"/>
      <c r="B1557" s="14" t="s">
        <v>157</v>
      </c>
      <c r="C1557" s="13" t="s">
        <v>15</v>
      </c>
      <c r="D1557" s="12"/>
      <c r="E1557" s="11"/>
      <c r="F1557" s="10"/>
      <c r="G1557" s="10">
        <f t="shared" si="88"/>
        <v>0</v>
      </c>
      <c r="H1557" s="12"/>
      <c r="I1557" s="11">
        <v>7.57</v>
      </c>
      <c r="J1557" s="10">
        <v>8.06</v>
      </c>
      <c r="K1557" s="10">
        <f t="shared" si="89"/>
        <v>61.01420000000001</v>
      </c>
      <c r="L1557" s="12"/>
      <c r="M1557" s="11">
        <v>117</v>
      </c>
      <c r="N1557" s="10">
        <v>7.52</v>
      </c>
      <c r="O1557" s="10">
        <f t="shared" si="90"/>
        <v>879.83999999999992</v>
      </c>
      <c r="P1557" s="12"/>
      <c r="Q1557" s="56">
        <f>(I1557+M1557)/($I$1567+$M$1567)</f>
        <v>0.23560006430442471</v>
      </c>
    </row>
    <row r="1558" spans="1:17" ht="30" x14ac:dyDescent="0.25">
      <c r="A1558" s="15"/>
      <c r="B1558" s="14" t="s">
        <v>156</v>
      </c>
      <c r="C1558" s="13" t="s">
        <v>30</v>
      </c>
      <c r="D1558" s="12"/>
      <c r="E1558" s="11"/>
      <c r="F1558" s="10"/>
      <c r="G1558" s="10">
        <f t="shared" si="88"/>
        <v>0</v>
      </c>
      <c r="H1558" s="12"/>
      <c r="I1558" s="11">
        <v>0.63</v>
      </c>
      <c r="J1558" s="10">
        <v>9.08</v>
      </c>
      <c r="K1558" s="10">
        <f t="shared" si="89"/>
        <v>5.7203999999999997</v>
      </c>
      <c r="L1558" s="12"/>
      <c r="M1558" s="11">
        <v>0.5</v>
      </c>
      <c r="N1558" s="10">
        <v>8.8800000000000008</v>
      </c>
      <c r="O1558" s="10">
        <f t="shared" si="90"/>
        <v>4.4400000000000004</v>
      </c>
      <c r="P1558" s="12"/>
      <c r="Q1558" s="56">
        <f>(I1558+M1558)/($I$1567+$M$1567)</f>
        <v>2.1371764683631683E-3</v>
      </c>
    </row>
    <row r="1559" spans="1:17" x14ac:dyDescent="0.25">
      <c r="A1559" s="15"/>
      <c r="B1559" s="14" t="s">
        <v>24</v>
      </c>
      <c r="C1559" s="13"/>
      <c r="D1559" s="12"/>
      <c r="E1559" s="11"/>
      <c r="F1559" s="10"/>
      <c r="G1559" s="10">
        <f t="shared" si="88"/>
        <v>0</v>
      </c>
      <c r="H1559" s="12"/>
      <c r="I1559" s="11"/>
      <c r="J1559" s="10"/>
      <c r="K1559" s="10">
        <f t="shared" si="89"/>
        <v>0</v>
      </c>
      <c r="L1559" s="12"/>
      <c r="M1559" s="11">
        <v>13.92</v>
      </c>
      <c r="N1559" s="10">
        <v>2.14</v>
      </c>
      <c r="O1559" s="10">
        <f t="shared" si="90"/>
        <v>29.788800000000002</v>
      </c>
      <c r="P1559" s="12"/>
      <c r="Q1559" s="55">
        <f>+M1559/$M$1567</f>
        <v>3.4005130084279953E-2</v>
      </c>
    </row>
    <row r="1560" spans="1:17" x14ac:dyDescent="0.25">
      <c r="A1560" s="15"/>
      <c r="B1560" s="14" t="s">
        <v>155</v>
      </c>
      <c r="C1560" s="13" t="s">
        <v>144</v>
      </c>
      <c r="D1560" s="12"/>
      <c r="E1560" s="11"/>
      <c r="F1560" s="10"/>
      <c r="G1560" s="10">
        <f t="shared" si="88"/>
        <v>0</v>
      </c>
      <c r="H1560" s="12"/>
      <c r="I1560" s="11">
        <v>0.63</v>
      </c>
      <c r="J1560" s="10">
        <v>13.63</v>
      </c>
      <c r="K1560" s="10">
        <f t="shared" si="89"/>
        <v>8.5869</v>
      </c>
      <c r="L1560" s="12"/>
      <c r="M1560" s="11">
        <v>3</v>
      </c>
      <c r="N1560" s="10">
        <v>14.38</v>
      </c>
      <c r="O1560" s="10">
        <f t="shared" si="90"/>
        <v>43.14</v>
      </c>
      <c r="P1560" s="12"/>
      <c r="Q1560" s="56">
        <f>(I1560+M1560)/($I$1567+$M$1567)</f>
        <v>6.8654429912905325E-3</v>
      </c>
    </row>
    <row r="1561" spans="1:17" x14ac:dyDescent="0.25">
      <c r="A1561" s="15"/>
      <c r="B1561" s="14" t="s">
        <v>153</v>
      </c>
      <c r="C1561" s="13" t="s">
        <v>15</v>
      </c>
      <c r="D1561" s="12"/>
      <c r="E1561" s="11"/>
      <c r="F1561" s="10"/>
      <c r="G1561" s="10">
        <f t="shared" si="88"/>
        <v>0</v>
      </c>
      <c r="H1561" s="12"/>
      <c r="I1561" s="11">
        <f>0.63*6</f>
        <v>3.7800000000000002</v>
      </c>
      <c r="J1561" s="10">
        <v>27</v>
      </c>
      <c r="K1561" s="10">
        <f t="shared" si="89"/>
        <v>102.06</v>
      </c>
      <c r="L1561" s="12"/>
      <c r="M1561" s="11">
        <v>30</v>
      </c>
      <c r="N1561" s="10"/>
      <c r="O1561" s="10">
        <f t="shared" si="90"/>
        <v>0</v>
      </c>
      <c r="P1561" s="12"/>
      <c r="Q1561" s="56">
        <f>(I1561+M1561)/($I$1567+$M$1567)</f>
        <v>6.3888337257794553E-2</v>
      </c>
    </row>
    <row r="1562" spans="1:17" ht="30" x14ac:dyDescent="0.25">
      <c r="A1562" s="15"/>
      <c r="B1562" s="14" t="s">
        <v>145</v>
      </c>
      <c r="C1562" s="13" t="s">
        <v>144</v>
      </c>
      <c r="D1562" s="12"/>
      <c r="E1562" s="11"/>
      <c r="F1562" s="10"/>
      <c r="G1562" s="10">
        <f t="shared" si="88"/>
        <v>0</v>
      </c>
      <c r="H1562" s="12"/>
      <c r="I1562" s="11">
        <v>0.5</v>
      </c>
      <c r="J1562" s="10">
        <v>68.78</v>
      </c>
      <c r="K1562" s="10">
        <f t="shared" si="89"/>
        <v>34.39</v>
      </c>
      <c r="L1562" s="12"/>
      <c r="M1562" s="11">
        <v>0.5</v>
      </c>
      <c r="N1562" s="10">
        <v>67.7</v>
      </c>
      <c r="O1562" s="10">
        <f t="shared" si="90"/>
        <v>33.85</v>
      </c>
      <c r="P1562" s="12"/>
      <c r="Q1562" s="56">
        <f>(I1562+M1562)/($I$1567+$M$1567)</f>
        <v>1.8913066091709456E-3</v>
      </c>
    </row>
    <row r="1563" spans="1:17" x14ac:dyDescent="0.25">
      <c r="A1563" s="15"/>
      <c r="B1563" s="14" t="s">
        <v>7</v>
      </c>
      <c r="C1563" s="13" t="s">
        <v>6</v>
      </c>
      <c r="D1563" s="12"/>
      <c r="E1563" s="11"/>
      <c r="F1563" s="10"/>
      <c r="G1563" s="10">
        <f t="shared" si="88"/>
        <v>0</v>
      </c>
      <c r="H1563" s="12"/>
      <c r="I1563" s="11">
        <v>4.09</v>
      </c>
      <c r="J1563" s="10">
        <v>17.03</v>
      </c>
      <c r="K1563" s="10">
        <f t="shared" si="89"/>
        <v>69.652699999999996</v>
      </c>
      <c r="L1563" s="12"/>
      <c r="M1563" s="11">
        <v>8</v>
      </c>
      <c r="N1563" s="10">
        <v>17.98</v>
      </c>
      <c r="O1563" s="10">
        <f t="shared" si="90"/>
        <v>143.84</v>
      </c>
      <c r="P1563" s="12"/>
      <c r="Q1563" s="56">
        <f>(I1563+M1563)/($I$1567+$M$1567)</f>
        <v>2.2865896904876733E-2</v>
      </c>
    </row>
    <row r="1564" spans="1:17" x14ac:dyDescent="0.25">
      <c r="A1564" s="15"/>
      <c r="B1564" s="14" t="s">
        <v>555</v>
      </c>
      <c r="C1564" s="13" t="s">
        <v>15</v>
      </c>
      <c r="D1564" s="12"/>
      <c r="E1564" s="11"/>
      <c r="F1564" s="10"/>
      <c r="G1564" s="10">
        <f t="shared" si="88"/>
        <v>0</v>
      </c>
      <c r="H1564" s="12"/>
      <c r="I1564" s="11"/>
      <c r="J1564" s="10"/>
      <c r="K1564" s="10">
        <f t="shared" si="89"/>
        <v>0</v>
      </c>
      <c r="L1564" s="12"/>
      <c r="M1564" s="11">
        <v>3</v>
      </c>
      <c r="N1564" s="10">
        <v>4.01</v>
      </c>
      <c r="O1564" s="10">
        <f t="shared" si="90"/>
        <v>12.03</v>
      </c>
      <c r="P1564" s="12"/>
      <c r="Q1564" s="55">
        <f>+M1564/$M$1567</f>
        <v>7.3286918285086107E-3</v>
      </c>
    </row>
    <row r="1565" spans="1:17" ht="15.75" thickBot="1" x14ac:dyDescent="0.3">
      <c r="A1565" s="15"/>
      <c r="B1565" s="14"/>
      <c r="C1565" s="13"/>
      <c r="D1565" s="12"/>
      <c r="E1565" s="11"/>
      <c r="F1565" s="10"/>
      <c r="G1565" s="10">
        <f t="shared" si="88"/>
        <v>0</v>
      </c>
      <c r="H1565" s="12"/>
      <c r="I1565" s="11"/>
      <c r="J1565" s="10"/>
      <c r="K1565" s="10">
        <f t="shared" si="89"/>
        <v>0</v>
      </c>
      <c r="L1565" s="12"/>
      <c r="M1565" s="11"/>
      <c r="N1565" s="10"/>
      <c r="O1565" s="10">
        <f t="shared" si="90"/>
        <v>0</v>
      </c>
      <c r="P1565" s="12"/>
      <c r="Q1565" s="46"/>
    </row>
    <row r="1566" spans="1:17" ht="16.5" thickBot="1" x14ac:dyDescent="0.3">
      <c r="A1566" s="62" t="s">
        <v>5</v>
      </c>
      <c r="B1566" s="63"/>
      <c r="C1566" s="63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6"/>
      <c r="P1566" s="17"/>
      <c r="Q1566" s="46"/>
    </row>
    <row r="1567" spans="1:17" ht="15.75" thickBot="1" x14ac:dyDescent="0.3">
      <c r="A1567" s="15"/>
      <c r="B1567" s="14"/>
      <c r="C1567" s="13" t="s">
        <v>130</v>
      </c>
      <c r="D1567" s="12"/>
      <c r="E1567" s="11"/>
      <c r="F1567" s="10"/>
      <c r="G1567" s="10">
        <f>+E1567*F1567</f>
        <v>0</v>
      </c>
      <c r="H1567" s="12"/>
      <c r="I1567" s="40">
        <v>119.38499999999999</v>
      </c>
      <c r="J1567" s="10">
        <v>40.99</v>
      </c>
      <c r="K1567" s="10">
        <f>+I1567*J1567</f>
        <v>4893.5911500000002</v>
      </c>
      <c r="L1567" s="12"/>
      <c r="M1567" s="11">
        <v>409.35</v>
      </c>
      <c r="N1567" s="10">
        <v>40.99</v>
      </c>
      <c r="O1567" s="10">
        <f>+M1567*N1567</f>
        <v>16779.256500000003</v>
      </c>
      <c r="P1567" s="12"/>
      <c r="Q1567" s="46"/>
    </row>
    <row r="1568" spans="1:17" ht="16.5" thickBot="1" x14ac:dyDescent="0.3">
      <c r="A1568" s="62" t="s">
        <v>2</v>
      </c>
      <c r="B1568" s="63"/>
      <c r="C1568" s="63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6"/>
      <c r="P1568" s="17"/>
      <c r="Q1568" s="46"/>
    </row>
    <row r="1569" spans="1:17" x14ac:dyDescent="0.25">
      <c r="A1569" s="15"/>
      <c r="B1569" s="14" t="s">
        <v>522</v>
      </c>
      <c r="C1569" s="13" t="s">
        <v>410</v>
      </c>
      <c r="D1569" s="12"/>
      <c r="E1569" s="11"/>
      <c r="F1569" s="10"/>
      <c r="G1569" s="10">
        <f>+E1569*F1569</f>
        <v>0</v>
      </c>
      <c r="H1569" s="12"/>
      <c r="I1569" s="11">
        <v>2</v>
      </c>
      <c r="J1569" s="10">
        <v>31.25</v>
      </c>
      <c r="K1569" s="10">
        <f>+I1569*J1569</f>
        <v>62.5</v>
      </c>
      <c r="L1569" s="12"/>
      <c r="M1569" s="11">
        <v>10</v>
      </c>
      <c r="N1569" s="10">
        <v>31.25</v>
      </c>
      <c r="O1569" s="10">
        <f>+M1569*N1569</f>
        <v>312.5</v>
      </c>
      <c r="P1569" s="12"/>
      <c r="Q1569" s="56">
        <f>(I1569+M1569)/($I$1567+$M$1567)</f>
        <v>2.2695679310051349E-2</v>
      </c>
    </row>
    <row r="1570" spans="1:17" ht="30" x14ac:dyDescent="0.25">
      <c r="A1570" s="15"/>
      <c r="B1570" s="14" t="s">
        <v>553</v>
      </c>
      <c r="C1570" s="13" t="s">
        <v>410</v>
      </c>
      <c r="D1570" s="12"/>
      <c r="E1570" s="11"/>
      <c r="F1570" s="10"/>
      <c r="G1570" s="10">
        <f>+E1570*F1570</f>
        <v>0</v>
      </c>
      <c r="H1570" s="12"/>
      <c r="I1570" s="11"/>
      <c r="J1570" s="10"/>
      <c r="K1570" s="10">
        <f>+I1570*J1570</f>
        <v>0</v>
      </c>
      <c r="L1570" s="12"/>
      <c r="M1570" s="11">
        <v>12</v>
      </c>
      <c r="N1570" s="10">
        <v>35.71</v>
      </c>
      <c r="O1570" s="10">
        <f>+M1570*N1570</f>
        <v>428.52</v>
      </c>
      <c r="P1570" s="12"/>
      <c r="Q1570" s="56">
        <f>+M1570/$M$1567</f>
        <v>2.9314767314034443E-2</v>
      </c>
    </row>
    <row r="1571" spans="1:17" x14ac:dyDescent="0.25">
      <c r="A1571" s="15"/>
      <c r="B1571" s="14"/>
      <c r="C1571" s="13"/>
      <c r="D1571" s="12"/>
      <c r="E1571" s="11"/>
      <c r="F1571" s="10"/>
      <c r="G1571" s="10">
        <f>+E1571*F1571</f>
        <v>0</v>
      </c>
      <c r="H1571" s="12"/>
      <c r="I1571" s="11"/>
      <c r="J1571" s="10"/>
      <c r="K1571" s="10">
        <f>+I1571*J1571</f>
        <v>0</v>
      </c>
      <c r="L1571" s="12"/>
      <c r="M1571" s="11"/>
      <c r="N1571" s="10"/>
      <c r="O1571" s="10">
        <f>+M1571*N1571</f>
        <v>0</v>
      </c>
      <c r="P1571" s="12"/>
      <c r="Q1571" s="46"/>
    </row>
    <row r="1572" spans="1:17" ht="15.75" thickBot="1" x14ac:dyDescent="0.3">
      <c r="Q1572" s="46"/>
    </row>
    <row r="1573" spans="1:17" ht="21" thickBot="1" x14ac:dyDescent="0.3">
      <c r="A1573" s="64" t="s">
        <v>1</v>
      </c>
      <c r="B1573" s="65"/>
      <c r="C1573" s="66"/>
      <c r="D1573" s="5"/>
      <c r="E1573" s="9"/>
      <c r="F1573" s="8"/>
      <c r="G1573" s="7">
        <f>SUM(G1553:G1572)</f>
        <v>0</v>
      </c>
      <c r="H1573" s="5"/>
      <c r="I1573" s="9"/>
      <c r="J1573" s="8"/>
      <c r="K1573" s="7">
        <f>SUM(K1551:K1571)</f>
        <v>5353.21695</v>
      </c>
      <c r="L1573" s="5"/>
      <c r="M1573" s="9"/>
      <c r="N1573" s="8"/>
      <c r="O1573" s="7">
        <f>SUM(O1551:O1571)</f>
        <v>19607.395300000004</v>
      </c>
      <c r="P1573" s="5"/>
      <c r="Q1573" s="46"/>
    </row>
    <row r="1574" spans="1:17" ht="21" thickBot="1" x14ac:dyDescent="0.3">
      <c r="A1574" s="60" t="s">
        <v>0</v>
      </c>
      <c r="B1574" s="61"/>
      <c r="C1574" s="61"/>
      <c r="D1574" s="5"/>
      <c r="E1574" s="4"/>
      <c r="F1574" s="3"/>
      <c r="G1574" s="6" t="e">
        <f>+G1573/E1567</f>
        <v>#DIV/0!</v>
      </c>
      <c r="H1574" s="5"/>
      <c r="I1574" s="4"/>
      <c r="J1574" s="3"/>
      <c r="K1574" s="6">
        <f>+K1573/I1567</f>
        <v>44.839945973112201</v>
      </c>
      <c r="L1574" s="5"/>
      <c r="M1574" s="4"/>
      <c r="N1574" s="3"/>
      <c r="O1574" s="6">
        <f>+O1573/M1567</f>
        <v>47.898852571149391</v>
      </c>
      <c r="P1574" s="5"/>
      <c r="Q1574" s="46"/>
    </row>
    <row r="1575" spans="1:17" x14ac:dyDescent="0.25">
      <c r="Q1575" s="46"/>
    </row>
    <row r="1576" spans="1:17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46"/>
    </row>
    <row r="1577" spans="1:17" ht="15.75" thickBot="1" x14ac:dyDescent="0.3">
      <c r="Q1577" s="46"/>
    </row>
    <row r="1578" spans="1:17" ht="24" thickBot="1" x14ac:dyDescent="0.3">
      <c r="A1578" s="22" t="s">
        <v>152</v>
      </c>
      <c r="B1578" s="22"/>
      <c r="C1578" s="22"/>
      <c r="D1578" s="22"/>
      <c r="E1578" s="22"/>
      <c r="F1578" s="22"/>
      <c r="G1578" s="22"/>
      <c r="H1578" s="22"/>
      <c r="I1578" s="22"/>
      <c r="J1578" s="22"/>
      <c r="K1578" s="23"/>
      <c r="L1578" s="22"/>
      <c r="M1578" s="22"/>
      <c r="N1578" s="22"/>
      <c r="O1578" s="22"/>
      <c r="P1578" s="22"/>
      <c r="Q1578" s="46"/>
    </row>
    <row r="1579" spans="1:17" ht="15.75" thickBot="1" x14ac:dyDescent="0.3">
      <c r="Q1579" s="46"/>
    </row>
    <row r="1580" spans="1:17" ht="16.5" thickBot="1" x14ac:dyDescent="0.3">
      <c r="A1580" s="20" t="s">
        <v>151</v>
      </c>
      <c r="B1580" s="19" t="s">
        <v>150</v>
      </c>
      <c r="C1580" s="18" t="s">
        <v>130</v>
      </c>
      <c r="Q1580" s="46"/>
    </row>
    <row r="1581" spans="1:17" ht="15.75" thickBot="1" x14ac:dyDescent="0.3">
      <c r="Q1581" s="46"/>
    </row>
    <row r="1582" spans="1:17" ht="16.5" thickBot="1" x14ac:dyDescent="0.3">
      <c r="A1582" s="62" t="s">
        <v>11</v>
      </c>
      <c r="B1582" s="63"/>
      <c r="C1582" s="63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6"/>
      <c r="P1582" s="17"/>
      <c r="Q1582" s="46"/>
    </row>
    <row r="1583" spans="1:17" x14ac:dyDescent="0.25">
      <c r="A1583" s="15"/>
      <c r="B1583" s="14" t="s">
        <v>464</v>
      </c>
      <c r="C1583" s="13" t="s">
        <v>15</v>
      </c>
      <c r="D1583" s="12"/>
      <c r="E1583" s="11"/>
      <c r="F1583" s="10"/>
      <c r="G1583" s="10">
        <f t="shared" ref="G1583:G1591" si="91">+E1583*F1583</f>
        <v>0</v>
      </c>
      <c r="H1583" s="12"/>
      <c r="I1583" s="11"/>
      <c r="J1583" s="10"/>
      <c r="K1583" s="10">
        <f t="shared" ref="K1583:K1591" si="92">+I1583*J1583</f>
        <v>0</v>
      </c>
      <c r="L1583" s="12"/>
      <c r="M1583" s="11">
        <v>2</v>
      </c>
      <c r="N1583" s="10">
        <v>0.65</v>
      </c>
      <c r="O1583" s="10">
        <f t="shared" ref="O1583:O1591" si="93">+M1583*N1583</f>
        <v>1.3</v>
      </c>
      <c r="P1583" s="12"/>
      <c r="Q1583" s="56">
        <f>+M1583/$M$1593</f>
        <v>2.2006315812638224E-3</v>
      </c>
    </row>
    <row r="1584" spans="1:17" x14ac:dyDescent="0.25">
      <c r="A1584" s="15"/>
      <c r="B1584" s="14" t="s">
        <v>556</v>
      </c>
      <c r="C1584" s="13" t="s">
        <v>15</v>
      </c>
      <c r="D1584" s="12"/>
      <c r="E1584" s="11"/>
      <c r="F1584" s="10"/>
      <c r="G1584" s="10">
        <f t="shared" si="91"/>
        <v>0</v>
      </c>
      <c r="H1584" s="12"/>
      <c r="I1584" s="11"/>
      <c r="J1584" s="10"/>
      <c r="K1584" s="10">
        <f t="shared" si="92"/>
        <v>0</v>
      </c>
      <c r="L1584" s="12"/>
      <c r="M1584" s="11">
        <v>40</v>
      </c>
      <c r="N1584" s="10">
        <v>0.02</v>
      </c>
      <c r="O1584" s="10">
        <f t="shared" si="93"/>
        <v>0.8</v>
      </c>
      <c r="P1584" s="12"/>
      <c r="Q1584" s="56">
        <f t="shared" ref="Q1584:Q1590" si="94">+M1584/$M$1593</f>
        <v>4.4012631625276452E-2</v>
      </c>
    </row>
    <row r="1585" spans="1:17" x14ac:dyDescent="0.25">
      <c r="A1585" s="15"/>
      <c r="B1585" s="14" t="s">
        <v>148</v>
      </c>
      <c r="C1585" s="13" t="s">
        <v>15</v>
      </c>
      <c r="D1585" s="12"/>
      <c r="E1585" s="11">
        <v>5</v>
      </c>
      <c r="F1585" s="10">
        <v>1.73</v>
      </c>
      <c r="G1585" s="10">
        <f t="shared" si="91"/>
        <v>8.65</v>
      </c>
      <c r="H1585" s="12"/>
      <c r="I1585" s="11">
        <v>5</v>
      </c>
      <c r="J1585" s="10">
        <v>1.7</v>
      </c>
      <c r="K1585" s="10">
        <f t="shared" si="92"/>
        <v>8.5</v>
      </c>
      <c r="L1585" s="12"/>
      <c r="M1585" s="11">
        <v>27</v>
      </c>
      <c r="N1585" s="10">
        <f>36.13/M1585</f>
        <v>1.3381481481481483</v>
      </c>
      <c r="O1585" s="10">
        <f t="shared" si="93"/>
        <v>36.130000000000003</v>
      </c>
      <c r="P1585" s="12"/>
      <c r="Q1585" s="56">
        <f t="shared" si="94"/>
        <v>2.9708526347061604E-2</v>
      </c>
    </row>
    <row r="1586" spans="1:17" x14ac:dyDescent="0.25">
      <c r="A1586" s="15"/>
      <c r="B1586" s="14" t="s">
        <v>46</v>
      </c>
      <c r="C1586" s="13" t="s">
        <v>15</v>
      </c>
      <c r="D1586" s="12"/>
      <c r="E1586" s="11"/>
      <c r="F1586" s="10"/>
      <c r="G1586" s="10">
        <f t="shared" si="91"/>
        <v>0</v>
      </c>
      <c r="H1586" s="12"/>
      <c r="I1586" s="11"/>
      <c r="J1586" s="10"/>
      <c r="K1586" s="10">
        <f t="shared" si="92"/>
        <v>0</v>
      </c>
      <c r="L1586" s="12"/>
      <c r="M1586" s="11">
        <v>5</v>
      </c>
      <c r="N1586" s="10">
        <v>8.7200000000000006</v>
      </c>
      <c r="O1586" s="10">
        <f t="shared" si="93"/>
        <v>43.6</v>
      </c>
      <c r="P1586" s="12"/>
      <c r="Q1586" s="56">
        <f t="shared" si="94"/>
        <v>5.5015789531595565E-3</v>
      </c>
    </row>
    <row r="1587" spans="1:17" ht="30" x14ac:dyDescent="0.25">
      <c r="A1587" s="15"/>
      <c r="B1587" s="14" t="s">
        <v>146</v>
      </c>
      <c r="C1587" s="13" t="s">
        <v>15</v>
      </c>
      <c r="D1587" s="12"/>
      <c r="E1587" s="11"/>
      <c r="F1587" s="10"/>
      <c r="G1587" s="10">
        <f>+E1587*F1587</f>
        <v>0</v>
      </c>
      <c r="H1587" s="12"/>
      <c r="I1587" s="11">
        <v>6</v>
      </c>
      <c r="J1587" s="10">
        <v>2.52</v>
      </c>
      <c r="K1587" s="10">
        <f>+I1587*J1587</f>
        <v>15.120000000000001</v>
      </c>
      <c r="L1587" s="12"/>
      <c r="M1587" s="11">
        <v>35</v>
      </c>
      <c r="N1587" s="10">
        <v>2.37</v>
      </c>
      <c r="O1587" s="10">
        <f>+M1587*N1587</f>
        <v>82.95</v>
      </c>
      <c r="P1587" s="12"/>
      <c r="Q1587" s="56">
        <f t="shared" si="94"/>
        <v>3.8511052672116894E-2</v>
      </c>
    </row>
    <row r="1588" spans="1:17" ht="30" x14ac:dyDescent="0.25">
      <c r="A1588" s="15"/>
      <c r="B1588" s="14" t="s">
        <v>145</v>
      </c>
      <c r="C1588" s="13" t="s">
        <v>144</v>
      </c>
      <c r="D1588" s="12"/>
      <c r="E1588" s="11"/>
      <c r="F1588" s="10"/>
      <c r="G1588" s="10">
        <f>+E1588*F1588</f>
        <v>0</v>
      </c>
      <c r="H1588" s="12"/>
      <c r="I1588" s="11">
        <v>2</v>
      </c>
      <c r="J1588" s="10">
        <v>66.290000000000006</v>
      </c>
      <c r="K1588" s="10">
        <f>+I1588*J1588</f>
        <v>132.58000000000001</v>
      </c>
      <c r="L1588" s="12"/>
      <c r="M1588" s="11">
        <v>2.4500000000000002</v>
      </c>
      <c r="N1588" s="10">
        <v>61.71</v>
      </c>
      <c r="O1588" s="10">
        <f>+M1588*N1588</f>
        <v>151.18950000000001</v>
      </c>
      <c r="P1588" s="12"/>
      <c r="Q1588" s="56">
        <f t="shared" si="94"/>
        <v>2.6957736870481829E-3</v>
      </c>
    </row>
    <row r="1589" spans="1:17" x14ac:dyDescent="0.25">
      <c r="A1589" s="15"/>
      <c r="B1589" s="14" t="s">
        <v>557</v>
      </c>
      <c r="C1589" s="13" t="s">
        <v>3</v>
      </c>
      <c r="D1589" s="12"/>
      <c r="E1589" s="11"/>
      <c r="F1589" s="10"/>
      <c r="G1589" s="10">
        <f t="shared" si="91"/>
        <v>0</v>
      </c>
      <c r="H1589" s="12"/>
      <c r="I1589" s="11"/>
      <c r="J1589" s="10"/>
      <c r="K1589" s="10">
        <f t="shared" si="92"/>
        <v>0</v>
      </c>
      <c r="L1589" s="12"/>
      <c r="M1589" s="11">
        <v>4.75</v>
      </c>
      <c r="N1589" s="10">
        <v>2.0499999999999998</v>
      </c>
      <c r="O1589" s="10">
        <f t="shared" si="93"/>
        <v>9.7374999999999989</v>
      </c>
      <c r="P1589" s="12"/>
      <c r="Q1589" s="56">
        <f t="shared" si="94"/>
        <v>5.2265000055015786E-3</v>
      </c>
    </row>
    <row r="1590" spans="1:17" x14ac:dyDescent="0.25">
      <c r="A1590" s="15"/>
      <c r="B1590" s="14" t="s">
        <v>454</v>
      </c>
      <c r="C1590" s="13" t="s">
        <v>102</v>
      </c>
      <c r="D1590" s="12"/>
      <c r="E1590" s="11"/>
      <c r="F1590" s="10"/>
      <c r="G1590" s="10">
        <f t="shared" si="91"/>
        <v>0</v>
      </c>
      <c r="H1590" s="12"/>
      <c r="I1590" s="11"/>
      <c r="J1590" s="10"/>
      <c r="K1590" s="10">
        <f t="shared" si="92"/>
        <v>0</v>
      </c>
      <c r="L1590" s="12"/>
      <c r="M1590" s="11">
        <v>30</v>
      </c>
      <c r="N1590" s="10">
        <v>0.56000000000000005</v>
      </c>
      <c r="O1590" s="10">
        <f t="shared" si="93"/>
        <v>16.8</v>
      </c>
      <c r="P1590" s="12"/>
      <c r="Q1590" s="56">
        <f t="shared" si="94"/>
        <v>3.3009473718957343E-2</v>
      </c>
    </row>
    <row r="1591" spans="1:17" ht="15.75" thickBot="1" x14ac:dyDescent="0.3">
      <c r="A1591" s="15"/>
      <c r="B1591" s="14"/>
      <c r="C1591" s="13"/>
      <c r="D1591" s="12"/>
      <c r="E1591" s="11"/>
      <c r="F1591" s="10"/>
      <c r="G1591" s="10">
        <f t="shared" si="91"/>
        <v>0</v>
      </c>
      <c r="H1591" s="12"/>
      <c r="I1591" s="11"/>
      <c r="J1591" s="10"/>
      <c r="K1591" s="10">
        <f t="shared" si="92"/>
        <v>0</v>
      </c>
      <c r="L1591" s="12"/>
      <c r="M1591" s="11"/>
      <c r="N1591" s="10"/>
      <c r="O1591" s="10">
        <f t="shared" si="93"/>
        <v>0</v>
      </c>
      <c r="P1591" s="12"/>
      <c r="Q1591" s="46"/>
    </row>
    <row r="1592" spans="1:17" ht="16.5" thickBot="1" x14ac:dyDescent="0.3">
      <c r="A1592" s="62" t="s">
        <v>5</v>
      </c>
      <c r="B1592" s="63"/>
      <c r="C1592" s="63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6"/>
      <c r="P1592" s="17"/>
      <c r="Q1592" s="46"/>
    </row>
    <row r="1593" spans="1:17" ht="15.75" thickBot="1" x14ac:dyDescent="0.3">
      <c r="A1593" s="15"/>
      <c r="B1593" s="14" t="s">
        <v>143</v>
      </c>
      <c r="C1593" s="13" t="s">
        <v>130</v>
      </c>
      <c r="D1593" s="12"/>
      <c r="E1593" s="11"/>
      <c r="F1593" s="10"/>
      <c r="G1593" s="10">
        <f>+E1593*F1593</f>
        <v>0</v>
      </c>
      <c r="H1593" s="12"/>
      <c r="I1593" s="11">
        <v>51.555549999999997</v>
      </c>
      <c r="J1593" s="10">
        <v>0.36</v>
      </c>
      <c r="K1593" s="10">
        <f>+I1593*J1593</f>
        <v>18.559997999999997</v>
      </c>
      <c r="L1593" s="12"/>
      <c r="M1593" s="11">
        <v>908.83</v>
      </c>
      <c r="N1593" s="10"/>
      <c r="O1593" s="10">
        <f>+M1593*N1593</f>
        <v>0</v>
      </c>
      <c r="P1593" s="12"/>
      <c r="Q1593" s="46"/>
    </row>
    <row r="1594" spans="1:17" ht="16.5" thickBot="1" x14ac:dyDescent="0.3">
      <c r="A1594" s="62" t="s">
        <v>2</v>
      </c>
      <c r="B1594" s="63"/>
      <c r="C1594" s="63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6"/>
      <c r="P1594" s="17"/>
      <c r="Q1594" s="46"/>
    </row>
    <row r="1595" spans="1:17" x14ac:dyDescent="0.25">
      <c r="A1595" s="15"/>
      <c r="B1595" s="14"/>
      <c r="C1595" s="13"/>
      <c r="D1595" s="12"/>
      <c r="E1595" s="11"/>
      <c r="F1595" s="10"/>
      <c r="G1595" s="10">
        <f>+E1595*F1595</f>
        <v>0</v>
      </c>
      <c r="H1595" s="12"/>
      <c r="I1595" s="11"/>
      <c r="J1595" s="10"/>
      <c r="K1595" s="10">
        <f>+I1595*J1595</f>
        <v>0</v>
      </c>
      <c r="L1595" s="12"/>
      <c r="M1595" s="11"/>
      <c r="N1595" s="10"/>
      <c r="O1595" s="10">
        <f>+M1595*N1595</f>
        <v>0</v>
      </c>
      <c r="P1595" s="12"/>
      <c r="Q1595" s="46"/>
    </row>
    <row r="1596" spans="1:17" x14ac:dyDescent="0.25">
      <c r="A1596" s="15"/>
      <c r="B1596" s="14"/>
      <c r="C1596" s="13"/>
      <c r="D1596" s="12"/>
      <c r="E1596" s="11"/>
      <c r="F1596" s="10"/>
      <c r="G1596" s="10">
        <f>+E1596*F1596</f>
        <v>0</v>
      </c>
      <c r="H1596" s="12"/>
      <c r="I1596" s="11"/>
      <c r="J1596" s="10"/>
      <c r="K1596" s="10">
        <f>+I1596*J1596</f>
        <v>0</v>
      </c>
      <c r="L1596" s="12"/>
      <c r="M1596" s="11"/>
      <c r="N1596" s="10"/>
      <c r="O1596" s="10">
        <f>+M1596*N1596</f>
        <v>0</v>
      </c>
      <c r="P1596" s="12"/>
      <c r="Q1596" s="46"/>
    </row>
    <row r="1597" spans="1:17" ht="15.75" thickBot="1" x14ac:dyDescent="0.3">
      <c r="Q1597" s="46"/>
    </row>
    <row r="1598" spans="1:17" ht="21" thickBot="1" x14ac:dyDescent="0.3">
      <c r="A1598" s="64" t="s">
        <v>1</v>
      </c>
      <c r="B1598" s="65"/>
      <c r="C1598" s="66"/>
      <c r="D1598" s="5"/>
      <c r="E1598" s="9"/>
      <c r="F1598" s="8"/>
      <c r="G1598" s="7">
        <f>SUM(G1582:G1597)</f>
        <v>8.65</v>
      </c>
      <c r="H1598" s="5"/>
      <c r="I1598" s="9"/>
      <c r="J1598" s="8"/>
      <c r="K1598" s="7">
        <f>SUM(K1580:K1596)</f>
        <v>174.75999800000002</v>
      </c>
      <c r="L1598" s="5"/>
      <c r="M1598" s="9"/>
      <c r="N1598" s="8"/>
      <c r="O1598" s="7">
        <f>SUM(O1580:O1596)</f>
        <v>342.50700000000006</v>
      </c>
      <c r="P1598" s="5"/>
      <c r="Q1598" s="46"/>
    </row>
    <row r="1599" spans="1:17" ht="21" thickBot="1" x14ac:dyDescent="0.3">
      <c r="A1599" s="60" t="s">
        <v>0</v>
      </c>
      <c r="B1599" s="61"/>
      <c r="C1599" s="61"/>
      <c r="D1599" s="5"/>
      <c r="E1599" s="4"/>
      <c r="F1599" s="3"/>
      <c r="G1599" s="2" t="e">
        <f>+G1598/E1593</f>
        <v>#DIV/0!</v>
      </c>
      <c r="H1599" s="5"/>
      <c r="I1599" s="4"/>
      <c r="J1599" s="3"/>
      <c r="K1599" s="6">
        <f>+K1598/I1593</f>
        <v>3.389741705791133</v>
      </c>
      <c r="L1599" s="5"/>
      <c r="M1599" s="4"/>
      <c r="N1599" s="3"/>
      <c r="O1599" s="2">
        <f>+O1598/M1593</f>
        <v>0.37686586050196413</v>
      </c>
      <c r="P1599" s="5"/>
      <c r="Q1599" s="46"/>
    </row>
    <row r="1600" spans="1:17" x14ac:dyDescent="0.25">
      <c r="Q1600" s="46"/>
    </row>
    <row r="1601" spans="1:17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46"/>
    </row>
    <row r="1602" spans="1:17" ht="15.75" thickBot="1" x14ac:dyDescent="0.3">
      <c r="Q1602" s="46"/>
    </row>
    <row r="1603" spans="1:17" ht="24" thickBot="1" x14ac:dyDescent="0.3">
      <c r="A1603" s="22" t="s">
        <v>142</v>
      </c>
      <c r="B1603" s="22"/>
      <c r="C1603" s="22"/>
      <c r="D1603" s="22"/>
      <c r="E1603" s="22"/>
      <c r="F1603" s="22"/>
      <c r="G1603" s="22"/>
      <c r="H1603" s="22"/>
      <c r="I1603" s="22"/>
      <c r="J1603" s="22"/>
      <c r="K1603" s="23"/>
      <c r="L1603" s="22"/>
      <c r="M1603" s="22"/>
      <c r="N1603" s="22"/>
      <c r="O1603" s="22"/>
      <c r="P1603" s="22"/>
      <c r="Q1603" s="46"/>
    </row>
    <row r="1604" spans="1:17" ht="15.75" thickBot="1" x14ac:dyDescent="0.3">
      <c r="Q1604" s="46"/>
    </row>
    <row r="1605" spans="1:17" ht="32.25" thickBot="1" x14ac:dyDescent="0.3">
      <c r="A1605" s="20" t="s">
        <v>141</v>
      </c>
      <c r="B1605" s="19" t="s">
        <v>140</v>
      </c>
      <c r="C1605" s="18" t="s">
        <v>88</v>
      </c>
      <c r="Q1605" s="46"/>
    </row>
    <row r="1606" spans="1:17" ht="15.75" thickBot="1" x14ac:dyDescent="0.3">
      <c r="Q1606" s="46"/>
    </row>
    <row r="1607" spans="1:17" ht="16.5" thickBot="1" x14ac:dyDescent="0.3">
      <c r="A1607" s="62" t="s">
        <v>11</v>
      </c>
      <c r="B1607" s="63"/>
      <c r="C1607" s="63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6"/>
      <c r="P1607" s="17"/>
      <c r="Q1607" s="46"/>
    </row>
    <row r="1608" spans="1:17" x14ac:dyDescent="0.25">
      <c r="A1608" s="15"/>
      <c r="B1608" s="14" t="s">
        <v>558</v>
      </c>
      <c r="C1608" s="13" t="s">
        <v>15</v>
      </c>
      <c r="D1608" s="12"/>
      <c r="E1608" s="11">
        <v>2</v>
      </c>
      <c r="F1608" s="10">
        <v>1.0900000000000001</v>
      </c>
      <c r="G1608" s="10">
        <f>+E1608*F1608</f>
        <v>2.1800000000000002</v>
      </c>
      <c r="H1608" s="12"/>
      <c r="I1608" s="11"/>
      <c r="J1608" s="10"/>
      <c r="K1608" s="10">
        <f>+I1608*J1608</f>
        <v>0</v>
      </c>
      <c r="L1608" s="12"/>
      <c r="M1608" s="11">
        <v>3</v>
      </c>
      <c r="N1608" s="10">
        <v>1.0900000000000001</v>
      </c>
      <c r="O1608" s="10">
        <f>+M1608*N1608</f>
        <v>3.2700000000000005</v>
      </c>
      <c r="P1608" s="12"/>
      <c r="Q1608" s="56">
        <v>3</v>
      </c>
    </row>
    <row r="1609" spans="1:17" x14ac:dyDescent="0.25">
      <c r="A1609" s="15"/>
      <c r="B1609" s="14" t="s">
        <v>133</v>
      </c>
      <c r="C1609" s="13" t="s">
        <v>15</v>
      </c>
      <c r="D1609" s="12"/>
      <c r="E1609" s="11"/>
      <c r="F1609" s="10"/>
      <c r="G1609" s="10">
        <f>+E1609*F1609</f>
        <v>0</v>
      </c>
      <c r="H1609" s="12"/>
      <c r="I1609" s="11">
        <v>1</v>
      </c>
      <c r="J1609" s="10">
        <v>2.39</v>
      </c>
      <c r="K1609" s="10">
        <f>+I1609*J1609</f>
        <v>2.39</v>
      </c>
      <c r="L1609" s="12"/>
      <c r="M1609" s="11"/>
      <c r="N1609" s="10"/>
      <c r="O1609" s="10">
        <f>+M1609*N1609</f>
        <v>0</v>
      </c>
      <c r="P1609" s="12"/>
      <c r="Q1609" s="56">
        <v>1</v>
      </c>
    </row>
    <row r="1610" spans="1:17" ht="30" x14ac:dyDescent="0.25">
      <c r="A1610" s="15"/>
      <c r="B1610" s="14" t="s">
        <v>243</v>
      </c>
      <c r="C1610" s="13" t="s">
        <v>15</v>
      </c>
      <c r="D1610" s="12"/>
      <c r="E1610" s="11"/>
      <c r="F1610" s="10"/>
      <c r="G1610" s="10">
        <f>+E1610*F1610</f>
        <v>0</v>
      </c>
      <c r="H1610" s="12"/>
      <c r="I1610" s="11"/>
      <c r="J1610" s="10"/>
      <c r="K1610" s="10">
        <f>+I1610*J1610</f>
        <v>0</v>
      </c>
      <c r="L1610" s="12"/>
      <c r="M1610" s="11">
        <v>4</v>
      </c>
      <c r="N1610" s="10">
        <v>1.1499999999999999</v>
      </c>
      <c r="O1610" s="10">
        <f>+M1610*N1610</f>
        <v>4.5999999999999996</v>
      </c>
      <c r="P1610" s="12"/>
      <c r="Q1610" s="56">
        <v>4</v>
      </c>
    </row>
    <row r="1611" spans="1:17" x14ac:dyDescent="0.25">
      <c r="A1611" s="15"/>
      <c r="B1611" s="14" t="s">
        <v>464</v>
      </c>
      <c r="C1611" s="13" t="s">
        <v>15</v>
      </c>
      <c r="D1611" s="12"/>
      <c r="E1611" s="11"/>
      <c r="F1611" s="10"/>
      <c r="G1611" s="10">
        <f>+E1611*F1611</f>
        <v>0</v>
      </c>
      <c r="H1611" s="12"/>
      <c r="I1611" s="11"/>
      <c r="J1611" s="10"/>
      <c r="K1611" s="10">
        <f>+I1611*J1611</f>
        <v>0</v>
      </c>
      <c r="L1611" s="12"/>
      <c r="M1611" s="11">
        <v>4</v>
      </c>
      <c r="N1611" s="10">
        <v>0.64</v>
      </c>
      <c r="O1611" s="10">
        <f>+M1611*N1611</f>
        <v>2.56</v>
      </c>
      <c r="P1611" s="12"/>
      <c r="Q1611" s="56">
        <v>4</v>
      </c>
    </row>
    <row r="1612" spans="1:17" x14ac:dyDescent="0.25">
      <c r="A1612" s="15"/>
      <c r="B1612" s="14" t="s">
        <v>147</v>
      </c>
      <c r="C1612" s="13" t="s">
        <v>15</v>
      </c>
      <c r="D1612" s="12"/>
      <c r="E1612" s="11">
        <v>5</v>
      </c>
      <c r="F1612" s="10">
        <v>1.58</v>
      </c>
      <c r="G1612" s="10">
        <f>+E1612*F1612</f>
        <v>7.9</v>
      </c>
      <c r="H1612" s="12"/>
      <c r="I1612" s="11">
        <v>2</v>
      </c>
      <c r="J1612" s="10">
        <v>1.57</v>
      </c>
      <c r="K1612" s="10">
        <f>+I1612*J1612</f>
        <v>3.14</v>
      </c>
      <c r="L1612" s="12"/>
      <c r="M1612" s="11"/>
      <c r="N1612" s="10"/>
      <c r="O1612" s="10">
        <f>+M1612*N1612</f>
        <v>0</v>
      </c>
      <c r="P1612" s="12"/>
      <c r="Q1612" s="56">
        <v>5</v>
      </c>
    </row>
    <row r="1613" spans="1:17" x14ac:dyDescent="0.25">
      <c r="A1613" s="15"/>
      <c r="B1613" s="14" t="s">
        <v>139</v>
      </c>
      <c r="C1613" s="13" t="s">
        <v>23</v>
      </c>
      <c r="D1613" s="12"/>
      <c r="E1613" s="11">
        <v>1</v>
      </c>
      <c r="F1613" s="10">
        <v>0.96</v>
      </c>
      <c r="G1613" s="10">
        <f t="shared" ref="G1613:G1632" si="95">+E1613*F1613</f>
        <v>0.96</v>
      </c>
      <c r="H1613" s="12"/>
      <c r="I1613" s="11"/>
      <c r="J1613" s="10"/>
      <c r="K1613" s="10">
        <f t="shared" ref="K1613:K1632" si="96">+I1613*J1613</f>
        <v>0</v>
      </c>
      <c r="L1613" s="12"/>
      <c r="M1613" s="11"/>
      <c r="N1613" s="10"/>
      <c r="O1613" s="10">
        <f t="shared" ref="O1613:O1632" si="97">+M1613*N1613</f>
        <v>0</v>
      </c>
      <c r="P1613" s="12"/>
      <c r="Q1613" s="56">
        <v>1</v>
      </c>
    </row>
    <row r="1614" spans="1:17" x14ac:dyDescent="0.25">
      <c r="A1614" s="15"/>
      <c r="B1614" s="14" t="s">
        <v>469</v>
      </c>
      <c r="C1614" s="13" t="s">
        <v>15</v>
      </c>
      <c r="D1614" s="12"/>
      <c r="E1614" s="11"/>
      <c r="F1614" s="10"/>
      <c r="G1614" s="10">
        <f t="shared" si="95"/>
        <v>0</v>
      </c>
      <c r="H1614" s="12"/>
      <c r="I1614" s="11"/>
      <c r="J1614" s="10"/>
      <c r="K1614" s="10">
        <f t="shared" si="96"/>
        <v>0</v>
      </c>
      <c r="L1614" s="12"/>
      <c r="M1614" s="11">
        <v>92</v>
      </c>
      <c r="N1614" s="10">
        <v>0.3</v>
      </c>
      <c r="O1614" s="10">
        <f t="shared" si="97"/>
        <v>27.599999999999998</v>
      </c>
      <c r="P1614" s="12"/>
      <c r="Q1614" s="56">
        <v>100</v>
      </c>
    </row>
    <row r="1615" spans="1:17" x14ac:dyDescent="0.25">
      <c r="A1615" s="15"/>
      <c r="B1615" s="14" t="s">
        <v>132</v>
      </c>
      <c r="C1615" s="13" t="s">
        <v>23</v>
      </c>
      <c r="D1615" s="12"/>
      <c r="E1615" s="11"/>
      <c r="F1615" s="10"/>
      <c r="G1615" s="10">
        <f>+E1615*F1615</f>
        <v>0</v>
      </c>
      <c r="H1615" s="12"/>
      <c r="I1615" s="11">
        <v>1</v>
      </c>
      <c r="J1615" s="10">
        <v>4.5599999999999996</v>
      </c>
      <c r="K1615" s="10">
        <f>+I1615*J1615</f>
        <v>4.5599999999999996</v>
      </c>
      <c r="L1615" s="12"/>
      <c r="M1615" s="11">
        <v>1</v>
      </c>
      <c r="N1615" s="10">
        <v>4.5599999999999996</v>
      </c>
      <c r="O1615" s="10">
        <f>+M1615*N1615</f>
        <v>4.5599999999999996</v>
      </c>
      <c r="P1615" s="12"/>
      <c r="Q1615" s="56">
        <v>1</v>
      </c>
    </row>
    <row r="1616" spans="1:17" x14ac:dyDescent="0.25">
      <c r="A1616" s="15"/>
      <c r="B1616" s="14" t="s">
        <v>138</v>
      </c>
      <c r="C1616" s="13" t="s">
        <v>30</v>
      </c>
      <c r="D1616" s="12"/>
      <c r="E1616" s="11">
        <v>1.5</v>
      </c>
      <c r="F1616" s="10">
        <v>1.77</v>
      </c>
      <c r="G1616" s="10">
        <f t="shared" si="95"/>
        <v>2.6550000000000002</v>
      </c>
      <c r="H1616" s="12"/>
      <c r="I1616" s="11"/>
      <c r="J1616" s="10"/>
      <c r="K1616" s="10">
        <f t="shared" si="96"/>
        <v>0</v>
      </c>
      <c r="L1616" s="12"/>
      <c r="M1616" s="11">
        <v>1</v>
      </c>
      <c r="N1616" s="10">
        <v>27.18</v>
      </c>
      <c r="O1616" s="10">
        <f t="shared" si="97"/>
        <v>27.18</v>
      </c>
      <c r="P1616" s="12"/>
      <c r="Q1616" s="56">
        <v>1</v>
      </c>
    </row>
    <row r="1617" spans="1:17" x14ac:dyDescent="0.25">
      <c r="A1617" s="15"/>
      <c r="B1617" s="14" t="s">
        <v>137</v>
      </c>
      <c r="C1617" s="13" t="s">
        <v>15</v>
      </c>
      <c r="D1617" s="12"/>
      <c r="E1617" s="11">
        <v>4</v>
      </c>
      <c r="F1617" s="10">
        <v>1.5249999999999999</v>
      </c>
      <c r="G1617" s="10">
        <f t="shared" si="95"/>
        <v>6.1</v>
      </c>
      <c r="H1617" s="12"/>
      <c r="I1617" s="11">
        <v>7</v>
      </c>
      <c r="J1617" s="10">
        <v>2.89</v>
      </c>
      <c r="K1617" s="10">
        <f t="shared" si="96"/>
        <v>20.23</v>
      </c>
      <c r="L1617" s="12"/>
      <c r="M1617" s="11">
        <v>5</v>
      </c>
      <c r="N1617" s="10">
        <v>2.95</v>
      </c>
      <c r="O1617" s="10">
        <f t="shared" si="97"/>
        <v>14.75</v>
      </c>
      <c r="P1617" s="12"/>
      <c r="Q1617" s="56">
        <v>6</v>
      </c>
    </row>
    <row r="1618" spans="1:17" ht="30" x14ac:dyDescent="0.25">
      <c r="A1618" s="15"/>
      <c r="B1618" s="14" t="s">
        <v>136</v>
      </c>
      <c r="C1618" s="13" t="s">
        <v>15</v>
      </c>
      <c r="D1618" s="12"/>
      <c r="E1618" s="11">
        <v>4</v>
      </c>
      <c r="F1618" s="10">
        <v>3.33</v>
      </c>
      <c r="G1618" s="10">
        <f t="shared" si="95"/>
        <v>13.32</v>
      </c>
      <c r="H1618" s="12"/>
      <c r="I1618" s="11"/>
      <c r="J1618" s="10"/>
      <c r="K1618" s="10">
        <f t="shared" si="96"/>
        <v>0</v>
      </c>
      <c r="L1618" s="12"/>
      <c r="M1618" s="11">
        <v>1</v>
      </c>
      <c r="N1618" s="10">
        <v>3.34</v>
      </c>
      <c r="O1618" s="10">
        <f t="shared" si="97"/>
        <v>3.34</v>
      </c>
      <c r="P1618" s="12"/>
      <c r="Q1618" s="56">
        <v>4</v>
      </c>
    </row>
    <row r="1619" spans="1:17" x14ac:dyDescent="0.25">
      <c r="A1619" s="15"/>
      <c r="B1619" s="14" t="s">
        <v>560</v>
      </c>
      <c r="C1619" s="13" t="s">
        <v>15</v>
      </c>
      <c r="D1619" s="12"/>
      <c r="E1619" s="11"/>
      <c r="F1619" s="10"/>
      <c r="G1619" s="10">
        <f>+E1619*F1619</f>
        <v>0</v>
      </c>
      <c r="H1619" s="12"/>
      <c r="I1619" s="11"/>
      <c r="J1619" s="10"/>
      <c r="K1619" s="10">
        <f>+I1619*J1619</f>
        <v>0</v>
      </c>
      <c r="L1619" s="12"/>
      <c r="M1619" s="11">
        <v>2</v>
      </c>
      <c r="N1619" s="10">
        <v>1.99</v>
      </c>
      <c r="O1619" s="10">
        <f>+M1619*N1619</f>
        <v>3.98</v>
      </c>
      <c r="P1619" s="12"/>
      <c r="Q1619" s="56">
        <v>2</v>
      </c>
    </row>
    <row r="1620" spans="1:17" x14ac:dyDescent="0.25">
      <c r="A1620" s="15"/>
      <c r="B1620" s="14" t="s">
        <v>135</v>
      </c>
      <c r="C1620" s="13" t="s">
        <v>15</v>
      </c>
      <c r="D1620" s="12"/>
      <c r="E1620" s="11">
        <v>5</v>
      </c>
      <c r="F1620" s="10">
        <v>1.57</v>
      </c>
      <c r="G1620" s="10">
        <f t="shared" si="95"/>
        <v>7.8500000000000005</v>
      </c>
      <c r="H1620" s="12"/>
      <c r="I1620" s="11">
        <v>4</v>
      </c>
      <c r="J1620" s="10">
        <v>2.13</v>
      </c>
      <c r="K1620" s="10">
        <f t="shared" si="96"/>
        <v>8.52</v>
      </c>
      <c r="L1620" s="12"/>
      <c r="M1620" s="11">
        <v>6</v>
      </c>
      <c r="N1620" s="10">
        <v>2.14</v>
      </c>
      <c r="O1620" s="10">
        <f t="shared" si="97"/>
        <v>12.84</v>
      </c>
      <c r="P1620" s="12"/>
      <c r="Q1620" s="56">
        <v>5</v>
      </c>
    </row>
    <row r="1621" spans="1:17" x14ac:dyDescent="0.25">
      <c r="A1621" s="15"/>
      <c r="B1621" s="14" t="s">
        <v>559</v>
      </c>
      <c r="C1621" s="13" t="s">
        <v>15</v>
      </c>
      <c r="D1621" s="12"/>
      <c r="E1621" s="11"/>
      <c r="F1621" s="10"/>
      <c r="G1621" s="10"/>
      <c r="H1621" s="12"/>
      <c r="I1621" s="11"/>
      <c r="J1621" s="10"/>
      <c r="K1621" s="10"/>
      <c r="L1621" s="12"/>
      <c r="M1621" s="11">
        <v>2</v>
      </c>
      <c r="N1621" s="10">
        <v>1.67</v>
      </c>
      <c r="O1621" s="10">
        <f t="shared" si="97"/>
        <v>3.34</v>
      </c>
      <c r="P1621" s="12"/>
      <c r="Q1621" s="56">
        <v>2</v>
      </c>
    </row>
    <row r="1622" spans="1:17" x14ac:dyDescent="0.25">
      <c r="A1622" s="15"/>
      <c r="B1622" s="14" t="s">
        <v>461</v>
      </c>
      <c r="C1622" s="13" t="s">
        <v>15</v>
      </c>
      <c r="D1622" s="12"/>
      <c r="E1622" s="11"/>
      <c r="F1622" s="10"/>
      <c r="G1622" s="10">
        <f>+E1622*F1622</f>
        <v>0</v>
      </c>
      <c r="H1622" s="12"/>
      <c r="I1622" s="11"/>
      <c r="J1622" s="10"/>
      <c r="K1622" s="10">
        <f>+I1622*J1622</f>
        <v>0</v>
      </c>
      <c r="L1622" s="12"/>
      <c r="M1622" s="11">
        <v>3</v>
      </c>
      <c r="N1622" s="10">
        <v>1.18</v>
      </c>
      <c r="O1622" s="10">
        <f>+M1622*N1622</f>
        <v>3.54</v>
      </c>
      <c r="P1622" s="12"/>
      <c r="Q1622" s="56">
        <v>3</v>
      </c>
    </row>
    <row r="1623" spans="1:17" x14ac:dyDescent="0.25">
      <c r="A1623" s="15"/>
      <c r="B1623" s="14" t="s">
        <v>134</v>
      </c>
      <c r="C1623" s="13" t="s">
        <v>15</v>
      </c>
      <c r="D1623" s="12"/>
      <c r="E1623" s="11">
        <v>14</v>
      </c>
      <c r="F1623" s="10">
        <v>0.48</v>
      </c>
      <c r="G1623" s="10">
        <f t="shared" si="95"/>
        <v>6.72</v>
      </c>
      <c r="H1623" s="12"/>
      <c r="I1623" s="11">
        <v>14</v>
      </c>
      <c r="J1623" s="10">
        <v>0.46</v>
      </c>
      <c r="K1623" s="10">
        <f t="shared" si="96"/>
        <v>6.44</v>
      </c>
      <c r="L1623" s="12"/>
      <c r="M1623" s="11"/>
      <c r="N1623" s="10"/>
      <c r="O1623" s="10">
        <f t="shared" si="97"/>
        <v>0</v>
      </c>
      <c r="P1623" s="12"/>
      <c r="Q1623" s="56">
        <v>14</v>
      </c>
    </row>
    <row r="1624" spans="1:17" x14ac:dyDescent="0.25">
      <c r="A1624" s="15"/>
      <c r="B1624" s="14" t="s">
        <v>131</v>
      </c>
      <c r="C1624" s="13" t="s">
        <v>130</v>
      </c>
      <c r="D1624" s="12"/>
      <c r="E1624" s="11"/>
      <c r="F1624" s="10"/>
      <c r="G1624" s="10">
        <f t="shared" si="95"/>
        <v>0</v>
      </c>
      <c r="H1624" s="12"/>
      <c r="I1624" s="11">
        <v>24</v>
      </c>
      <c r="J1624" s="10">
        <v>0.17</v>
      </c>
      <c r="K1624" s="10">
        <f t="shared" si="96"/>
        <v>4.08</v>
      </c>
      <c r="L1624" s="12"/>
      <c r="M1624" s="11">
        <v>13</v>
      </c>
      <c r="N1624" s="10">
        <v>0.17</v>
      </c>
      <c r="O1624" s="10">
        <f t="shared" si="97"/>
        <v>2.21</v>
      </c>
      <c r="P1624" s="12"/>
      <c r="Q1624" s="56">
        <v>24</v>
      </c>
    </row>
    <row r="1625" spans="1:17" x14ac:dyDescent="0.25">
      <c r="A1625" s="15"/>
      <c r="B1625" s="14" t="s">
        <v>561</v>
      </c>
      <c r="C1625" s="13" t="s">
        <v>23</v>
      </c>
      <c r="D1625" s="12"/>
      <c r="E1625" s="11"/>
      <c r="F1625" s="10"/>
      <c r="G1625" s="10">
        <f t="shared" si="95"/>
        <v>0</v>
      </c>
      <c r="H1625" s="12"/>
      <c r="I1625" s="11"/>
      <c r="J1625" s="10"/>
      <c r="K1625" s="10">
        <f t="shared" si="96"/>
        <v>0</v>
      </c>
      <c r="L1625" s="12"/>
      <c r="M1625" s="11">
        <v>1</v>
      </c>
      <c r="N1625" s="10">
        <v>8.86</v>
      </c>
      <c r="O1625" s="10">
        <f t="shared" si="97"/>
        <v>8.86</v>
      </c>
      <c r="P1625" s="12"/>
      <c r="Q1625" s="56">
        <v>1</v>
      </c>
    </row>
    <row r="1626" spans="1:17" x14ac:dyDescent="0.25">
      <c r="A1626" s="15"/>
      <c r="B1626" s="14" t="s">
        <v>129</v>
      </c>
      <c r="C1626" s="13" t="s">
        <v>15</v>
      </c>
      <c r="D1626" s="12"/>
      <c r="E1626" s="11"/>
      <c r="F1626" s="10"/>
      <c r="G1626" s="10">
        <f t="shared" si="95"/>
        <v>0</v>
      </c>
      <c r="H1626" s="12"/>
      <c r="I1626" s="11">
        <v>9</v>
      </c>
      <c r="J1626" s="10">
        <v>0.17</v>
      </c>
      <c r="K1626" s="10">
        <f t="shared" si="96"/>
        <v>1.53</v>
      </c>
      <c r="L1626" s="12"/>
      <c r="M1626" s="11">
        <v>2</v>
      </c>
      <c r="N1626" s="10"/>
      <c r="O1626" s="10">
        <f t="shared" si="97"/>
        <v>0</v>
      </c>
      <c r="P1626" s="12"/>
      <c r="Q1626" s="56">
        <v>5</v>
      </c>
    </row>
    <row r="1627" spans="1:17" x14ac:dyDescent="0.25">
      <c r="A1627" s="15"/>
      <c r="B1627" s="14" t="s">
        <v>128</v>
      </c>
      <c r="C1627" s="13" t="s">
        <v>15</v>
      </c>
      <c r="D1627" s="12"/>
      <c r="E1627" s="11"/>
      <c r="F1627" s="10"/>
      <c r="G1627" s="10">
        <f t="shared" si="95"/>
        <v>0</v>
      </c>
      <c r="H1627" s="12"/>
      <c r="I1627" s="11">
        <v>2</v>
      </c>
      <c r="J1627" s="10">
        <v>1.75</v>
      </c>
      <c r="K1627" s="10">
        <f t="shared" si="96"/>
        <v>3.5</v>
      </c>
      <c r="L1627" s="12"/>
      <c r="M1627" s="11">
        <v>2</v>
      </c>
      <c r="N1627" s="10">
        <v>1.89</v>
      </c>
      <c r="O1627" s="10">
        <f t="shared" si="97"/>
        <v>3.78</v>
      </c>
      <c r="P1627" s="12"/>
      <c r="Q1627" s="56">
        <v>2</v>
      </c>
    </row>
    <row r="1628" spans="1:17" x14ac:dyDescent="0.25">
      <c r="A1628" s="15"/>
      <c r="B1628" s="14" t="s">
        <v>127</v>
      </c>
      <c r="C1628" s="13" t="s">
        <v>15</v>
      </c>
      <c r="D1628" s="12"/>
      <c r="E1628" s="11"/>
      <c r="F1628" s="10"/>
      <c r="G1628" s="10">
        <f t="shared" si="95"/>
        <v>0</v>
      </c>
      <c r="H1628" s="12"/>
      <c r="I1628" s="11">
        <v>6</v>
      </c>
      <c r="J1628" s="10">
        <v>1.38</v>
      </c>
      <c r="K1628" s="10">
        <f t="shared" si="96"/>
        <v>8.2799999999999994</v>
      </c>
      <c r="L1628" s="12"/>
      <c r="M1628" s="11">
        <v>9</v>
      </c>
      <c r="N1628" s="10">
        <v>1.38</v>
      </c>
      <c r="O1628" s="10">
        <f t="shared" si="97"/>
        <v>12.419999999999998</v>
      </c>
      <c r="P1628" s="12"/>
      <c r="Q1628" s="56">
        <v>6</v>
      </c>
    </row>
    <row r="1629" spans="1:17" x14ac:dyDescent="0.25">
      <c r="A1629" s="15"/>
      <c r="B1629" s="14" t="s">
        <v>562</v>
      </c>
      <c r="C1629" s="13" t="s">
        <v>15</v>
      </c>
      <c r="D1629" s="12"/>
      <c r="E1629" s="11"/>
      <c r="F1629" s="10"/>
      <c r="G1629" s="10">
        <f t="shared" si="95"/>
        <v>0</v>
      </c>
      <c r="H1629" s="12"/>
      <c r="I1629" s="11"/>
      <c r="J1629" s="10"/>
      <c r="K1629" s="10">
        <f t="shared" si="96"/>
        <v>0</v>
      </c>
      <c r="L1629" s="12"/>
      <c r="M1629" s="11">
        <v>1</v>
      </c>
      <c r="N1629" s="10">
        <v>1.63</v>
      </c>
      <c r="O1629" s="10">
        <f t="shared" si="97"/>
        <v>1.63</v>
      </c>
      <c r="P1629" s="12"/>
      <c r="Q1629" s="56">
        <v>1</v>
      </c>
    </row>
    <row r="1630" spans="1:17" x14ac:dyDescent="0.25">
      <c r="A1630" s="15"/>
      <c r="B1630" s="14" t="s">
        <v>126</v>
      </c>
      <c r="C1630" s="13" t="s">
        <v>15</v>
      </c>
      <c r="D1630" s="12"/>
      <c r="E1630" s="11"/>
      <c r="F1630" s="10"/>
      <c r="G1630" s="10">
        <f t="shared" si="95"/>
        <v>0</v>
      </c>
      <c r="H1630" s="12"/>
      <c r="I1630" s="11">
        <v>2</v>
      </c>
      <c r="J1630" s="10">
        <v>1.74</v>
      </c>
      <c r="K1630" s="10">
        <f t="shared" si="96"/>
        <v>3.48</v>
      </c>
      <c r="L1630" s="12"/>
      <c r="M1630" s="11">
        <v>1</v>
      </c>
      <c r="N1630" s="10">
        <v>2.2200000000000002</v>
      </c>
      <c r="O1630" s="10">
        <f t="shared" si="97"/>
        <v>2.2200000000000002</v>
      </c>
      <c r="P1630" s="12"/>
      <c r="Q1630" s="56">
        <v>1</v>
      </c>
    </row>
    <row r="1631" spans="1:17" x14ac:dyDescent="0.25">
      <c r="A1631" s="15"/>
      <c r="B1631" s="14"/>
      <c r="C1631" s="13"/>
      <c r="D1631" s="12"/>
      <c r="E1631" s="11"/>
      <c r="F1631" s="10"/>
      <c r="G1631" s="10">
        <f t="shared" si="95"/>
        <v>0</v>
      </c>
      <c r="H1631" s="12"/>
      <c r="I1631" s="11"/>
      <c r="J1631" s="10"/>
      <c r="K1631" s="10">
        <f t="shared" si="96"/>
        <v>0</v>
      </c>
      <c r="L1631" s="12"/>
      <c r="M1631" s="11"/>
      <c r="N1631" s="10"/>
      <c r="O1631" s="10">
        <f t="shared" si="97"/>
        <v>0</v>
      </c>
      <c r="P1631" s="12"/>
      <c r="Q1631" s="46"/>
    </row>
    <row r="1632" spans="1:17" ht="15.75" thickBot="1" x14ac:dyDescent="0.3">
      <c r="A1632" s="15"/>
      <c r="B1632" s="14"/>
      <c r="C1632" s="13"/>
      <c r="D1632" s="12"/>
      <c r="E1632" s="11"/>
      <c r="F1632" s="10"/>
      <c r="G1632" s="10">
        <f t="shared" si="95"/>
        <v>0</v>
      </c>
      <c r="H1632" s="12"/>
      <c r="I1632" s="11"/>
      <c r="J1632" s="10"/>
      <c r="K1632" s="10">
        <f t="shared" si="96"/>
        <v>0</v>
      </c>
      <c r="L1632" s="12"/>
      <c r="M1632" s="11"/>
      <c r="N1632" s="10"/>
      <c r="O1632" s="10">
        <f t="shared" si="97"/>
        <v>0</v>
      </c>
      <c r="P1632" s="12"/>
      <c r="Q1632" s="46"/>
    </row>
    <row r="1633" spans="1:17" ht="16.5" thickBot="1" x14ac:dyDescent="0.3">
      <c r="A1633" s="62" t="s">
        <v>5</v>
      </c>
      <c r="B1633" s="63"/>
      <c r="C1633" s="63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6"/>
      <c r="P1633" s="17"/>
      <c r="Q1633" s="46"/>
    </row>
    <row r="1634" spans="1:17" ht="30" x14ac:dyDescent="0.25">
      <c r="A1634" s="15"/>
      <c r="B1634" s="14" t="s">
        <v>125</v>
      </c>
      <c r="C1634" s="13" t="s">
        <v>88</v>
      </c>
      <c r="D1634" s="12"/>
      <c r="E1634" s="11">
        <v>1</v>
      </c>
      <c r="F1634" s="10">
        <v>202.61</v>
      </c>
      <c r="G1634" s="10">
        <f>+E1634*F1634</f>
        <v>202.61</v>
      </c>
      <c r="H1634" s="12"/>
      <c r="I1634" s="11">
        <v>1</v>
      </c>
      <c r="J1634" s="10">
        <v>1026.32</v>
      </c>
      <c r="K1634" s="10">
        <f>+I1634*J1634</f>
        <v>1026.32</v>
      </c>
      <c r="L1634" s="12"/>
      <c r="M1634" s="11">
        <v>1.69</v>
      </c>
      <c r="N1634" s="10">
        <v>880</v>
      </c>
      <c r="O1634" s="10">
        <f>+M1634*N1634</f>
        <v>1487.2</v>
      </c>
      <c r="P1634" s="12"/>
      <c r="Q1634" s="46"/>
    </row>
    <row r="1635" spans="1:17" ht="15.75" thickBot="1" x14ac:dyDescent="0.3">
      <c r="A1635" s="15"/>
      <c r="B1635" s="14"/>
      <c r="C1635" s="13"/>
      <c r="D1635" s="12"/>
      <c r="E1635" s="11"/>
      <c r="F1635" s="10"/>
      <c r="G1635" s="10">
        <f>+E1635*F1635</f>
        <v>0</v>
      </c>
      <c r="H1635" s="12"/>
      <c r="I1635" s="11"/>
      <c r="J1635" s="10"/>
      <c r="K1635" s="10">
        <f>+I1635*J1635</f>
        <v>0</v>
      </c>
      <c r="L1635" s="12"/>
      <c r="M1635" s="11"/>
      <c r="N1635" s="10"/>
      <c r="O1635" s="10">
        <f>+M1635*N1635</f>
        <v>0</v>
      </c>
      <c r="P1635" s="12"/>
      <c r="Q1635" s="46"/>
    </row>
    <row r="1636" spans="1:17" ht="16.5" thickBot="1" x14ac:dyDescent="0.3">
      <c r="A1636" s="62" t="s">
        <v>2</v>
      </c>
      <c r="B1636" s="63"/>
      <c r="C1636" s="63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6"/>
      <c r="P1636" s="17"/>
      <c r="Q1636" s="46"/>
    </row>
    <row r="1637" spans="1:17" ht="15" customHeight="1" x14ac:dyDescent="0.25">
      <c r="A1637" s="15"/>
      <c r="B1637" s="14" t="s">
        <v>328</v>
      </c>
      <c r="C1637" s="13" t="s">
        <v>78</v>
      </c>
      <c r="D1637" s="12" t="s">
        <v>78</v>
      </c>
      <c r="E1637" s="11"/>
      <c r="F1637" s="10"/>
      <c r="G1637" s="10">
        <f>+E1637*F1637</f>
        <v>0</v>
      </c>
      <c r="H1637" s="12"/>
      <c r="I1637" s="11"/>
      <c r="J1637" s="10"/>
      <c r="K1637" s="10">
        <f>+I1637*J1637</f>
        <v>0</v>
      </c>
      <c r="L1637" s="12"/>
      <c r="M1637" s="11">
        <v>9</v>
      </c>
      <c r="N1637" s="10">
        <v>22</v>
      </c>
      <c r="O1637" s="10">
        <f>+M1637*N1637</f>
        <v>198</v>
      </c>
      <c r="P1637" s="12"/>
      <c r="Q1637" s="46"/>
    </row>
    <row r="1638" spans="1:17" ht="15" customHeight="1" x14ac:dyDescent="0.25">
      <c r="A1638" s="15"/>
      <c r="B1638" s="14" t="s">
        <v>563</v>
      </c>
      <c r="C1638" s="13" t="s">
        <v>564</v>
      </c>
      <c r="D1638" s="12" t="s">
        <v>564</v>
      </c>
      <c r="E1638" s="11"/>
      <c r="F1638" s="10"/>
      <c r="G1638" s="10">
        <f>+E1638*F1638</f>
        <v>0</v>
      </c>
      <c r="H1638" s="12"/>
      <c r="I1638" s="11"/>
      <c r="J1638" s="10"/>
      <c r="K1638" s="10">
        <f>+I1638*J1638</f>
        <v>0</v>
      </c>
      <c r="L1638" s="12"/>
      <c r="M1638" s="11">
        <v>2</v>
      </c>
      <c r="N1638" s="10">
        <v>35</v>
      </c>
      <c r="O1638" s="10">
        <f>+M1638*N1638</f>
        <v>70</v>
      </c>
      <c r="P1638" s="12"/>
      <c r="Q1638" s="46"/>
    </row>
    <row r="1639" spans="1:17" ht="15" customHeight="1" x14ac:dyDescent="0.25">
      <c r="A1639" s="15"/>
      <c r="B1639" s="14"/>
      <c r="C1639" s="13"/>
      <c r="D1639" s="12"/>
      <c r="E1639" s="11"/>
      <c r="F1639" s="10"/>
      <c r="G1639" s="10">
        <f>+E1639*F1639</f>
        <v>0</v>
      </c>
      <c r="H1639" s="12"/>
      <c r="I1639" s="11"/>
      <c r="J1639" s="10"/>
      <c r="K1639" s="10">
        <f>+I1639*J1639</f>
        <v>0</v>
      </c>
      <c r="L1639" s="12"/>
      <c r="M1639" s="11"/>
      <c r="N1639" s="10"/>
      <c r="O1639" s="10">
        <f>+M1639*N1639</f>
        <v>0</v>
      </c>
      <c r="P1639" s="12"/>
      <c r="Q1639" s="46"/>
    </row>
    <row r="1640" spans="1:17" ht="15.75" thickBot="1" x14ac:dyDescent="0.3">
      <c r="Q1640" s="46"/>
    </row>
    <row r="1641" spans="1:17" ht="21" thickBot="1" x14ac:dyDescent="0.3">
      <c r="A1641" s="64" t="s">
        <v>1</v>
      </c>
      <c r="B1641" s="65"/>
      <c r="C1641" s="66"/>
      <c r="D1641" s="5"/>
      <c r="E1641" s="9"/>
      <c r="F1641" s="8"/>
      <c r="G1641" s="7">
        <f>SUM(G1607:G1640)</f>
        <v>250.29500000000002</v>
      </c>
      <c r="H1641" s="5"/>
      <c r="I1641" s="9"/>
      <c r="J1641" s="8"/>
      <c r="K1641" s="7">
        <f>SUM(K1605:K1640)</f>
        <v>1092.47</v>
      </c>
      <c r="L1641" s="5"/>
      <c r="M1641" s="9"/>
      <c r="N1641" s="8"/>
      <c r="O1641" s="7">
        <f>SUM(O1605:O1640)</f>
        <v>1897.88</v>
      </c>
      <c r="P1641" s="5"/>
      <c r="Q1641" s="46"/>
    </row>
    <row r="1642" spans="1:17" ht="21" thickBot="1" x14ac:dyDescent="0.3">
      <c r="A1642" s="60" t="s">
        <v>0</v>
      </c>
      <c r="B1642" s="61"/>
      <c r="C1642" s="61"/>
      <c r="D1642" s="5"/>
      <c r="E1642" s="4"/>
      <c r="F1642" s="3"/>
      <c r="G1642" s="6">
        <f>+G1641/E1634</f>
        <v>250.29500000000002</v>
      </c>
      <c r="H1642" s="5"/>
      <c r="I1642" s="4"/>
      <c r="J1642" s="3"/>
      <c r="K1642" s="6">
        <f>+K1641/I1634</f>
        <v>1092.47</v>
      </c>
      <c r="L1642" s="5"/>
      <c r="M1642" s="4"/>
      <c r="N1642" s="3"/>
      <c r="O1642" s="6">
        <f>+O1641/M1634</f>
        <v>1123.0059171597634</v>
      </c>
      <c r="P1642" s="5"/>
      <c r="Q1642" s="46"/>
    </row>
    <row r="1643" spans="1:17" x14ac:dyDescent="0.25">
      <c r="Q1643" s="46"/>
    </row>
    <row r="1644" spans="1:17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46"/>
    </row>
    <row r="1645" spans="1:17" ht="15.75" thickBot="1" x14ac:dyDescent="0.3">
      <c r="Q1645" s="46"/>
    </row>
    <row r="1646" spans="1:17" ht="16.5" thickBot="1" x14ac:dyDescent="0.3">
      <c r="A1646" s="20" t="s">
        <v>124</v>
      </c>
      <c r="B1646" s="19" t="s">
        <v>123</v>
      </c>
      <c r="C1646" s="18" t="s">
        <v>122</v>
      </c>
      <c r="Q1646" s="46"/>
    </row>
    <row r="1647" spans="1:17" ht="15.75" thickBot="1" x14ac:dyDescent="0.3">
      <c r="Q1647" s="46"/>
    </row>
    <row r="1648" spans="1:17" ht="16.5" thickBot="1" x14ac:dyDescent="0.3">
      <c r="A1648" s="62" t="s">
        <v>11</v>
      </c>
      <c r="B1648" s="63"/>
      <c r="C1648" s="63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6"/>
      <c r="P1648" s="17"/>
      <c r="Q1648" s="46"/>
    </row>
    <row r="1649" spans="1:17" x14ac:dyDescent="0.25">
      <c r="A1649" s="15"/>
      <c r="B1649" s="14" t="s">
        <v>469</v>
      </c>
      <c r="C1649" s="13" t="s">
        <v>15</v>
      </c>
      <c r="D1649" s="12"/>
      <c r="E1649" s="11"/>
      <c r="F1649" s="10"/>
      <c r="G1649" s="10">
        <f>+E1649*F1649</f>
        <v>0</v>
      </c>
      <c r="H1649" s="12"/>
      <c r="I1649" s="11"/>
      <c r="J1649" s="10"/>
      <c r="K1649" s="10">
        <f>+I1649*J1649</f>
        <v>0</v>
      </c>
      <c r="L1649" s="12"/>
      <c r="M1649" s="11">
        <v>38</v>
      </c>
      <c r="N1649" s="10">
        <v>0.3</v>
      </c>
      <c r="O1649" s="10">
        <f>+M1649*N1649</f>
        <v>11.4</v>
      </c>
      <c r="P1649" s="12"/>
      <c r="Q1649" s="46"/>
    </row>
    <row r="1650" spans="1:17" ht="15.75" thickBot="1" x14ac:dyDescent="0.3">
      <c r="A1650" s="15"/>
      <c r="B1650" s="14"/>
      <c r="C1650" s="13"/>
      <c r="D1650" s="12"/>
      <c r="E1650" s="11"/>
      <c r="F1650" s="10"/>
      <c r="G1650" s="10">
        <f>+E1650*F1650</f>
        <v>0</v>
      </c>
      <c r="H1650" s="12"/>
      <c r="I1650" s="11"/>
      <c r="J1650" s="10"/>
      <c r="K1650" s="10">
        <f>+I1650*J1650</f>
        <v>0</v>
      </c>
      <c r="L1650" s="12"/>
      <c r="M1650" s="11"/>
      <c r="N1650" s="10"/>
      <c r="O1650" s="10">
        <f>+M1650*N1650</f>
        <v>0</v>
      </c>
      <c r="P1650" s="12"/>
      <c r="Q1650" s="46"/>
    </row>
    <row r="1651" spans="1:17" ht="16.5" thickBot="1" x14ac:dyDescent="0.3">
      <c r="A1651" s="62" t="s">
        <v>5</v>
      </c>
      <c r="B1651" s="63"/>
      <c r="C1651" s="63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6"/>
      <c r="P1651" s="17"/>
      <c r="Q1651" s="46"/>
    </row>
    <row r="1652" spans="1:17" x14ac:dyDescent="0.25">
      <c r="A1652" s="15"/>
      <c r="B1652" s="14"/>
      <c r="C1652" s="13"/>
      <c r="D1652" s="12"/>
      <c r="E1652" s="11"/>
      <c r="F1652" s="10"/>
      <c r="G1652" s="10">
        <f>+E1652*F1652</f>
        <v>0</v>
      </c>
      <c r="H1652" s="12"/>
      <c r="I1652" s="11"/>
      <c r="J1652" s="10"/>
      <c r="K1652" s="10">
        <f>+I1652*J1652</f>
        <v>0</v>
      </c>
      <c r="L1652" s="12"/>
      <c r="M1652" s="11"/>
      <c r="N1652" s="10"/>
      <c r="O1652" s="10">
        <f>+M1652*N1652</f>
        <v>0</v>
      </c>
      <c r="P1652" s="12"/>
      <c r="Q1652" s="46"/>
    </row>
    <row r="1653" spans="1:17" ht="15.75" thickBot="1" x14ac:dyDescent="0.3">
      <c r="A1653" s="15"/>
      <c r="B1653" s="14"/>
      <c r="C1653" s="13"/>
      <c r="D1653" s="12"/>
      <c r="E1653" s="11"/>
      <c r="F1653" s="10"/>
      <c r="G1653" s="10">
        <f>+E1653*F1653</f>
        <v>0</v>
      </c>
      <c r="H1653" s="12"/>
      <c r="I1653" s="11"/>
      <c r="J1653" s="10"/>
      <c r="K1653" s="10">
        <f>+I1653*J1653</f>
        <v>0</v>
      </c>
      <c r="L1653" s="12"/>
      <c r="M1653" s="11"/>
      <c r="N1653" s="10"/>
      <c r="O1653" s="10">
        <f>+M1653*N1653</f>
        <v>0</v>
      </c>
      <c r="P1653" s="12"/>
      <c r="Q1653" s="46"/>
    </row>
    <row r="1654" spans="1:17" ht="16.5" thickBot="1" x14ac:dyDescent="0.3">
      <c r="A1654" s="62" t="s">
        <v>2</v>
      </c>
      <c r="B1654" s="63"/>
      <c r="C1654" s="63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6"/>
      <c r="P1654" s="17"/>
      <c r="Q1654" s="46"/>
    </row>
    <row r="1655" spans="1:17" ht="30" x14ac:dyDescent="0.25">
      <c r="A1655" s="15"/>
      <c r="B1655" s="14" t="s">
        <v>523</v>
      </c>
      <c r="C1655" s="13" t="s">
        <v>122</v>
      </c>
      <c r="D1655" s="12"/>
      <c r="E1655" s="11">
        <v>14</v>
      </c>
      <c r="F1655" s="10">
        <v>39.29</v>
      </c>
      <c r="G1655" s="10">
        <f>+E1655*F1655</f>
        <v>550.05999999999995</v>
      </c>
      <c r="H1655" s="12"/>
      <c r="I1655" s="11">
        <v>21</v>
      </c>
      <c r="J1655" s="10">
        <v>35</v>
      </c>
      <c r="K1655" s="10">
        <f>+I1655*J1655</f>
        <v>735</v>
      </c>
      <c r="L1655" s="12"/>
      <c r="M1655" s="11">
        <v>40.43</v>
      </c>
      <c r="N1655" s="10">
        <v>35</v>
      </c>
      <c r="O1655" s="10">
        <f>+M1655*N1655</f>
        <v>1415.05</v>
      </c>
      <c r="P1655" s="12"/>
      <c r="Q1655" s="56">
        <v>1</v>
      </c>
    </row>
    <row r="1656" spans="1:17" ht="30" x14ac:dyDescent="0.25">
      <c r="A1656" s="15"/>
      <c r="B1656" s="14" t="s">
        <v>79</v>
      </c>
      <c r="C1656" s="13" t="s">
        <v>78</v>
      </c>
      <c r="D1656" s="12"/>
      <c r="E1656" s="11">
        <v>7</v>
      </c>
      <c r="F1656" s="10">
        <v>22.43</v>
      </c>
      <c r="G1656" s="10">
        <f>+E1656*F1656</f>
        <v>157.01</v>
      </c>
      <c r="H1656" s="12"/>
      <c r="I1656" s="11">
        <v>38</v>
      </c>
      <c r="J1656" s="10">
        <v>22</v>
      </c>
      <c r="K1656" s="10">
        <f>+I1656*J1656</f>
        <v>836</v>
      </c>
      <c r="L1656" s="12"/>
      <c r="M1656" s="11">
        <v>33.159999999999997</v>
      </c>
      <c r="N1656" s="10">
        <v>22</v>
      </c>
      <c r="O1656" s="10">
        <f>+M1656*N1656</f>
        <v>729.52</v>
      </c>
      <c r="P1656" s="12"/>
      <c r="Q1656" s="56">
        <v>0.68181818181818177</v>
      </c>
    </row>
    <row r="1657" spans="1:17" x14ac:dyDescent="0.25">
      <c r="A1657" s="15"/>
      <c r="B1657" s="14"/>
      <c r="C1657" s="13"/>
      <c r="D1657" s="12"/>
      <c r="E1657" s="11"/>
      <c r="F1657" s="10"/>
      <c r="G1657" s="10">
        <f>+E1657*F1657</f>
        <v>0</v>
      </c>
      <c r="H1657" s="12"/>
      <c r="I1657" s="11"/>
      <c r="J1657" s="10"/>
      <c r="K1657" s="10">
        <f>+I1657*J1657</f>
        <v>0</v>
      </c>
      <c r="L1657" s="12"/>
      <c r="M1657" s="11"/>
      <c r="N1657" s="10"/>
      <c r="O1657" s="10">
        <f>+M1657*N1657</f>
        <v>0</v>
      </c>
      <c r="P1657" s="12"/>
      <c r="Q1657" s="46"/>
    </row>
    <row r="1658" spans="1:17" ht="15.75" thickBot="1" x14ac:dyDescent="0.3">
      <c r="Q1658" s="46"/>
    </row>
    <row r="1659" spans="1:17" ht="21" thickBot="1" x14ac:dyDescent="0.3">
      <c r="A1659" s="64" t="s">
        <v>1</v>
      </c>
      <c r="B1659" s="65"/>
      <c r="C1659" s="66"/>
      <c r="D1659" s="5"/>
      <c r="E1659" s="9"/>
      <c r="F1659" s="8"/>
      <c r="G1659" s="7">
        <f>SUM(G1648:G1658)</f>
        <v>707.06999999999994</v>
      </c>
      <c r="H1659" s="5"/>
      <c r="I1659" s="9"/>
      <c r="J1659" s="8"/>
      <c r="K1659" s="7">
        <f>SUM(K1646:K1657)</f>
        <v>1571</v>
      </c>
      <c r="L1659" s="5"/>
      <c r="M1659" s="9"/>
      <c r="N1659" s="8"/>
      <c r="O1659" s="7">
        <f>SUM(O1646:O1657)</f>
        <v>2155.9700000000003</v>
      </c>
      <c r="P1659" s="5"/>
      <c r="Q1659" s="46"/>
    </row>
    <row r="1660" spans="1:17" ht="21" thickBot="1" x14ac:dyDescent="0.3">
      <c r="A1660" s="60" t="s">
        <v>0</v>
      </c>
      <c r="B1660" s="61"/>
      <c r="C1660" s="61"/>
      <c r="D1660" s="5"/>
      <c r="E1660" s="4"/>
      <c r="F1660" s="3"/>
      <c r="G1660" s="6">
        <f>+G1659/E1655</f>
        <v>50.504999999999995</v>
      </c>
      <c r="H1660" s="5"/>
      <c r="I1660" s="4"/>
      <c r="J1660" s="3"/>
      <c r="K1660" s="6">
        <f>+K1659/I1655</f>
        <v>74.80952380952381</v>
      </c>
      <c r="L1660" s="5"/>
      <c r="M1660" s="4"/>
      <c r="N1660" s="3"/>
      <c r="O1660" s="6">
        <f>+O1659/M1655</f>
        <v>53.325995547860508</v>
      </c>
      <c r="P1660" s="5"/>
      <c r="Q1660" s="46"/>
    </row>
    <row r="1661" spans="1:17" x14ac:dyDescent="0.25">
      <c r="Q1661" s="46"/>
    </row>
    <row r="1662" spans="1:17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46"/>
    </row>
    <row r="1663" spans="1:17" ht="15.75" thickBot="1" x14ac:dyDescent="0.3">
      <c r="Q1663" s="46"/>
    </row>
    <row r="1664" spans="1:17" ht="16.5" thickBot="1" x14ac:dyDescent="0.3">
      <c r="A1664" s="20" t="s">
        <v>524</v>
      </c>
      <c r="B1664" s="19" t="s">
        <v>525</v>
      </c>
      <c r="C1664" s="18" t="s">
        <v>130</v>
      </c>
      <c r="Q1664" s="46"/>
    </row>
    <row r="1665" spans="1:17" ht="15.75" thickBot="1" x14ac:dyDescent="0.3">
      <c r="Q1665" s="46"/>
    </row>
    <row r="1666" spans="1:17" ht="16.5" thickBot="1" x14ac:dyDescent="0.3">
      <c r="A1666" s="62" t="s">
        <v>11</v>
      </c>
      <c r="B1666" s="63"/>
      <c r="C1666" s="63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6"/>
      <c r="P1666" s="17"/>
      <c r="Q1666" s="46"/>
    </row>
    <row r="1667" spans="1:17" x14ac:dyDescent="0.25">
      <c r="A1667" s="15"/>
      <c r="B1667" s="14" t="s">
        <v>565</v>
      </c>
      <c r="C1667" s="13" t="s">
        <v>130</v>
      </c>
      <c r="D1667" s="12"/>
      <c r="E1667" s="11"/>
      <c r="F1667" s="10"/>
      <c r="G1667" s="10">
        <f>+E1667*F1667</f>
        <v>0</v>
      </c>
      <c r="H1667" s="12"/>
      <c r="I1667" s="11"/>
      <c r="J1667" s="10"/>
      <c r="K1667" s="10">
        <f>+I1667*J1667</f>
        <v>0</v>
      </c>
      <c r="L1667" s="12"/>
      <c r="M1667" s="11">
        <v>5</v>
      </c>
      <c r="N1667" s="10">
        <v>17.32</v>
      </c>
      <c r="O1667" s="10">
        <f>+M1667*N1667</f>
        <v>86.6</v>
      </c>
      <c r="P1667" s="12"/>
      <c r="Q1667" s="46"/>
    </row>
    <row r="1668" spans="1:17" x14ac:dyDescent="0.25">
      <c r="A1668" s="15"/>
      <c r="B1668" s="14" t="s">
        <v>526</v>
      </c>
      <c r="C1668" s="13" t="s">
        <v>15</v>
      </c>
      <c r="D1668" s="12"/>
      <c r="E1668" s="11"/>
      <c r="F1668" s="10"/>
      <c r="G1668" s="10">
        <f>+E1668*F1668</f>
        <v>0</v>
      </c>
      <c r="H1668" s="12"/>
      <c r="I1668" s="11">
        <v>1</v>
      </c>
      <c r="J1668" s="10">
        <v>2.0099999999999998</v>
      </c>
      <c r="K1668" s="10">
        <f>+I1668*J1668</f>
        <v>2.0099999999999998</v>
      </c>
      <c r="L1668" s="12"/>
      <c r="M1668" s="11"/>
      <c r="N1668" s="10"/>
      <c r="O1668" s="10">
        <f>+M1668*N1668</f>
        <v>0</v>
      </c>
      <c r="P1668" s="12"/>
      <c r="Q1668" s="46"/>
    </row>
    <row r="1669" spans="1:17" x14ac:dyDescent="0.25">
      <c r="A1669" s="15"/>
      <c r="B1669" s="14" t="s">
        <v>131</v>
      </c>
      <c r="C1669" s="13" t="s">
        <v>15</v>
      </c>
      <c r="D1669" s="12"/>
      <c r="E1669" s="11"/>
      <c r="F1669" s="10"/>
      <c r="G1669" s="10">
        <f>+E1669*F1669</f>
        <v>0</v>
      </c>
      <c r="H1669" s="12"/>
      <c r="I1669" s="11"/>
      <c r="J1669" s="10"/>
      <c r="K1669" s="10">
        <f>+I1669*J1669</f>
        <v>0</v>
      </c>
      <c r="L1669" s="12"/>
      <c r="M1669" s="11">
        <v>7</v>
      </c>
      <c r="N1669" s="10">
        <v>0.17</v>
      </c>
      <c r="O1669" s="10">
        <f>+M1669*N1669</f>
        <v>1.1900000000000002</v>
      </c>
      <c r="P1669" s="12"/>
      <c r="Q1669" s="46"/>
    </row>
    <row r="1670" spans="1:17" ht="15.75" thickBot="1" x14ac:dyDescent="0.3">
      <c r="A1670" s="15"/>
      <c r="B1670" s="14" t="s">
        <v>126</v>
      </c>
      <c r="C1670" s="13" t="s">
        <v>15</v>
      </c>
      <c r="D1670" s="12"/>
      <c r="E1670" s="11"/>
      <c r="F1670" s="10"/>
      <c r="G1670" s="10">
        <f>+E1670*F1670</f>
        <v>0</v>
      </c>
      <c r="H1670" s="12"/>
      <c r="I1670" s="11"/>
      <c r="J1670" s="10"/>
      <c r="K1670" s="10">
        <f>+I1670*J1670</f>
        <v>0</v>
      </c>
      <c r="L1670" s="12"/>
      <c r="M1670" s="11">
        <v>1</v>
      </c>
      <c r="N1670" s="10">
        <v>2.2200000000000002</v>
      </c>
      <c r="O1670" s="10">
        <f>+M1670*N1670</f>
        <v>2.2200000000000002</v>
      </c>
      <c r="P1670" s="12"/>
      <c r="Q1670" s="46"/>
    </row>
    <row r="1671" spans="1:17" ht="16.5" thickBot="1" x14ac:dyDescent="0.3">
      <c r="A1671" s="62" t="s">
        <v>5</v>
      </c>
      <c r="B1671" s="63"/>
      <c r="C1671" s="63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6"/>
      <c r="P1671" s="17"/>
      <c r="Q1671" s="46"/>
    </row>
    <row r="1672" spans="1:17" x14ac:dyDescent="0.25">
      <c r="A1672" s="15"/>
      <c r="B1672" s="14"/>
      <c r="C1672" s="13"/>
      <c r="D1672" s="12"/>
      <c r="E1672" s="11"/>
      <c r="F1672" s="10"/>
      <c r="G1672" s="10">
        <f>+E1672*F1672</f>
        <v>0</v>
      </c>
      <c r="H1672" s="12"/>
      <c r="I1672" s="11"/>
      <c r="J1672" s="10"/>
      <c r="K1672" s="10">
        <f>+I1672*J1672</f>
        <v>0</v>
      </c>
      <c r="L1672" s="12"/>
      <c r="M1672" s="11"/>
      <c r="N1672" s="10"/>
      <c r="O1672" s="10">
        <f>+M1672*N1672</f>
        <v>0</v>
      </c>
      <c r="P1672" s="12"/>
      <c r="Q1672" s="46"/>
    </row>
    <row r="1673" spans="1:17" ht="15.75" thickBot="1" x14ac:dyDescent="0.3">
      <c r="A1673" s="15"/>
      <c r="B1673" s="14"/>
      <c r="C1673" s="13"/>
      <c r="D1673" s="12"/>
      <c r="E1673" s="11"/>
      <c r="F1673" s="10"/>
      <c r="G1673" s="10">
        <f>+E1673*F1673</f>
        <v>0</v>
      </c>
      <c r="H1673" s="12"/>
      <c r="I1673" s="11"/>
      <c r="J1673" s="10"/>
      <c r="K1673" s="10">
        <f>+I1673*J1673</f>
        <v>0</v>
      </c>
      <c r="L1673" s="12"/>
      <c r="M1673" s="11"/>
      <c r="N1673" s="10"/>
      <c r="O1673" s="10">
        <f>+M1673*N1673</f>
        <v>0</v>
      </c>
      <c r="P1673" s="12"/>
      <c r="Q1673" s="46"/>
    </row>
    <row r="1674" spans="1:17" ht="16.5" thickBot="1" x14ac:dyDescent="0.3">
      <c r="A1674" s="62" t="s">
        <v>2</v>
      </c>
      <c r="B1674" s="63"/>
      <c r="C1674" s="63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6"/>
      <c r="P1674" s="17"/>
      <c r="Q1674" s="46"/>
    </row>
    <row r="1675" spans="1:17" x14ac:dyDescent="0.25">
      <c r="A1675" s="15"/>
      <c r="B1675" s="14" t="s">
        <v>234</v>
      </c>
      <c r="C1675" s="13" t="s">
        <v>15</v>
      </c>
      <c r="D1675" s="12"/>
      <c r="E1675" s="11"/>
      <c r="F1675" s="10"/>
      <c r="G1675" s="10">
        <f>+E1675*F1675</f>
        <v>0</v>
      </c>
      <c r="H1675" s="12"/>
      <c r="I1675" s="11">
        <v>180</v>
      </c>
      <c r="J1675" s="10">
        <v>0.36</v>
      </c>
      <c r="K1675" s="10">
        <f>+I1675*J1675</f>
        <v>64.8</v>
      </c>
      <c r="L1675" s="12"/>
      <c r="M1675" s="11"/>
      <c r="N1675" s="10"/>
      <c r="O1675" s="10">
        <f>+M1675*N1675</f>
        <v>0</v>
      </c>
      <c r="P1675" s="12"/>
      <c r="Q1675" s="46"/>
    </row>
    <row r="1676" spans="1:17" x14ac:dyDescent="0.25">
      <c r="A1676" s="15"/>
      <c r="B1676" s="14" t="s">
        <v>233</v>
      </c>
      <c r="C1676" s="13" t="s">
        <v>15</v>
      </c>
      <c r="D1676" s="12"/>
      <c r="E1676" s="11"/>
      <c r="F1676" s="10"/>
      <c r="G1676" s="10">
        <f>+E1676*F1676</f>
        <v>0</v>
      </c>
      <c r="H1676" s="12"/>
      <c r="I1676" s="11">
        <v>180</v>
      </c>
      <c r="J1676" s="10">
        <v>0.09</v>
      </c>
      <c r="K1676" s="10">
        <f>+I1676*J1676</f>
        <v>16.2</v>
      </c>
      <c r="L1676" s="12"/>
      <c r="M1676" s="11"/>
      <c r="N1676" s="10"/>
      <c r="O1676" s="10">
        <f>+M1676*N1676</f>
        <v>0</v>
      </c>
      <c r="P1676" s="12"/>
      <c r="Q1676" s="46"/>
    </row>
    <row r="1677" spans="1:17" x14ac:dyDescent="0.25">
      <c r="A1677" s="15"/>
      <c r="B1677" s="14"/>
      <c r="C1677" s="13"/>
      <c r="D1677" s="12"/>
      <c r="E1677" s="11"/>
      <c r="F1677" s="10"/>
      <c r="G1677" s="10">
        <f>+E1677*F1677</f>
        <v>0</v>
      </c>
      <c r="H1677" s="12"/>
      <c r="I1677" s="11"/>
      <c r="J1677" s="10"/>
      <c r="K1677" s="10">
        <f>+I1677*J1677</f>
        <v>0</v>
      </c>
      <c r="L1677" s="12"/>
      <c r="M1677" s="11"/>
      <c r="N1677" s="10"/>
      <c r="O1677" s="10">
        <f>+M1677*N1677</f>
        <v>0</v>
      </c>
      <c r="P1677" s="12"/>
      <c r="Q1677" s="46"/>
    </row>
    <row r="1678" spans="1:17" ht="15.75" thickBot="1" x14ac:dyDescent="0.3">
      <c r="Q1678" s="46"/>
    </row>
    <row r="1679" spans="1:17" ht="21" thickBot="1" x14ac:dyDescent="0.3">
      <c r="A1679" s="64" t="s">
        <v>1</v>
      </c>
      <c r="B1679" s="65"/>
      <c r="C1679" s="66"/>
      <c r="D1679" s="5"/>
      <c r="E1679" s="9"/>
      <c r="F1679" s="8"/>
      <c r="G1679" s="7">
        <f>SUM(G1666:G1678)</f>
        <v>0</v>
      </c>
      <c r="H1679" s="5"/>
      <c r="I1679" s="9"/>
      <c r="J1679" s="8"/>
      <c r="K1679" s="7">
        <f>SUM(K1664:K1677)</f>
        <v>83.01</v>
      </c>
      <c r="L1679" s="5"/>
      <c r="M1679" s="9"/>
      <c r="N1679" s="8"/>
      <c r="O1679" s="7">
        <f>SUM(O1664:O1677)</f>
        <v>90.009999999999991</v>
      </c>
      <c r="P1679" s="5"/>
      <c r="Q1679" s="46"/>
    </row>
    <row r="1680" spans="1:17" ht="21" thickBot="1" x14ac:dyDescent="0.3">
      <c r="A1680" s="60" t="s">
        <v>0</v>
      </c>
      <c r="B1680" s="61"/>
      <c r="C1680" s="61"/>
      <c r="D1680" s="5"/>
      <c r="E1680" s="4"/>
      <c r="F1680" s="3"/>
      <c r="G1680" s="2" t="e">
        <f>+G1679/E1672</f>
        <v>#DIV/0!</v>
      </c>
      <c r="H1680" s="5"/>
      <c r="I1680" s="4"/>
      <c r="J1680" s="3"/>
      <c r="K1680" s="2" t="e">
        <f>+K1679/I1672</f>
        <v>#DIV/0!</v>
      </c>
      <c r="L1680" s="5"/>
      <c r="M1680" s="4"/>
      <c r="N1680" s="3"/>
      <c r="O1680" s="2" t="e">
        <f>+O1679/M1672</f>
        <v>#DIV/0!</v>
      </c>
      <c r="P1680" s="5"/>
      <c r="Q1680" s="46"/>
    </row>
    <row r="1681" spans="1:17" x14ac:dyDescent="0.25">
      <c r="Q1681" s="46"/>
    </row>
    <row r="1682" spans="1:17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46"/>
    </row>
    <row r="1683" spans="1:17" ht="15.75" thickBot="1" x14ac:dyDescent="0.3">
      <c r="Q1683" s="46"/>
    </row>
    <row r="1684" spans="1:17" ht="16.5" thickBot="1" x14ac:dyDescent="0.3">
      <c r="A1684" s="20" t="s">
        <v>121</v>
      </c>
      <c r="B1684" s="19" t="s">
        <v>120</v>
      </c>
      <c r="C1684" s="18" t="s">
        <v>88</v>
      </c>
      <c r="Q1684" s="46"/>
    </row>
    <row r="1685" spans="1:17" ht="15.75" thickBot="1" x14ac:dyDescent="0.3">
      <c r="Q1685" s="46"/>
    </row>
    <row r="1686" spans="1:17" ht="16.5" thickBot="1" x14ac:dyDescent="0.3">
      <c r="A1686" s="62" t="s">
        <v>11</v>
      </c>
      <c r="B1686" s="63"/>
      <c r="C1686" s="63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6"/>
      <c r="P1686" s="17"/>
      <c r="Q1686" s="46"/>
    </row>
    <row r="1687" spans="1:17" x14ac:dyDescent="0.25">
      <c r="A1687" s="15"/>
      <c r="B1687" s="14"/>
      <c r="C1687" s="13"/>
      <c r="D1687" s="12"/>
      <c r="E1687" s="11"/>
      <c r="F1687" s="10"/>
      <c r="G1687" s="10">
        <f>+E1687*F1687</f>
        <v>0</v>
      </c>
      <c r="H1687" s="12"/>
      <c r="I1687" s="11"/>
      <c r="J1687" s="10"/>
      <c r="K1687" s="10">
        <f>+I1687*J1687</f>
        <v>0</v>
      </c>
      <c r="L1687" s="12"/>
      <c r="M1687" s="11"/>
      <c r="N1687" s="10"/>
      <c r="O1687" s="10">
        <f>+M1687*N1687</f>
        <v>0</v>
      </c>
      <c r="P1687" s="12"/>
      <c r="Q1687" s="46"/>
    </row>
    <row r="1688" spans="1:17" ht="15.75" thickBot="1" x14ac:dyDescent="0.3">
      <c r="A1688" s="15"/>
      <c r="B1688" s="14"/>
      <c r="C1688" s="13"/>
      <c r="D1688" s="12"/>
      <c r="E1688" s="11"/>
      <c r="F1688" s="10"/>
      <c r="G1688" s="10">
        <f>+E1688*F1688</f>
        <v>0</v>
      </c>
      <c r="H1688" s="12"/>
      <c r="I1688" s="11"/>
      <c r="J1688" s="10"/>
      <c r="K1688" s="10">
        <f>+I1688*J1688</f>
        <v>0</v>
      </c>
      <c r="L1688" s="12"/>
      <c r="M1688" s="11"/>
      <c r="N1688" s="10"/>
      <c r="O1688" s="10">
        <f>+M1688*N1688</f>
        <v>0</v>
      </c>
      <c r="P1688" s="12"/>
      <c r="Q1688" s="46"/>
    </row>
    <row r="1689" spans="1:17" ht="16.5" thickBot="1" x14ac:dyDescent="0.3">
      <c r="A1689" s="62" t="s">
        <v>5</v>
      </c>
      <c r="B1689" s="63"/>
      <c r="C1689" s="63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6"/>
      <c r="P1689" s="17"/>
      <c r="Q1689" s="46"/>
    </row>
    <row r="1690" spans="1:17" ht="15.75" thickBot="1" x14ac:dyDescent="0.3">
      <c r="A1690" s="15"/>
      <c r="B1690" s="14"/>
      <c r="C1690" s="13"/>
      <c r="D1690" s="12"/>
      <c r="E1690" s="11"/>
      <c r="F1690" s="10"/>
      <c r="G1690" s="10">
        <f>+E1690*F1690</f>
        <v>0</v>
      </c>
      <c r="H1690" s="12"/>
      <c r="I1690" s="11"/>
      <c r="J1690" s="10"/>
      <c r="K1690" s="10">
        <f>+I1690*J1690</f>
        <v>0</v>
      </c>
      <c r="L1690" s="12"/>
      <c r="M1690" s="11"/>
      <c r="N1690" s="10"/>
      <c r="O1690" s="10">
        <f>+M1690*N1690</f>
        <v>0</v>
      </c>
      <c r="P1690" s="12"/>
      <c r="Q1690" s="46"/>
    </row>
    <row r="1691" spans="1:17" ht="16.5" thickBot="1" x14ac:dyDescent="0.3">
      <c r="A1691" s="62" t="s">
        <v>2</v>
      </c>
      <c r="B1691" s="63"/>
      <c r="C1691" s="63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6"/>
      <c r="P1691" s="17"/>
      <c r="Q1691" s="46"/>
    </row>
    <row r="1692" spans="1:17" ht="30" x14ac:dyDescent="0.25">
      <c r="A1692" s="15"/>
      <c r="B1692" s="14" t="s">
        <v>566</v>
      </c>
      <c r="C1692" s="13" t="s">
        <v>15</v>
      </c>
      <c r="D1692" s="12"/>
      <c r="E1692" s="11"/>
      <c r="F1692" s="10"/>
      <c r="G1692" s="10">
        <f t="shared" ref="G1692:G1699" si="98">+E1692*F1692</f>
        <v>0</v>
      </c>
      <c r="H1692" s="12"/>
      <c r="I1692" s="11"/>
      <c r="J1692" s="10"/>
      <c r="K1692" s="10">
        <f t="shared" ref="K1692:K1699" si="99">+I1692*J1692</f>
        <v>0</v>
      </c>
      <c r="L1692" s="12"/>
      <c r="M1692" s="11">
        <v>4</v>
      </c>
      <c r="N1692" s="10">
        <v>49.88</v>
      </c>
      <c r="O1692" s="10">
        <f t="shared" ref="O1692:O1699" si="100">+M1692*N1692</f>
        <v>199.52</v>
      </c>
      <c r="P1692" s="12"/>
      <c r="Q1692" s="56">
        <v>4</v>
      </c>
    </row>
    <row r="1693" spans="1:17" x14ac:dyDescent="0.25">
      <c r="A1693" s="15"/>
      <c r="B1693" s="14" t="s">
        <v>119</v>
      </c>
      <c r="C1693" s="13" t="s">
        <v>15</v>
      </c>
      <c r="D1693" s="12"/>
      <c r="E1693" s="11">
        <v>2</v>
      </c>
      <c r="F1693" s="10">
        <v>9.52</v>
      </c>
      <c r="G1693" s="10">
        <f t="shared" si="98"/>
        <v>19.04</v>
      </c>
      <c r="H1693" s="12"/>
      <c r="I1693" s="11">
        <v>1</v>
      </c>
      <c r="J1693" s="10">
        <v>4.13</v>
      </c>
      <c r="K1693" s="10">
        <f t="shared" si="99"/>
        <v>4.13</v>
      </c>
      <c r="L1693" s="12"/>
      <c r="M1693" s="11">
        <v>4</v>
      </c>
      <c r="N1693" s="10">
        <v>4.12</v>
      </c>
      <c r="O1693" s="10">
        <f t="shared" si="100"/>
        <v>16.48</v>
      </c>
      <c r="P1693" s="12"/>
      <c r="Q1693" s="56">
        <v>4</v>
      </c>
    </row>
    <row r="1694" spans="1:17" ht="30" x14ac:dyDescent="0.25">
      <c r="A1694" s="15"/>
      <c r="B1694" s="14" t="s">
        <v>118</v>
      </c>
      <c r="C1694" s="13" t="s">
        <v>102</v>
      </c>
      <c r="D1694" s="12"/>
      <c r="E1694" s="11">
        <v>250</v>
      </c>
      <c r="F1694" s="10">
        <v>1.6400000000000001E-2</v>
      </c>
      <c r="G1694" s="10">
        <f t="shared" si="98"/>
        <v>4.1000000000000005</v>
      </c>
      <c r="H1694" s="12"/>
      <c r="I1694" s="11">
        <v>200</v>
      </c>
      <c r="J1694" s="10">
        <v>2.2200000000000001E-2</v>
      </c>
      <c r="K1694" s="10">
        <f t="shared" si="99"/>
        <v>4.4400000000000004</v>
      </c>
      <c r="L1694" s="12"/>
      <c r="M1694" s="11">
        <v>760</v>
      </c>
      <c r="N1694" s="10">
        <v>2.6499999999999999E-2</v>
      </c>
      <c r="O1694" s="10">
        <f t="shared" si="100"/>
        <v>20.14</v>
      </c>
      <c r="P1694" s="12"/>
      <c r="Q1694" s="56">
        <v>500</v>
      </c>
    </row>
    <row r="1695" spans="1:17" ht="30" x14ac:dyDescent="0.25">
      <c r="A1695" s="15"/>
      <c r="B1695" s="14" t="s">
        <v>116</v>
      </c>
      <c r="C1695" s="13" t="s">
        <v>15</v>
      </c>
      <c r="D1695" s="12"/>
      <c r="E1695" s="11"/>
      <c r="F1695" s="10"/>
      <c r="G1695" s="10">
        <f t="shared" si="98"/>
        <v>0</v>
      </c>
      <c r="H1695" s="12"/>
      <c r="I1695" s="11">
        <v>3</v>
      </c>
      <c r="J1695" s="10">
        <v>1.82</v>
      </c>
      <c r="K1695" s="10">
        <f t="shared" si="99"/>
        <v>5.46</v>
      </c>
      <c r="L1695" s="12"/>
      <c r="M1695" s="11">
        <v>6</v>
      </c>
      <c r="N1695" s="10">
        <v>0.48</v>
      </c>
      <c r="O1695" s="10">
        <f t="shared" si="100"/>
        <v>2.88</v>
      </c>
      <c r="P1695" s="12"/>
      <c r="Q1695" s="56">
        <v>6</v>
      </c>
    </row>
    <row r="1696" spans="1:17" x14ac:dyDescent="0.25">
      <c r="A1696" s="15"/>
      <c r="B1696" s="14" t="s">
        <v>115</v>
      </c>
      <c r="C1696" s="13" t="s">
        <v>114</v>
      </c>
      <c r="D1696" s="12"/>
      <c r="E1696" s="11"/>
      <c r="F1696" s="10"/>
      <c r="G1696" s="10">
        <f t="shared" si="98"/>
        <v>0</v>
      </c>
      <c r="H1696" s="12"/>
      <c r="I1696" s="11">
        <v>29</v>
      </c>
      <c r="J1696" s="10">
        <v>1.1599999999999999</v>
      </c>
      <c r="K1696" s="10">
        <f t="shared" si="99"/>
        <v>33.64</v>
      </c>
      <c r="L1696" s="12"/>
      <c r="M1696" s="11">
        <v>27</v>
      </c>
      <c r="N1696" s="10">
        <v>1.28</v>
      </c>
      <c r="O1696" s="10">
        <f t="shared" si="100"/>
        <v>34.56</v>
      </c>
      <c r="P1696" s="12"/>
      <c r="Q1696" s="56">
        <v>30</v>
      </c>
    </row>
    <row r="1697" spans="1:17" x14ac:dyDescent="0.25">
      <c r="A1697" s="15"/>
      <c r="B1697" s="14" t="s">
        <v>117</v>
      </c>
      <c r="C1697" s="13" t="s">
        <v>15</v>
      </c>
      <c r="D1697" s="12"/>
      <c r="E1697" s="11">
        <v>15</v>
      </c>
      <c r="F1697" s="10">
        <v>1.43</v>
      </c>
      <c r="G1697" s="10">
        <f t="shared" si="98"/>
        <v>21.45</v>
      </c>
      <c r="H1697" s="12"/>
      <c r="I1697" s="11">
        <v>40</v>
      </c>
      <c r="J1697" s="10">
        <v>1.47</v>
      </c>
      <c r="K1697" s="10">
        <f t="shared" si="99"/>
        <v>58.8</v>
      </c>
      <c r="L1697" s="12"/>
      <c r="M1697" s="11">
        <v>102</v>
      </c>
      <c r="N1697" s="10">
        <v>1.47</v>
      </c>
      <c r="O1697" s="10">
        <f t="shared" si="100"/>
        <v>149.94</v>
      </c>
      <c r="P1697" s="12"/>
      <c r="Q1697" s="56">
        <v>50</v>
      </c>
    </row>
    <row r="1698" spans="1:17" ht="30" x14ac:dyDescent="0.25">
      <c r="A1698" s="15"/>
      <c r="B1698" s="14" t="s">
        <v>113</v>
      </c>
      <c r="C1698" s="13" t="s">
        <v>15</v>
      </c>
      <c r="D1698" s="12"/>
      <c r="E1698" s="11"/>
      <c r="F1698" s="10"/>
      <c r="G1698" s="10">
        <f t="shared" si="98"/>
        <v>0</v>
      </c>
      <c r="H1698" s="12"/>
      <c r="I1698" s="11">
        <v>1</v>
      </c>
      <c r="J1698" s="10">
        <v>4.13</v>
      </c>
      <c r="K1698" s="10">
        <f t="shared" si="99"/>
        <v>4.13</v>
      </c>
      <c r="L1698" s="12"/>
      <c r="M1698" s="11"/>
      <c r="N1698" s="10"/>
      <c r="O1698" s="10">
        <f t="shared" si="100"/>
        <v>0</v>
      </c>
      <c r="P1698" s="12"/>
      <c r="Q1698" s="56">
        <v>1</v>
      </c>
    </row>
    <row r="1699" spans="1:17" x14ac:dyDescent="0.25">
      <c r="A1699" s="15"/>
      <c r="B1699" s="14"/>
      <c r="C1699" s="13"/>
      <c r="D1699" s="12"/>
      <c r="E1699" s="11"/>
      <c r="F1699" s="10"/>
      <c r="G1699" s="10">
        <f t="shared" si="98"/>
        <v>0</v>
      </c>
      <c r="H1699" s="12"/>
      <c r="I1699" s="11"/>
      <c r="J1699" s="10"/>
      <c r="K1699" s="10">
        <f t="shared" si="99"/>
        <v>0</v>
      </c>
      <c r="L1699" s="12"/>
      <c r="M1699" s="11"/>
      <c r="N1699" s="10"/>
      <c r="O1699" s="10">
        <f t="shared" si="100"/>
        <v>0</v>
      </c>
      <c r="P1699" s="12"/>
      <c r="Q1699" s="46"/>
    </row>
    <row r="1700" spans="1:17" ht="15.75" thickBot="1" x14ac:dyDescent="0.3">
      <c r="Q1700" s="46"/>
    </row>
    <row r="1701" spans="1:17" ht="21" thickBot="1" x14ac:dyDescent="0.3">
      <c r="A1701" s="64" t="s">
        <v>1</v>
      </c>
      <c r="B1701" s="65"/>
      <c r="C1701" s="66"/>
      <c r="D1701" s="5"/>
      <c r="E1701" s="9"/>
      <c r="F1701" s="8"/>
      <c r="G1701" s="7">
        <f>SUM(G1686:G1700)</f>
        <v>44.59</v>
      </c>
      <c r="H1701" s="5"/>
      <c r="I1701" s="9"/>
      <c r="J1701" s="8"/>
      <c r="K1701" s="7">
        <f>SUM(K1684:K1699)</f>
        <v>110.6</v>
      </c>
      <c r="L1701" s="5"/>
      <c r="M1701" s="9"/>
      <c r="N1701" s="8"/>
      <c r="O1701" s="7">
        <f>SUM(O1684:O1699)</f>
        <v>423.52</v>
      </c>
      <c r="P1701" s="5"/>
      <c r="Q1701" s="46"/>
    </row>
    <row r="1702" spans="1:17" ht="21" thickBot="1" x14ac:dyDescent="0.3">
      <c r="A1702" s="60" t="s">
        <v>0</v>
      </c>
      <c r="B1702" s="61"/>
      <c r="C1702" s="61"/>
      <c r="D1702" s="5"/>
      <c r="E1702" s="4"/>
      <c r="F1702" s="3"/>
      <c r="G1702" s="6" t="e">
        <f>+G1701/E1690</f>
        <v>#DIV/0!</v>
      </c>
      <c r="H1702" s="5"/>
      <c r="I1702" s="4"/>
      <c r="J1702" s="3"/>
      <c r="K1702" s="6" t="e">
        <f>+K1701/I1690</f>
        <v>#DIV/0!</v>
      </c>
      <c r="L1702" s="5"/>
      <c r="M1702" s="4"/>
      <c r="N1702" s="3"/>
      <c r="O1702" s="39" t="e">
        <f>+O1701/M1690</f>
        <v>#DIV/0!</v>
      </c>
      <c r="P1702" s="5"/>
      <c r="Q1702" s="46"/>
    </row>
    <row r="1703" spans="1:17" x14ac:dyDescent="0.25">
      <c r="Q1703" s="46"/>
    </row>
    <row r="1704" spans="1:17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46"/>
    </row>
    <row r="1705" spans="1:17" ht="15.75" thickBot="1" x14ac:dyDescent="0.3">
      <c r="Q1705" s="46"/>
    </row>
    <row r="1706" spans="1:17" ht="16.5" thickBot="1" x14ac:dyDescent="0.3">
      <c r="A1706" s="20" t="s">
        <v>112</v>
      </c>
      <c r="B1706" s="19" t="s">
        <v>111</v>
      </c>
      <c r="C1706" s="18" t="s">
        <v>88</v>
      </c>
      <c r="Q1706" s="46"/>
    </row>
    <row r="1707" spans="1:17" ht="15.75" thickBot="1" x14ac:dyDescent="0.3">
      <c r="Q1707" s="46"/>
    </row>
    <row r="1708" spans="1:17" ht="16.5" thickBot="1" x14ac:dyDescent="0.3">
      <c r="A1708" s="62" t="s">
        <v>11</v>
      </c>
      <c r="B1708" s="63"/>
      <c r="C1708" s="63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6"/>
      <c r="P1708" s="17"/>
      <c r="Q1708" s="46"/>
    </row>
    <row r="1709" spans="1:17" x14ac:dyDescent="0.25">
      <c r="A1709" s="15"/>
      <c r="B1709" s="14" t="s">
        <v>466</v>
      </c>
      <c r="C1709" s="13" t="s">
        <v>15</v>
      </c>
      <c r="D1709" s="12"/>
      <c r="E1709" s="11"/>
      <c r="F1709" s="10"/>
      <c r="G1709" s="10">
        <f>+E1709*F1709</f>
        <v>0</v>
      </c>
      <c r="H1709" s="12"/>
      <c r="I1709" s="11"/>
      <c r="J1709" s="10"/>
      <c r="K1709" s="10">
        <f>+I1709*J1709</f>
        <v>0</v>
      </c>
      <c r="L1709" s="12"/>
      <c r="M1709" s="11">
        <v>1</v>
      </c>
      <c r="N1709" s="10">
        <v>1.18</v>
      </c>
      <c r="O1709" s="10">
        <f>+M1709*N1709</f>
        <v>1.18</v>
      </c>
      <c r="P1709" s="12"/>
      <c r="Q1709" s="56">
        <v>1</v>
      </c>
    </row>
    <row r="1710" spans="1:17" ht="30" x14ac:dyDescent="0.25">
      <c r="A1710" s="15"/>
      <c r="B1710" s="14" t="s">
        <v>108</v>
      </c>
      <c r="C1710" s="13" t="s">
        <v>15</v>
      </c>
      <c r="D1710" s="12"/>
      <c r="E1710" s="11"/>
      <c r="F1710" s="10"/>
      <c r="G1710" s="10">
        <f t="shared" ref="G1710:G1735" si="101">+E1710*F1710</f>
        <v>0</v>
      </c>
      <c r="H1710" s="12"/>
      <c r="I1710" s="11">
        <v>2</v>
      </c>
      <c r="J1710" s="10">
        <v>134.16</v>
      </c>
      <c r="K1710" s="10">
        <f t="shared" ref="K1710:K1735" si="102">+I1710*J1710</f>
        <v>268.32</v>
      </c>
      <c r="L1710" s="12"/>
      <c r="M1710" s="11">
        <v>2</v>
      </c>
      <c r="N1710" s="10">
        <v>141.75</v>
      </c>
      <c r="O1710" s="10">
        <f t="shared" ref="O1710:O1735" si="103">+M1710*N1710</f>
        <v>283.5</v>
      </c>
      <c r="P1710" s="12"/>
      <c r="Q1710" s="56">
        <v>2</v>
      </c>
    </row>
    <row r="1711" spans="1:17" ht="30" x14ac:dyDescent="0.25">
      <c r="A1711" s="15"/>
      <c r="B1711" s="14" t="s">
        <v>110</v>
      </c>
      <c r="C1711" s="13" t="s">
        <v>15</v>
      </c>
      <c r="D1711" s="12"/>
      <c r="E1711" s="11">
        <v>5</v>
      </c>
      <c r="F1711" s="10">
        <v>1.38</v>
      </c>
      <c r="G1711" s="10">
        <f>+E1711*F1711</f>
        <v>6.8999999999999995</v>
      </c>
      <c r="H1711" s="12"/>
      <c r="I1711" s="11">
        <v>8</v>
      </c>
      <c r="J1711" s="10">
        <v>1.39</v>
      </c>
      <c r="K1711" s="10">
        <f>+I1711*J1711</f>
        <v>11.12</v>
      </c>
      <c r="L1711" s="12"/>
      <c r="M1711" s="11">
        <v>19</v>
      </c>
      <c r="N1711" s="10">
        <v>1.92</v>
      </c>
      <c r="O1711" s="10">
        <f>+M1711*N1711</f>
        <v>36.479999999999997</v>
      </c>
      <c r="P1711" s="12"/>
      <c r="Q1711" s="56">
        <v>10</v>
      </c>
    </row>
    <row r="1712" spans="1:17" x14ac:dyDescent="0.25">
      <c r="A1712" s="15"/>
      <c r="B1712" s="14" t="s">
        <v>107</v>
      </c>
      <c r="C1712" s="13" t="s">
        <v>15</v>
      </c>
      <c r="D1712" s="12"/>
      <c r="E1712" s="11"/>
      <c r="F1712" s="10"/>
      <c r="G1712" s="10">
        <f t="shared" si="101"/>
        <v>0</v>
      </c>
      <c r="H1712" s="12"/>
      <c r="I1712" s="11">
        <v>2</v>
      </c>
      <c r="J1712" s="10">
        <v>16.95</v>
      </c>
      <c r="K1712" s="10">
        <f t="shared" si="102"/>
        <v>33.9</v>
      </c>
      <c r="L1712" s="12"/>
      <c r="M1712" s="11">
        <v>2</v>
      </c>
      <c r="N1712" s="10">
        <v>17.22</v>
      </c>
      <c r="O1712" s="10">
        <f t="shared" si="103"/>
        <v>34.44</v>
      </c>
      <c r="P1712" s="12"/>
      <c r="Q1712" s="56">
        <v>2</v>
      </c>
    </row>
    <row r="1713" spans="1:17" ht="15" customHeight="1" x14ac:dyDescent="0.25">
      <c r="A1713" s="15"/>
      <c r="B1713" s="14" t="s">
        <v>106</v>
      </c>
      <c r="C1713" s="13" t="s">
        <v>149</v>
      </c>
      <c r="D1713" s="12"/>
      <c r="E1713" s="11"/>
      <c r="F1713" s="10"/>
      <c r="G1713" s="10">
        <f>+E1713*F1713</f>
        <v>0</v>
      </c>
      <c r="H1713" s="12"/>
      <c r="I1713" s="11">
        <v>1</v>
      </c>
      <c r="J1713" s="10">
        <v>99.11</v>
      </c>
      <c r="K1713" s="10">
        <f>+I1713*J1713</f>
        <v>99.11</v>
      </c>
      <c r="L1713" s="12"/>
      <c r="M1713" s="11">
        <v>200</v>
      </c>
      <c r="N1713" s="10">
        <v>1.2</v>
      </c>
      <c r="O1713" s="10">
        <f>+M1713*N1713</f>
        <v>240</v>
      </c>
      <c r="P1713" s="12"/>
      <c r="Q1713" s="56">
        <v>2</v>
      </c>
    </row>
    <row r="1714" spans="1:17" x14ac:dyDescent="0.25">
      <c r="A1714" s="15"/>
      <c r="B1714" s="14" t="s">
        <v>103</v>
      </c>
      <c r="C1714" s="13" t="s">
        <v>102</v>
      </c>
      <c r="D1714" s="12"/>
      <c r="E1714" s="11"/>
      <c r="F1714" s="10"/>
      <c r="G1714" s="10">
        <f t="shared" si="101"/>
        <v>0</v>
      </c>
      <c r="H1714" s="12"/>
      <c r="I1714" s="11">
        <v>30</v>
      </c>
      <c r="J1714" s="10">
        <v>0.28999999999999998</v>
      </c>
      <c r="K1714" s="10">
        <f t="shared" si="102"/>
        <v>8.6999999999999993</v>
      </c>
      <c r="L1714" s="12"/>
      <c r="M1714" s="11">
        <v>30</v>
      </c>
      <c r="N1714" s="10">
        <v>0.28999999999999998</v>
      </c>
      <c r="O1714" s="10">
        <f t="shared" si="103"/>
        <v>8.6999999999999993</v>
      </c>
      <c r="P1714" s="12"/>
      <c r="Q1714" s="56">
        <v>60</v>
      </c>
    </row>
    <row r="1715" spans="1:17" x14ac:dyDescent="0.25">
      <c r="A1715" s="15"/>
      <c r="B1715" s="14" t="s">
        <v>104</v>
      </c>
      <c r="C1715" s="13" t="s">
        <v>15</v>
      </c>
      <c r="D1715" s="12"/>
      <c r="E1715" s="11"/>
      <c r="F1715" s="10"/>
      <c r="G1715" s="10">
        <f>+E1715*F1715</f>
        <v>0</v>
      </c>
      <c r="H1715" s="12"/>
      <c r="I1715" s="11">
        <v>6</v>
      </c>
      <c r="J1715" s="10">
        <v>1.34</v>
      </c>
      <c r="K1715" s="10">
        <f>+I1715*J1715</f>
        <v>8.0400000000000009</v>
      </c>
      <c r="L1715" s="12"/>
      <c r="M1715" s="11"/>
      <c r="N1715" s="10"/>
      <c r="O1715" s="10">
        <f>+M1715*N1715</f>
        <v>0</v>
      </c>
      <c r="P1715" s="12"/>
      <c r="Q1715" s="56">
        <v>6</v>
      </c>
    </row>
    <row r="1716" spans="1:17" x14ac:dyDescent="0.25">
      <c r="A1716" s="15"/>
      <c r="B1716" s="14" t="s">
        <v>567</v>
      </c>
      <c r="C1716" s="13" t="s">
        <v>15</v>
      </c>
      <c r="D1716" s="12"/>
      <c r="E1716" s="11"/>
      <c r="F1716" s="10"/>
      <c r="G1716" s="10">
        <f t="shared" si="101"/>
        <v>0</v>
      </c>
      <c r="H1716" s="12"/>
      <c r="I1716" s="11"/>
      <c r="J1716" s="10"/>
      <c r="K1716" s="10">
        <f t="shared" si="102"/>
        <v>0</v>
      </c>
      <c r="L1716" s="12"/>
      <c r="M1716" s="11">
        <v>2</v>
      </c>
      <c r="N1716" s="10">
        <v>3.6</v>
      </c>
      <c r="O1716" s="10">
        <f t="shared" si="103"/>
        <v>7.2</v>
      </c>
      <c r="P1716" s="12"/>
      <c r="Q1716" s="56">
        <v>2</v>
      </c>
    </row>
    <row r="1717" spans="1:17" ht="30" x14ac:dyDescent="0.25">
      <c r="A1717" s="15"/>
      <c r="B1717" s="14" t="s">
        <v>101</v>
      </c>
      <c r="C1717" s="13" t="s">
        <v>15</v>
      </c>
      <c r="D1717" s="12"/>
      <c r="E1717" s="11"/>
      <c r="F1717" s="10"/>
      <c r="G1717" s="10">
        <f t="shared" si="101"/>
        <v>0</v>
      </c>
      <c r="H1717" s="12"/>
      <c r="I1717" s="11">
        <v>2</v>
      </c>
      <c r="J1717" s="10">
        <v>61.86</v>
      </c>
      <c r="K1717" s="10">
        <f t="shared" si="102"/>
        <v>123.72</v>
      </c>
      <c r="L1717" s="12"/>
      <c r="M1717" s="11">
        <v>2</v>
      </c>
      <c r="N1717" s="10">
        <v>59.07</v>
      </c>
      <c r="O1717" s="10">
        <f t="shared" si="103"/>
        <v>118.14</v>
      </c>
      <c r="P1717" s="12"/>
      <c r="Q1717" s="56">
        <v>2</v>
      </c>
    </row>
    <row r="1718" spans="1:17" x14ac:dyDescent="0.25">
      <c r="A1718" s="15"/>
      <c r="B1718" s="14" t="s">
        <v>100</v>
      </c>
      <c r="C1718" s="13" t="s">
        <v>15</v>
      </c>
      <c r="D1718" s="12"/>
      <c r="E1718" s="11"/>
      <c r="F1718" s="10"/>
      <c r="G1718" s="10">
        <f t="shared" si="101"/>
        <v>0</v>
      </c>
      <c r="H1718" s="12"/>
      <c r="I1718" s="11">
        <v>1</v>
      </c>
      <c r="J1718" s="10">
        <v>40.57</v>
      </c>
      <c r="K1718" s="10">
        <f t="shared" si="102"/>
        <v>40.57</v>
      </c>
      <c r="L1718" s="12"/>
      <c r="M1718" s="11"/>
      <c r="N1718" s="10"/>
      <c r="O1718" s="10">
        <f t="shared" si="103"/>
        <v>0</v>
      </c>
      <c r="P1718" s="12"/>
      <c r="Q1718" s="56">
        <v>1</v>
      </c>
    </row>
    <row r="1719" spans="1:17" ht="30" x14ac:dyDescent="0.25">
      <c r="A1719" s="15"/>
      <c r="B1719" s="14" t="s">
        <v>568</v>
      </c>
      <c r="C1719" s="13" t="s">
        <v>15</v>
      </c>
      <c r="D1719" s="12"/>
      <c r="E1719" s="11"/>
      <c r="F1719" s="10"/>
      <c r="G1719" s="10">
        <f t="shared" si="101"/>
        <v>0</v>
      </c>
      <c r="H1719" s="12"/>
      <c r="I1719" s="11"/>
      <c r="J1719" s="10"/>
      <c r="K1719" s="10">
        <f t="shared" si="102"/>
        <v>0</v>
      </c>
      <c r="L1719" s="12"/>
      <c r="M1719" s="11">
        <v>1</v>
      </c>
      <c r="N1719" s="10">
        <v>1.86</v>
      </c>
      <c r="O1719" s="10">
        <f t="shared" si="103"/>
        <v>1.86</v>
      </c>
      <c r="P1719" s="12"/>
      <c r="Q1719" s="56">
        <v>2</v>
      </c>
    </row>
    <row r="1720" spans="1:17" x14ac:dyDescent="0.25">
      <c r="A1720" s="15"/>
      <c r="B1720" s="14" t="s">
        <v>462</v>
      </c>
      <c r="C1720" s="13" t="s">
        <v>15</v>
      </c>
      <c r="D1720" s="12"/>
      <c r="E1720" s="11"/>
      <c r="F1720" s="10"/>
      <c r="G1720" s="10">
        <f>+E1720*F1720</f>
        <v>0</v>
      </c>
      <c r="H1720" s="12"/>
      <c r="I1720" s="11"/>
      <c r="J1720" s="10"/>
      <c r="K1720" s="10">
        <f>+I1720*J1720</f>
        <v>0</v>
      </c>
      <c r="L1720" s="12"/>
      <c r="M1720" s="11">
        <v>14</v>
      </c>
      <c r="N1720" s="10">
        <v>1.45</v>
      </c>
      <c r="O1720" s="10">
        <f>+M1720*N1720</f>
        <v>20.3</v>
      </c>
      <c r="P1720" s="12"/>
      <c r="Q1720" s="56">
        <v>15</v>
      </c>
    </row>
    <row r="1721" spans="1:17" x14ac:dyDescent="0.25">
      <c r="A1721" s="15"/>
      <c r="B1721" s="14" t="s">
        <v>569</v>
      </c>
      <c r="C1721" s="13" t="s">
        <v>15</v>
      </c>
      <c r="D1721" s="12"/>
      <c r="E1721" s="11"/>
      <c r="F1721" s="10"/>
      <c r="G1721" s="10">
        <f t="shared" si="101"/>
        <v>0</v>
      </c>
      <c r="H1721" s="12"/>
      <c r="I1721" s="11"/>
      <c r="J1721" s="10"/>
      <c r="K1721" s="10">
        <f t="shared" si="102"/>
        <v>0</v>
      </c>
      <c r="L1721" s="12"/>
      <c r="M1721" s="11">
        <v>1</v>
      </c>
      <c r="N1721" s="10">
        <v>74.81</v>
      </c>
      <c r="O1721" s="10">
        <f t="shared" si="103"/>
        <v>74.81</v>
      </c>
      <c r="P1721" s="12"/>
      <c r="Q1721" s="56">
        <v>1</v>
      </c>
    </row>
    <row r="1722" spans="1:17" x14ac:dyDescent="0.25">
      <c r="A1722" s="15"/>
      <c r="B1722" s="14" t="s">
        <v>99</v>
      </c>
      <c r="C1722" s="13" t="s">
        <v>15</v>
      </c>
      <c r="D1722" s="12"/>
      <c r="E1722" s="11"/>
      <c r="F1722" s="10"/>
      <c r="G1722" s="10">
        <f t="shared" si="101"/>
        <v>0</v>
      </c>
      <c r="H1722" s="12"/>
      <c r="I1722" s="11">
        <v>1</v>
      </c>
      <c r="J1722" s="10">
        <v>4.0599999999999996</v>
      </c>
      <c r="K1722" s="10">
        <f t="shared" si="102"/>
        <v>4.0599999999999996</v>
      </c>
      <c r="L1722" s="12"/>
      <c r="M1722" s="11">
        <v>1</v>
      </c>
      <c r="N1722" s="10">
        <v>4.29</v>
      </c>
      <c r="O1722" s="10">
        <f t="shared" si="103"/>
        <v>4.29</v>
      </c>
      <c r="P1722" s="12"/>
      <c r="Q1722" s="56">
        <v>1</v>
      </c>
    </row>
    <row r="1723" spans="1:17" ht="15" customHeight="1" x14ac:dyDescent="0.25">
      <c r="A1723" s="15"/>
      <c r="B1723" s="14" t="s">
        <v>98</v>
      </c>
      <c r="C1723" s="13" t="s">
        <v>3</v>
      </c>
      <c r="D1723" s="12"/>
      <c r="E1723" s="11"/>
      <c r="F1723" s="10"/>
      <c r="G1723" s="10">
        <f>+E1723*F1723</f>
        <v>0</v>
      </c>
      <c r="H1723" s="12"/>
      <c r="I1723" s="11">
        <v>100</v>
      </c>
      <c r="J1723" s="10">
        <v>0.31</v>
      </c>
      <c r="K1723" s="10">
        <f>+I1723*J1723</f>
        <v>31</v>
      </c>
      <c r="L1723" s="12"/>
      <c r="M1723" s="11">
        <v>125</v>
      </c>
      <c r="N1723" s="10">
        <v>1.1399999999999999</v>
      </c>
      <c r="O1723" s="10">
        <f>+M1723*N1723</f>
        <v>142.5</v>
      </c>
      <c r="P1723" s="12"/>
      <c r="Q1723" s="56">
        <v>100</v>
      </c>
    </row>
    <row r="1724" spans="1:17" x14ac:dyDescent="0.25">
      <c r="A1724" s="15"/>
      <c r="B1724" s="14" t="s">
        <v>96</v>
      </c>
      <c r="C1724" s="13" t="s">
        <v>15</v>
      </c>
      <c r="D1724" s="12"/>
      <c r="E1724" s="11"/>
      <c r="F1724" s="10"/>
      <c r="G1724" s="10">
        <f t="shared" si="101"/>
        <v>0</v>
      </c>
      <c r="H1724" s="12"/>
      <c r="I1724" s="11">
        <v>7</v>
      </c>
      <c r="J1724" s="10">
        <v>6.2</v>
      </c>
      <c r="K1724" s="10">
        <f t="shared" si="102"/>
        <v>43.4</v>
      </c>
      <c r="L1724" s="12"/>
      <c r="M1724" s="11">
        <v>8</v>
      </c>
      <c r="N1724" s="10">
        <v>7.73</v>
      </c>
      <c r="O1724" s="10">
        <f t="shared" si="103"/>
        <v>61.84</v>
      </c>
      <c r="P1724" s="12"/>
      <c r="Q1724" s="56">
        <v>8</v>
      </c>
    </row>
    <row r="1725" spans="1:17" ht="30" x14ac:dyDescent="0.25">
      <c r="A1725" s="15"/>
      <c r="B1725" s="14" t="s">
        <v>95</v>
      </c>
      <c r="C1725" s="13" t="s">
        <v>15</v>
      </c>
      <c r="D1725" s="12"/>
      <c r="E1725" s="11"/>
      <c r="F1725" s="10"/>
      <c r="G1725" s="10">
        <f t="shared" si="101"/>
        <v>0</v>
      </c>
      <c r="H1725" s="12"/>
      <c r="I1725" s="11">
        <v>1</v>
      </c>
      <c r="J1725" s="10">
        <v>7.97</v>
      </c>
      <c r="K1725" s="10">
        <f t="shared" si="102"/>
        <v>7.97</v>
      </c>
      <c r="L1725" s="12"/>
      <c r="M1725" s="11"/>
      <c r="N1725" s="10"/>
      <c r="O1725" s="10">
        <f t="shared" si="103"/>
        <v>0</v>
      </c>
      <c r="P1725" s="12"/>
      <c r="Q1725" s="56">
        <v>1</v>
      </c>
    </row>
    <row r="1726" spans="1:17" ht="30" x14ac:dyDescent="0.25">
      <c r="A1726" s="15"/>
      <c r="B1726" s="14" t="s">
        <v>94</v>
      </c>
      <c r="C1726" s="13" t="s">
        <v>15</v>
      </c>
      <c r="D1726" s="12"/>
      <c r="E1726" s="11"/>
      <c r="F1726" s="10"/>
      <c r="G1726" s="10">
        <f t="shared" si="101"/>
        <v>0</v>
      </c>
      <c r="H1726" s="12"/>
      <c r="I1726" s="11">
        <v>2</v>
      </c>
      <c r="J1726" s="10">
        <v>9.5</v>
      </c>
      <c r="K1726" s="10">
        <f t="shared" si="102"/>
        <v>19</v>
      </c>
      <c r="L1726" s="12"/>
      <c r="M1726" s="11">
        <v>1</v>
      </c>
      <c r="N1726" s="10">
        <v>11.84</v>
      </c>
      <c r="O1726" s="10">
        <f t="shared" si="103"/>
        <v>11.84</v>
      </c>
      <c r="P1726" s="12"/>
      <c r="Q1726" s="56">
        <v>2</v>
      </c>
    </row>
    <row r="1727" spans="1:17" ht="30" x14ac:dyDescent="0.25">
      <c r="A1727" s="15"/>
      <c r="B1727" s="14" t="s">
        <v>93</v>
      </c>
      <c r="C1727" s="13" t="s">
        <v>15</v>
      </c>
      <c r="D1727" s="12"/>
      <c r="E1727" s="11"/>
      <c r="F1727" s="10"/>
      <c r="G1727" s="10">
        <f t="shared" si="101"/>
        <v>0</v>
      </c>
      <c r="H1727" s="12"/>
      <c r="I1727" s="11">
        <v>1</v>
      </c>
      <c r="J1727" s="10">
        <v>278.69</v>
      </c>
      <c r="K1727" s="10">
        <f t="shared" si="102"/>
        <v>278.69</v>
      </c>
      <c r="L1727" s="12"/>
      <c r="M1727" s="11">
        <v>1</v>
      </c>
      <c r="N1727" s="10">
        <v>118.54</v>
      </c>
      <c r="O1727" s="10">
        <f t="shared" si="103"/>
        <v>118.54</v>
      </c>
      <c r="P1727" s="12"/>
      <c r="Q1727" s="56">
        <v>1</v>
      </c>
    </row>
    <row r="1728" spans="1:17" x14ac:dyDescent="0.25">
      <c r="A1728" s="15"/>
      <c r="B1728" s="14" t="s">
        <v>473</v>
      </c>
      <c r="C1728" s="13" t="s">
        <v>15</v>
      </c>
      <c r="D1728" s="12"/>
      <c r="E1728" s="11">
        <v>2</v>
      </c>
      <c r="F1728" s="10">
        <v>0.90600000000000003</v>
      </c>
      <c r="G1728" s="10">
        <f>+E1728*F1728</f>
        <v>1.8120000000000001</v>
      </c>
      <c r="H1728" s="12"/>
      <c r="I1728" s="11">
        <v>2</v>
      </c>
      <c r="J1728" s="10">
        <v>0.44</v>
      </c>
      <c r="K1728" s="10">
        <f>+I1728*J1728</f>
        <v>0.88</v>
      </c>
      <c r="L1728" s="12"/>
      <c r="M1728" s="11">
        <v>6</v>
      </c>
      <c r="N1728" s="10">
        <v>0.85</v>
      </c>
      <c r="O1728" s="10">
        <f>+M1728*N1728</f>
        <v>5.0999999999999996</v>
      </c>
      <c r="P1728" s="12"/>
      <c r="Q1728" s="56">
        <v>2</v>
      </c>
    </row>
    <row r="1729" spans="1:17" ht="16.899999999999999" customHeight="1" x14ac:dyDescent="0.25">
      <c r="A1729" s="15"/>
      <c r="B1729" s="41" t="s">
        <v>570</v>
      </c>
      <c r="C1729" s="13" t="s">
        <v>15</v>
      </c>
      <c r="D1729" s="12"/>
      <c r="E1729" s="11"/>
      <c r="F1729" s="10"/>
      <c r="G1729" s="10">
        <f t="shared" si="101"/>
        <v>0</v>
      </c>
      <c r="H1729" s="12"/>
      <c r="I1729" s="11"/>
      <c r="J1729" s="10"/>
      <c r="K1729" s="10">
        <f t="shared" si="102"/>
        <v>0</v>
      </c>
      <c r="L1729" s="12"/>
      <c r="M1729" s="11">
        <v>2</v>
      </c>
      <c r="N1729" s="10">
        <v>177.44</v>
      </c>
      <c r="O1729" s="10">
        <f t="shared" si="103"/>
        <v>354.88</v>
      </c>
      <c r="P1729" s="12"/>
      <c r="Q1729" s="56">
        <v>1</v>
      </c>
    </row>
    <row r="1730" spans="1:17" ht="30" x14ac:dyDescent="0.25">
      <c r="A1730" s="15"/>
      <c r="B1730" s="14" t="s">
        <v>92</v>
      </c>
      <c r="C1730" s="13" t="s">
        <v>15</v>
      </c>
      <c r="D1730" s="12"/>
      <c r="E1730" s="11"/>
      <c r="F1730" s="10"/>
      <c r="G1730" s="10">
        <f t="shared" si="101"/>
        <v>0</v>
      </c>
      <c r="H1730" s="12"/>
      <c r="I1730" s="11">
        <v>1</v>
      </c>
      <c r="J1730" s="10">
        <v>17.48</v>
      </c>
      <c r="K1730" s="10">
        <f t="shared" si="102"/>
        <v>17.48</v>
      </c>
      <c r="L1730" s="12"/>
      <c r="M1730" s="11">
        <v>2</v>
      </c>
      <c r="N1730" s="10">
        <v>7.51</v>
      </c>
      <c r="O1730" s="10">
        <f t="shared" si="103"/>
        <v>15.02</v>
      </c>
      <c r="P1730" s="12"/>
      <c r="Q1730" s="56">
        <v>1</v>
      </c>
    </row>
    <row r="1731" spans="1:17" ht="30" x14ac:dyDescent="0.25">
      <c r="A1731" s="15"/>
      <c r="B1731" s="14" t="s">
        <v>91</v>
      </c>
      <c r="C1731" s="13" t="s">
        <v>15</v>
      </c>
      <c r="D1731" s="12"/>
      <c r="E1731" s="11"/>
      <c r="F1731" s="10"/>
      <c r="G1731" s="10">
        <f t="shared" si="101"/>
        <v>0</v>
      </c>
      <c r="H1731" s="12"/>
      <c r="I1731" s="11">
        <v>3</v>
      </c>
      <c r="J1731" s="10">
        <v>7.76</v>
      </c>
      <c r="K1731" s="10">
        <f t="shared" si="102"/>
        <v>23.28</v>
      </c>
      <c r="L1731" s="12"/>
      <c r="M1731" s="11">
        <v>3</v>
      </c>
      <c r="N1731" s="10">
        <v>6.42</v>
      </c>
      <c r="O1731" s="10">
        <f t="shared" si="103"/>
        <v>19.259999999999998</v>
      </c>
      <c r="P1731" s="12"/>
      <c r="Q1731" s="56">
        <v>3</v>
      </c>
    </row>
    <row r="1732" spans="1:17" ht="15" customHeight="1" x14ac:dyDescent="0.25">
      <c r="A1732" s="15"/>
      <c r="B1732" s="14" t="s">
        <v>460</v>
      </c>
      <c r="C1732" s="13" t="s">
        <v>15</v>
      </c>
      <c r="D1732" s="12"/>
      <c r="E1732" s="11"/>
      <c r="F1732" s="10"/>
      <c r="G1732" s="10">
        <f>+E1732*F1732</f>
        <v>0</v>
      </c>
      <c r="H1732" s="12"/>
      <c r="I1732" s="11"/>
      <c r="J1732" s="10"/>
      <c r="K1732" s="10">
        <f>+I1732*J1732</f>
        <v>0</v>
      </c>
      <c r="L1732" s="12"/>
      <c r="M1732" s="11">
        <v>15</v>
      </c>
      <c r="N1732" s="10">
        <v>2.21</v>
      </c>
      <c r="O1732" s="10">
        <f>+M1732*N1732</f>
        <v>33.15</v>
      </c>
      <c r="P1732" s="12"/>
      <c r="Q1732" s="56">
        <v>15</v>
      </c>
    </row>
    <row r="1733" spans="1:17" x14ac:dyDescent="0.25">
      <c r="A1733" s="15"/>
      <c r="B1733" s="14" t="s">
        <v>109</v>
      </c>
      <c r="C1733" s="13" t="s">
        <v>15</v>
      </c>
      <c r="D1733" s="12"/>
      <c r="E1733" s="11">
        <v>2</v>
      </c>
      <c r="F1733" s="10">
        <v>0.68</v>
      </c>
      <c r="G1733" s="10">
        <f>+E1733*F1733</f>
        <v>1.36</v>
      </c>
      <c r="H1733" s="12"/>
      <c r="I1733" s="11"/>
      <c r="J1733" s="10"/>
      <c r="K1733" s="10">
        <f>+I1733*J1733</f>
        <v>0</v>
      </c>
      <c r="L1733" s="12"/>
      <c r="M1733" s="11">
        <v>2</v>
      </c>
      <c r="N1733" s="10">
        <v>0.68</v>
      </c>
      <c r="O1733" s="10">
        <f>+M1733*N1733</f>
        <v>1.36</v>
      </c>
      <c r="P1733" s="12"/>
      <c r="Q1733" s="56">
        <v>2</v>
      </c>
    </row>
    <row r="1734" spans="1:17" x14ac:dyDescent="0.25">
      <c r="A1734" s="15"/>
      <c r="B1734" s="14" t="s">
        <v>90</v>
      </c>
      <c r="C1734" s="13" t="s">
        <v>15</v>
      </c>
      <c r="D1734" s="12"/>
      <c r="E1734" s="11"/>
      <c r="F1734" s="10"/>
      <c r="G1734" s="10">
        <f t="shared" si="101"/>
        <v>0</v>
      </c>
      <c r="H1734" s="12"/>
      <c r="I1734" s="11">
        <v>6</v>
      </c>
      <c r="J1734" s="10">
        <v>8.68</v>
      </c>
      <c r="K1734" s="10">
        <f t="shared" si="102"/>
        <v>52.08</v>
      </c>
      <c r="L1734" s="12"/>
      <c r="M1734" s="11">
        <v>6</v>
      </c>
      <c r="N1734" s="10">
        <v>9.99</v>
      </c>
      <c r="O1734" s="10">
        <f t="shared" si="103"/>
        <v>59.94</v>
      </c>
      <c r="P1734" s="12"/>
      <c r="Q1734" s="56">
        <v>6</v>
      </c>
    </row>
    <row r="1735" spans="1:17" ht="15.75" thickBot="1" x14ac:dyDescent="0.3">
      <c r="A1735" s="15"/>
      <c r="B1735" s="14"/>
      <c r="C1735" s="13"/>
      <c r="D1735" s="12"/>
      <c r="E1735" s="11"/>
      <c r="F1735" s="10"/>
      <c r="G1735" s="10">
        <f t="shared" si="101"/>
        <v>0</v>
      </c>
      <c r="H1735" s="12"/>
      <c r="I1735" s="11"/>
      <c r="J1735" s="10"/>
      <c r="K1735" s="10">
        <f t="shared" si="102"/>
        <v>0</v>
      </c>
      <c r="L1735" s="12"/>
      <c r="M1735" s="11"/>
      <c r="N1735" s="10"/>
      <c r="O1735" s="10">
        <f t="shared" si="103"/>
        <v>0</v>
      </c>
      <c r="P1735" s="12"/>
      <c r="Q1735" s="46"/>
    </row>
    <row r="1736" spans="1:17" ht="16.5" thickBot="1" x14ac:dyDescent="0.3">
      <c r="A1736" s="62" t="s">
        <v>5</v>
      </c>
      <c r="B1736" s="63"/>
      <c r="C1736" s="63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6"/>
      <c r="P1736" s="17"/>
      <c r="Q1736" s="46"/>
    </row>
    <row r="1737" spans="1:17" ht="15.75" thickBot="1" x14ac:dyDescent="0.3">
      <c r="A1737" s="15"/>
      <c r="B1737" s="14"/>
      <c r="C1737" s="13"/>
      <c r="D1737" s="12"/>
      <c r="E1737" s="11">
        <f>+E43</f>
        <v>325.39</v>
      </c>
      <c r="F1737" s="10"/>
      <c r="G1737" s="10">
        <f>+E1737*F1737</f>
        <v>0</v>
      </c>
      <c r="H1737" s="12"/>
      <c r="I1737" s="11">
        <f>+I43</f>
        <v>249.11</v>
      </c>
      <c r="J1737" s="10"/>
      <c r="K1737" s="10">
        <f>+I1737*J1737</f>
        <v>0</v>
      </c>
      <c r="L1737" s="12"/>
      <c r="M1737" s="11">
        <f>+M43</f>
        <v>951.68</v>
      </c>
      <c r="N1737" s="10"/>
      <c r="O1737" s="10">
        <f>+M1737*N1737</f>
        <v>0</v>
      </c>
      <c r="P1737" s="12"/>
      <c r="Q1737" s="46"/>
    </row>
    <row r="1738" spans="1:17" ht="16.5" thickBot="1" x14ac:dyDescent="0.3">
      <c r="A1738" s="62" t="s">
        <v>2</v>
      </c>
      <c r="B1738" s="63"/>
      <c r="C1738" s="63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6"/>
      <c r="P1738" s="17"/>
      <c r="Q1738" s="46"/>
    </row>
    <row r="1739" spans="1:17" ht="30" x14ac:dyDescent="0.25">
      <c r="A1739" s="15"/>
      <c r="B1739" s="14" t="s">
        <v>89</v>
      </c>
      <c r="C1739" s="13" t="s">
        <v>88</v>
      </c>
      <c r="D1739" s="12"/>
      <c r="E1739" s="11">
        <v>1.7743</v>
      </c>
      <c r="F1739" s="10">
        <v>24.77</v>
      </c>
      <c r="G1739" s="10">
        <f>+E1739*F1739</f>
        <v>43.949410999999998</v>
      </c>
      <c r="H1739" s="12"/>
      <c r="I1739" s="11"/>
      <c r="J1739" s="10"/>
      <c r="K1739" s="10">
        <f>+I1739*J1739</f>
        <v>0</v>
      </c>
      <c r="L1739" s="12"/>
      <c r="M1739" s="11">
        <v>2</v>
      </c>
      <c r="N1739" s="10">
        <v>31.79</v>
      </c>
      <c r="O1739" s="10">
        <f>+M1739*N1739</f>
        <v>63.58</v>
      </c>
      <c r="P1739" s="12"/>
      <c r="Q1739" s="46"/>
    </row>
    <row r="1740" spans="1:17" x14ac:dyDescent="0.25">
      <c r="A1740" s="15"/>
      <c r="B1740" s="14"/>
      <c r="C1740" s="13"/>
      <c r="D1740" s="12"/>
      <c r="E1740" s="11"/>
      <c r="F1740" s="10"/>
      <c r="G1740" s="10">
        <f>+E1740*F1740</f>
        <v>0</v>
      </c>
      <c r="H1740" s="12"/>
      <c r="I1740" s="11"/>
      <c r="J1740" s="10"/>
      <c r="K1740" s="10">
        <f>+I1740*J1740</f>
        <v>0</v>
      </c>
      <c r="L1740" s="12"/>
      <c r="M1740" s="11"/>
      <c r="N1740" s="10"/>
      <c r="O1740" s="10">
        <f>+M1740*N1740</f>
        <v>0</v>
      </c>
      <c r="P1740" s="12"/>
      <c r="Q1740" s="46"/>
    </row>
    <row r="1741" spans="1:17" ht="15.75" thickBot="1" x14ac:dyDescent="0.3">
      <c r="Q1741" s="46"/>
    </row>
    <row r="1742" spans="1:17" ht="21" thickBot="1" x14ac:dyDescent="0.3">
      <c r="A1742" s="64" t="s">
        <v>1</v>
      </c>
      <c r="B1742" s="65"/>
      <c r="C1742" s="66"/>
      <c r="D1742" s="5"/>
      <c r="E1742" s="9"/>
      <c r="F1742" s="8"/>
      <c r="G1742" s="7">
        <f>SUM(G1710:G1740)</f>
        <v>54.021411000000001</v>
      </c>
      <c r="H1742" s="5"/>
      <c r="I1742" s="9"/>
      <c r="J1742" s="8"/>
      <c r="K1742" s="7">
        <f>SUM(K1710:K1740)</f>
        <v>1071.32</v>
      </c>
      <c r="L1742" s="5"/>
      <c r="M1742" s="9"/>
      <c r="N1742" s="8"/>
      <c r="O1742" s="7">
        <f>SUM(O1710:O1740)</f>
        <v>1716.7299999999996</v>
      </c>
      <c r="P1742" s="5"/>
      <c r="Q1742" s="46"/>
    </row>
    <row r="1743" spans="1:17" ht="21" thickBot="1" x14ac:dyDescent="0.3">
      <c r="A1743" s="60" t="s">
        <v>0</v>
      </c>
      <c r="B1743" s="61"/>
      <c r="C1743" s="61"/>
      <c r="D1743" s="5"/>
      <c r="E1743" s="4"/>
      <c r="F1743" s="3"/>
      <c r="G1743" s="6">
        <f>+G1742/E1737</f>
        <v>0.16602050155198378</v>
      </c>
      <c r="H1743" s="5"/>
      <c r="I1743" s="4"/>
      <c r="J1743" s="3"/>
      <c r="K1743" s="6">
        <f>+K1742/I1737</f>
        <v>4.3005901007587006</v>
      </c>
      <c r="L1743" s="5"/>
      <c r="M1743" s="4"/>
      <c r="N1743" s="3"/>
      <c r="O1743" s="6">
        <f>+O1742/M1737</f>
        <v>1.8038941661062537</v>
      </c>
      <c r="P1743" s="5"/>
      <c r="Q1743" s="46"/>
    </row>
    <row r="1744" spans="1:17" x14ac:dyDescent="0.25">
      <c r="Q1744" s="46"/>
    </row>
    <row r="1745" spans="1:17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46"/>
    </row>
    <row r="1746" spans="1:17" ht="15.75" thickBot="1" x14ac:dyDescent="0.3">
      <c r="Q1746" s="46"/>
    </row>
    <row r="1747" spans="1:17" ht="16.5" thickBot="1" x14ac:dyDescent="0.3">
      <c r="A1747" s="20" t="s">
        <v>87</v>
      </c>
      <c r="B1747" s="19" t="s">
        <v>85</v>
      </c>
      <c r="C1747" s="18" t="s">
        <v>86</v>
      </c>
      <c r="Q1747" s="46"/>
    </row>
    <row r="1748" spans="1:17" ht="15.75" thickBot="1" x14ac:dyDescent="0.3">
      <c r="Q1748" s="46"/>
    </row>
    <row r="1749" spans="1:17" ht="16.5" thickBot="1" x14ac:dyDescent="0.3">
      <c r="A1749" s="62" t="s">
        <v>11</v>
      </c>
      <c r="B1749" s="63"/>
      <c r="C1749" s="63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6"/>
      <c r="P1749" s="17"/>
      <c r="Q1749" s="46"/>
    </row>
    <row r="1750" spans="1:17" x14ac:dyDescent="0.25">
      <c r="A1750" s="15"/>
      <c r="B1750" s="14"/>
      <c r="C1750" s="13"/>
      <c r="D1750" s="12"/>
      <c r="E1750" s="11"/>
      <c r="F1750" s="10"/>
      <c r="G1750" s="10">
        <f>+E1750*F1750</f>
        <v>0</v>
      </c>
      <c r="H1750" s="12"/>
      <c r="I1750" s="11"/>
      <c r="J1750" s="10"/>
      <c r="K1750" s="10">
        <f>+I1750*J1750</f>
        <v>0</v>
      </c>
      <c r="L1750" s="12"/>
      <c r="M1750" s="11"/>
      <c r="N1750" s="10"/>
      <c r="O1750" s="10">
        <f>+M1750*N1750</f>
        <v>0</v>
      </c>
      <c r="P1750" s="12"/>
      <c r="Q1750" s="46"/>
    </row>
    <row r="1751" spans="1:17" ht="15.75" thickBot="1" x14ac:dyDescent="0.3">
      <c r="A1751" s="15"/>
      <c r="B1751" s="14"/>
      <c r="C1751" s="13"/>
      <c r="D1751" s="12"/>
      <c r="E1751" s="11"/>
      <c r="F1751" s="10"/>
      <c r="G1751" s="10">
        <f>+E1751*F1751</f>
        <v>0</v>
      </c>
      <c r="H1751" s="12"/>
      <c r="I1751" s="11"/>
      <c r="J1751" s="10"/>
      <c r="K1751" s="10">
        <f>+I1751*J1751</f>
        <v>0</v>
      </c>
      <c r="L1751" s="12"/>
      <c r="M1751" s="11"/>
      <c r="N1751" s="10"/>
      <c r="O1751" s="10">
        <f>+M1751*N1751</f>
        <v>0</v>
      </c>
      <c r="P1751" s="12"/>
      <c r="Q1751" s="46"/>
    </row>
    <row r="1752" spans="1:17" ht="16.5" thickBot="1" x14ac:dyDescent="0.3">
      <c r="A1752" s="62" t="s">
        <v>5</v>
      </c>
      <c r="B1752" s="63"/>
      <c r="C1752" s="63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6"/>
      <c r="P1752" s="17"/>
      <c r="Q1752" s="46"/>
    </row>
    <row r="1753" spans="1:17" x14ac:dyDescent="0.25">
      <c r="A1753" s="15"/>
      <c r="B1753" s="14" t="s">
        <v>85</v>
      </c>
      <c r="C1753" s="13" t="s">
        <v>84</v>
      </c>
      <c r="D1753" s="12"/>
      <c r="E1753" s="11">
        <v>1</v>
      </c>
      <c r="F1753" s="10">
        <f>150*1.15</f>
        <v>172.5</v>
      </c>
      <c r="G1753" s="10">
        <f>+E1753*F1753</f>
        <v>172.5</v>
      </c>
      <c r="H1753" s="12"/>
      <c r="I1753" s="11"/>
      <c r="J1753" s="10"/>
      <c r="K1753" s="10">
        <f>+I1753*J1753</f>
        <v>0</v>
      </c>
      <c r="L1753" s="12"/>
      <c r="M1753" s="11"/>
      <c r="N1753" s="10"/>
      <c r="O1753" s="10">
        <f>+M1753*N1753</f>
        <v>0</v>
      </c>
      <c r="P1753" s="12"/>
      <c r="Q1753" s="46"/>
    </row>
    <row r="1754" spans="1:17" ht="15.75" thickBot="1" x14ac:dyDescent="0.3">
      <c r="A1754" s="15"/>
      <c r="B1754" s="14"/>
      <c r="C1754" s="13"/>
      <c r="D1754" s="12"/>
      <c r="E1754" s="11"/>
      <c r="F1754" s="10"/>
      <c r="G1754" s="10">
        <f>+E1754*F1754</f>
        <v>0</v>
      </c>
      <c r="H1754" s="12"/>
      <c r="I1754" s="11"/>
      <c r="J1754" s="10"/>
      <c r="K1754" s="10">
        <f>+I1754*J1754</f>
        <v>0</v>
      </c>
      <c r="L1754" s="12"/>
      <c r="M1754" s="11"/>
      <c r="N1754" s="10"/>
      <c r="O1754" s="10">
        <f>+M1754*N1754</f>
        <v>0</v>
      </c>
      <c r="P1754" s="12"/>
      <c r="Q1754" s="46"/>
    </row>
    <row r="1755" spans="1:17" ht="16.5" thickBot="1" x14ac:dyDescent="0.3">
      <c r="A1755" s="62" t="s">
        <v>2</v>
      </c>
      <c r="B1755" s="63"/>
      <c r="C1755" s="63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6"/>
      <c r="P1755" s="17"/>
      <c r="Q1755" s="46"/>
    </row>
    <row r="1756" spans="1:17" x14ac:dyDescent="0.25">
      <c r="A1756" s="15"/>
      <c r="B1756" s="14"/>
      <c r="C1756" s="13"/>
      <c r="D1756" s="12"/>
      <c r="E1756" s="11"/>
      <c r="F1756" s="10"/>
      <c r="G1756" s="10">
        <f>+E1756*F1756</f>
        <v>0</v>
      </c>
      <c r="H1756" s="12"/>
      <c r="I1756" s="11"/>
      <c r="J1756" s="10"/>
      <c r="K1756" s="10">
        <f>+I1756*J1756</f>
        <v>0</v>
      </c>
      <c r="L1756" s="12"/>
      <c r="M1756" s="11"/>
      <c r="N1756" s="10"/>
      <c r="O1756" s="10">
        <f>+M1756*N1756</f>
        <v>0</v>
      </c>
      <c r="P1756" s="12"/>
      <c r="Q1756" s="46"/>
    </row>
    <row r="1757" spans="1:17" x14ac:dyDescent="0.25">
      <c r="A1757" s="15"/>
      <c r="B1757" s="14"/>
      <c r="C1757" s="13"/>
      <c r="D1757" s="12"/>
      <c r="E1757" s="11"/>
      <c r="F1757" s="10"/>
      <c r="G1757" s="10">
        <f>+E1757*F1757</f>
        <v>0</v>
      </c>
      <c r="H1757" s="12"/>
      <c r="I1757" s="11"/>
      <c r="J1757" s="10"/>
      <c r="K1757" s="10">
        <f>+I1757*J1757</f>
        <v>0</v>
      </c>
      <c r="L1757" s="12"/>
      <c r="M1757" s="11"/>
      <c r="N1757" s="10"/>
      <c r="O1757" s="10">
        <f>+M1757*N1757</f>
        <v>0</v>
      </c>
      <c r="P1757" s="12"/>
      <c r="Q1757" s="46"/>
    </row>
    <row r="1758" spans="1:17" ht="15.75" thickBot="1" x14ac:dyDescent="0.3">
      <c r="Q1758" s="46"/>
    </row>
    <row r="1759" spans="1:17" ht="21" thickBot="1" x14ac:dyDescent="0.3">
      <c r="A1759" s="64" t="s">
        <v>1</v>
      </c>
      <c r="B1759" s="65"/>
      <c r="C1759" s="66"/>
      <c r="D1759" s="5"/>
      <c r="E1759" s="9"/>
      <c r="F1759" s="8"/>
      <c r="G1759" s="7">
        <f>SUM(G1749:G1758)</f>
        <v>172.5</v>
      </c>
      <c r="H1759" s="5"/>
      <c r="I1759" s="9"/>
      <c r="J1759" s="8"/>
      <c r="K1759" s="7">
        <f>SUM(K1747:K1757)</f>
        <v>0</v>
      </c>
      <c r="L1759" s="5"/>
      <c r="M1759" s="9"/>
      <c r="N1759" s="8"/>
      <c r="O1759" s="7">
        <f>SUM(O1747:O1757)</f>
        <v>0</v>
      </c>
      <c r="P1759" s="5"/>
      <c r="Q1759" s="46"/>
    </row>
    <row r="1760" spans="1:17" ht="21" thickBot="1" x14ac:dyDescent="0.3">
      <c r="A1760" s="60" t="s">
        <v>0</v>
      </c>
      <c r="B1760" s="61"/>
      <c r="C1760" s="61"/>
      <c r="D1760" s="5"/>
      <c r="E1760" s="4"/>
      <c r="F1760" s="3"/>
      <c r="G1760" s="39">
        <f>+G1759/E1753</f>
        <v>172.5</v>
      </c>
      <c r="H1760" s="5"/>
      <c r="I1760" s="4"/>
      <c r="J1760" s="3"/>
      <c r="K1760" s="2" t="e">
        <f>+K1759/I1753</f>
        <v>#DIV/0!</v>
      </c>
      <c r="L1760" s="5"/>
      <c r="M1760" s="4"/>
      <c r="N1760" s="3"/>
      <c r="O1760" s="2" t="e">
        <f>+O1759/M1753</f>
        <v>#DIV/0!</v>
      </c>
      <c r="P1760" s="5"/>
      <c r="Q1760" s="46"/>
    </row>
    <row r="1761" spans="1:17" x14ac:dyDescent="0.25">
      <c r="Q1761" s="46"/>
    </row>
    <row r="1762" spans="1:17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46"/>
    </row>
    <row r="1763" spans="1:17" ht="15.75" thickBot="1" x14ac:dyDescent="0.3">
      <c r="Q1763" s="46"/>
    </row>
    <row r="1764" spans="1:17" ht="16.5" thickBot="1" x14ac:dyDescent="0.3">
      <c r="A1764" s="20" t="s">
        <v>527</v>
      </c>
      <c r="B1764" s="19" t="s">
        <v>528</v>
      </c>
      <c r="C1764" s="18" t="s">
        <v>210</v>
      </c>
      <c r="Q1764" s="46"/>
    </row>
    <row r="1765" spans="1:17" ht="15.75" thickBot="1" x14ac:dyDescent="0.3">
      <c r="Q1765" s="46"/>
    </row>
    <row r="1766" spans="1:17" ht="16.5" thickBot="1" x14ac:dyDescent="0.3">
      <c r="A1766" s="62" t="s">
        <v>11</v>
      </c>
      <c r="B1766" s="63"/>
      <c r="C1766" s="63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6"/>
      <c r="P1766" s="17"/>
      <c r="Q1766" s="46"/>
    </row>
    <row r="1767" spans="1:17" x14ac:dyDescent="0.25">
      <c r="A1767" s="15"/>
      <c r="B1767" s="14"/>
      <c r="C1767" s="13"/>
      <c r="D1767" s="12"/>
      <c r="E1767" s="11"/>
      <c r="F1767" s="10"/>
      <c r="G1767" s="10">
        <f>+E1767*F1767</f>
        <v>0</v>
      </c>
      <c r="H1767" s="12"/>
      <c r="I1767" s="11"/>
      <c r="J1767" s="10"/>
      <c r="K1767" s="10">
        <f>+I1767*J1767</f>
        <v>0</v>
      </c>
      <c r="L1767" s="12"/>
      <c r="M1767" s="11"/>
      <c r="N1767" s="10"/>
      <c r="O1767" s="10">
        <f>+M1767*N1767</f>
        <v>0</v>
      </c>
      <c r="P1767" s="12"/>
      <c r="Q1767" s="46"/>
    </row>
    <row r="1768" spans="1:17" ht="15.75" thickBot="1" x14ac:dyDescent="0.3">
      <c r="A1768" s="15"/>
      <c r="B1768" s="14"/>
      <c r="C1768" s="13"/>
      <c r="D1768" s="12"/>
      <c r="E1768" s="11"/>
      <c r="F1768" s="10"/>
      <c r="G1768" s="10">
        <f>+E1768*F1768</f>
        <v>0</v>
      </c>
      <c r="H1768" s="12"/>
      <c r="I1768" s="11"/>
      <c r="J1768" s="10"/>
      <c r="K1768" s="10">
        <f>+I1768*J1768</f>
        <v>0</v>
      </c>
      <c r="L1768" s="12"/>
      <c r="M1768" s="11"/>
      <c r="N1768" s="10"/>
      <c r="O1768" s="10">
        <f>+M1768*N1768</f>
        <v>0</v>
      </c>
      <c r="P1768" s="12"/>
      <c r="Q1768" s="46"/>
    </row>
    <row r="1769" spans="1:17" ht="16.5" thickBot="1" x14ac:dyDescent="0.3">
      <c r="A1769" s="62" t="s">
        <v>5</v>
      </c>
      <c r="B1769" s="63"/>
      <c r="C1769" s="63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6"/>
      <c r="P1769" s="17"/>
      <c r="Q1769" s="46"/>
    </row>
    <row r="1770" spans="1:17" x14ac:dyDescent="0.25">
      <c r="A1770" s="15"/>
      <c r="B1770" s="14" t="s">
        <v>529</v>
      </c>
      <c r="C1770" s="13" t="s">
        <v>3</v>
      </c>
      <c r="D1770" s="12"/>
      <c r="E1770" s="11"/>
      <c r="F1770" s="10"/>
      <c r="G1770" s="10">
        <f>+E1770*F1770</f>
        <v>0</v>
      </c>
      <c r="H1770" s="12"/>
      <c r="I1770" s="11">
        <v>1.43</v>
      </c>
      <c r="J1770" s="10">
        <v>107.1</v>
      </c>
      <c r="K1770" s="10">
        <f>+I1770*J1770</f>
        <v>153.15299999999999</v>
      </c>
      <c r="L1770" s="12"/>
      <c r="M1770" s="11"/>
      <c r="N1770" s="10"/>
      <c r="O1770" s="10">
        <f>+M1770*N1770</f>
        <v>0</v>
      </c>
      <c r="P1770" s="12"/>
      <c r="Q1770" s="46"/>
    </row>
    <row r="1771" spans="1:17" ht="15.75" thickBot="1" x14ac:dyDescent="0.3">
      <c r="A1771" s="15"/>
      <c r="B1771" s="14"/>
      <c r="C1771" s="13"/>
      <c r="D1771" s="12"/>
      <c r="E1771" s="11"/>
      <c r="F1771" s="10"/>
      <c r="G1771" s="10">
        <f>+E1771*F1771</f>
        <v>0</v>
      </c>
      <c r="H1771" s="12"/>
      <c r="I1771" s="11"/>
      <c r="J1771" s="10"/>
      <c r="K1771" s="10">
        <f>+I1771*J1771</f>
        <v>0</v>
      </c>
      <c r="L1771" s="12"/>
      <c r="M1771" s="11"/>
      <c r="N1771" s="10"/>
      <c r="O1771" s="10">
        <f>+M1771*N1771</f>
        <v>0</v>
      </c>
      <c r="P1771" s="12"/>
      <c r="Q1771" s="46"/>
    </row>
    <row r="1772" spans="1:17" ht="16.5" thickBot="1" x14ac:dyDescent="0.3">
      <c r="A1772" s="62" t="s">
        <v>2</v>
      </c>
      <c r="B1772" s="63"/>
      <c r="C1772" s="63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6"/>
      <c r="P1772" s="17"/>
      <c r="Q1772" s="46"/>
    </row>
    <row r="1773" spans="1:17" x14ac:dyDescent="0.25">
      <c r="A1773" s="15"/>
      <c r="B1773" s="14"/>
      <c r="C1773" s="13"/>
      <c r="D1773" s="12"/>
      <c r="E1773" s="11"/>
      <c r="F1773" s="10"/>
      <c r="G1773" s="10">
        <f>+E1773*F1773</f>
        <v>0</v>
      </c>
      <c r="H1773" s="12"/>
      <c r="I1773" s="11"/>
      <c r="J1773" s="10"/>
      <c r="K1773" s="10">
        <f>+I1773*J1773</f>
        <v>0</v>
      </c>
      <c r="L1773" s="12"/>
      <c r="M1773" s="11"/>
      <c r="N1773" s="10"/>
      <c r="O1773" s="10">
        <f>+M1773*N1773</f>
        <v>0</v>
      </c>
      <c r="P1773" s="12"/>
      <c r="Q1773" s="46"/>
    </row>
    <row r="1774" spans="1:17" x14ac:dyDescent="0.25">
      <c r="A1774" s="15"/>
      <c r="B1774" s="14"/>
      <c r="C1774" s="13"/>
      <c r="D1774" s="12"/>
      <c r="E1774" s="11"/>
      <c r="F1774" s="10"/>
      <c r="G1774" s="10">
        <f>+E1774*F1774</f>
        <v>0</v>
      </c>
      <c r="H1774" s="12"/>
      <c r="I1774" s="11"/>
      <c r="J1774" s="10"/>
      <c r="K1774" s="10">
        <f>+I1774*J1774</f>
        <v>0</v>
      </c>
      <c r="L1774" s="12"/>
      <c r="M1774" s="11"/>
      <c r="N1774" s="10"/>
      <c r="O1774" s="10">
        <f>+M1774*N1774</f>
        <v>0</v>
      </c>
      <c r="P1774" s="12"/>
      <c r="Q1774" s="46"/>
    </row>
    <row r="1775" spans="1:17" ht="15.75" thickBot="1" x14ac:dyDescent="0.3">
      <c r="Q1775" s="46"/>
    </row>
    <row r="1776" spans="1:17" ht="21" thickBot="1" x14ac:dyDescent="0.3">
      <c r="A1776" s="64" t="s">
        <v>1</v>
      </c>
      <c r="B1776" s="65"/>
      <c r="C1776" s="66"/>
      <c r="D1776" s="5"/>
      <c r="E1776" s="9"/>
      <c r="F1776" s="8"/>
      <c r="G1776" s="7">
        <f>SUM(G1766:G1775)</f>
        <v>0</v>
      </c>
      <c r="H1776" s="5"/>
      <c r="I1776" s="9"/>
      <c r="J1776" s="8"/>
      <c r="K1776" s="7">
        <f>SUM(K1764:K1774)</f>
        <v>153.15299999999999</v>
      </c>
      <c r="L1776" s="5"/>
      <c r="M1776" s="9"/>
      <c r="N1776" s="8"/>
      <c r="O1776" s="7">
        <f>SUM(O1764:O1774)</f>
        <v>0</v>
      </c>
      <c r="P1776" s="5"/>
      <c r="Q1776" s="46"/>
    </row>
    <row r="1777" spans="1:17" ht="21" thickBot="1" x14ac:dyDescent="0.3">
      <c r="A1777" s="60" t="s">
        <v>0</v>
      </c>
      <c r="B1777" s="61"/>
      <c r="C1777" s="61"/>
      <c r="D1777" s="5"/>
      <c r="E1777" s="4"/>
      <c r="F1777" s="3"/>
      <c r="G1777" s="2" t="e">
        <f>+G1776/E1770</f>
        <v>#DIV/0!</v>
      </c>
      <c r="H1777" s="5"/>
      <c r="I1777" s="4"/>
      <c r="J1777" s="3"/>
      <c r="K1777" s="39">
        <f>+K1776/I1770</f>
        <v>107.1</v>
      </c>
      <c r="L1777" s="5"/>
      <c r="M1777" s="4"/>
      <c r="N1777" s="3"/>
      <c r="O1777" s="2" t="e">
        <f>+O1776/M1770</f>
        <v>#DIV/0!</v>
      </c>
      <c r="P1777" s="5"/>
      <c r="Q1777" s="46"/>
    </row>
    <row r="1778" spans="1:17" x14ac:dyDescent="0.25">
      <c r="Q1778" s="46"/>
    </row>
    <row r="1779" spans="1:17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46"/>
    </row>
    <row r="1780" spans="1:17" ht="15.75" thickBot="1" x14ac:dyDescent="0.3">
      <c r="Q1780" s="46"/>
    </row>
    <row r="1781" spans="1:17" ht="16.5" thickBot="1" x14ac:dyDescent="0.3">
      <c r="A1781" s="20" t="s">
        <v>532</v>
      </c>
      <c r="B1781" s="19" t="s">
        <v>530</v>
      </c>
      <c r="C1781" s="18" t="s">
        <v>210</v>
      </c>
      <c r="Q1781" s="46"/>
    </row>
    <row r="1782" spans="1:17" ht="15.75" thickBot="1" x14ac:dyDescent="0.3">
      <c r="Q1782" s="46"/>
    </row>
    <row r="1783" spans="1:17" ht="16.5" thickBot="1" x14ac:dyDescent="0.3">
      <c r="A1783" s="62" t="s">
        <v>11</v>
      </c>
      <c r="B1783" s="63"/>
      <c r="C1783" s="63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6"/>
      <c r="P1783" s="17"/>
      <c r="Q1783" s="46"/>
    </row>
    <row r="1784" spans="1:17" x14ac:dyDescent="0.25">
      <c r="A1784" s="15"/>
      <c r="B1784" s="14"/>
      <c r="C1784" s="13"/>
      <c r="D1784" s="12"/>
      <c r="E1784" s="11"/>
      <c r="F1784" s="10"/>
      <c r="G1784" s="10">
        <f>+E1784*F1784</f>
        <v>0</v>
      </c>
      <c r="H1784" s="12"/>
      <c r="I1784" s="11"/>
      <c r="J1784" s="10"/>
      <c r="K1784" s="10">
        <f>+I1784*J1784</f>
        <v>0</v>
      </c>
      <c r="L1784" s="12"/>
      <c r="M1784" s="11"/>
      <c r="N1784" s="10"/>
      <c r="O1784" s="10">
        <f>+M1784*N1784</f>
        <v>0</v>
      </c>
      <c r="P1784" s="12"/>
      <c r="Q1784" s="46"/>
    </row>
    <row r="1785" spans="1:17" ht="15.75" thickBot="1" x14ac:dyDescent="0.3">
      <c r="A1785" s="15"/>
      <c r="B1785" s="14"/>
      <c r="C1785" s="13"/>
      <c r="D1785" s="12"/>
      <c r="E1785" s="11"/>
      <c r="F1785" s="10"/>
      <c r="G1785" s="10">
        <f>+E1785*F1785</f>
        <v>0</v>
      </c>
      <c r="H1785" s="12"/>
      <c r="I1785" s="11"/>
      <c r="J1785" s="10"/>
      <c r="K1785" s="10">
        <f>+I1785*J1785</f>
        <v>0</v>
      </c>
      <c r="L1785" s="12"/>
      <c r="M1785" s="11"/>
      <c r="N1785" s="10"/>
      <c r="O1785" s="10">
        <f>+M1785*N1785</f>
        <v>0</v>
      </c>
      <c r="P1785" s="12"/>
      <c r="Q1785" s="46"/>
    </row>
    <row r="1786" spans="1:17" ht="16.5" thickBot="1" x14ac:dyDescent="0.3">
      <c r="A1786" s="62" t="s">
        <v>5</v>
      </c>
      <c r="B1786" s="63"/>
      <c r="C1786" s="63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6"/>
      <c r="P1786" s="17"/>
      <c r="Q1786" s="46"/>
    </row>
    <row r="1787" spans="1:17" ht="30" x14ac:dyDescent="0.25">
      <c r="A1787" s="15"/>
      <c r="B1787" s="14" t="s">
        <v>531</v>
      </c>
      <c r="C1787" s="13" t="s">
        <v>3</v>
      </c>
      <c r="D1787" s="12"/>
      <c r="E1787" s="11"/>
      <c r="F1787" s="10"/>
      <c r="G1787" s="10">
        <f>+E1787*F1787</f>
        <v>0</v>
      </c>
      <c r="H1787" s="12"/>
      <c r="I1787" s="11">
        <v>1.43</v>
      </c>
      <c r="J1787" s="10">
        <v>101.5</v>
      </c>
      <c r="K1787" s="10">
        <f>+I1787*J1787</f>
        <v>145.14499999999998</v>
      </c>
      <c r="L1787" s="12"/>
      <c r="M1787" s="11"/>
      <c r="N1787" s="10"/>
      <c r="O1787" s="10">
        <f>+M1787*N1787</f>
        <v>0</v>
      </c>
      <c r="P1787" s="12"/>
      <c r="Q1787" s="46"/>
    </row>
    <row r="1788" spans="1:17" ht="15.75" thickBot="1" x14ac:dyDescent="0.3">
      <c r="A1788" s="15"/>
      <c r="B1788" s="14"/>
      <c r="C1788" s="13"/>
      <c r="D1788" s="12"/>
      <c r="E1788" s="11"/>
      <c r="F1788" s="10"/>
      <c r="G1788" s="10">
        <f>+E1788*F1788</f>
        <v>0</v>
      </c>
      <c r="H1788" s="12"/>
      <c r="I1788" s="11"/>
      <c r="J1788" s="10"/>
      <c r="K1788" s="10">
        <f>+I1788*J1788</f>
        <v>0</v>
      </c>
      <c r="L1788" s="12"/>
      <c r="M1788" s="11"/>
      <c r="N1788" s="10"/>
      <c r="O1788" s="10">
        <f>+M1788*N1788</f>
        <v>0</v>
      </c>
      <c r="P1788" s="12"/>
      <c r="Q1788" s="46"/>
    </row>
    <row r="1789" spans="1:17" ht="16.5" thickBot="1" x14ac:dyDescent="0.3">
      <c r="A1789" s="62" t="s">
        <v>2</v>
      </c>
      <c r="B1789" s="63"/>
      <c r="C1789" s="63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6"/>
      <c r="P1789" s="17"/>
      <c r="Q1789" s="46"/>
    </row>
    <row r="1790" spans="1:17" x14ac:dyDescent="0.25">
      <c r="A1790" s="15"/>
      <c r="B1790" s="14"/>
      <c r="C1790" s="13"/>
      <c r="D1790" s="12"/>
      <c r="E1790" s="11"/>
      <c r="F1790" s="10"/>
      <c r="G1790" s="10">
        <f>+E1790*F1790</f>
        <v>0</v>
      </c>
      <c r="H1790" s="12"/>
      <c r="I1790" s="11"/>
      <c r="J1790" s="10"/>
      <c r="K1790" s="10">
        <f>+I1790*J1790</f>
        <v>0</v>
      </c>
      <c r="L1790" s="12"/>
      <c r="M1790" s="11"/>
      <c r="N1790" s="10"/>
      <c r="O1790" s="10">
        <f>+M1790*N1790</f>
        <v>0</v>
      </c>
      <c r="P1790" s="12"/>
      <c r="Q1790" s="46"/>
    </row>
    <row r="1791" spans="1:17" x14ac:dyDescent="0.25">
      <c r="A1791" s="15"/>
      <c r="B1791" s="14"/>
      <c r="C1791" s="13"/>
      <c r="D1791" s="12"/>
      <c r="E1791" s="11"/>
      <c r="F1791" s="10"/>
      <c r="G1791" s="10">
        <f>+E1791*F1791</f>
        <v>0</v>
      </c>
      <c r="H1791" s="12"/>
      <c r="I1791" s="11"/>
      <c r="J1791" s="10"/>
      <c r="K1791" s="10">
        <f>+I1791*J1791</f>
        <v>0</v>
      </c>
      <c r="L1791" s="12"/>
      <c r="M1791" s="11"/>
      <c r="N1791" s="10"/>
      <c r="O1791" s="10">
        <f>+M1791*N1791</f>
        <v>0</v>
      </c>
      <c r="P1791" s="12"/>
      <c r="Q1791" s="46"/>
    </row>
    <row r="1792" spans="1:17" ht="15.75" thickBot="1" x14ac:dyDescent="0.3">
      <c r="Q1792" s="46"/>
    </row>
    <row r="1793" spans="1:17" ht="21" thickBot="1" x14ac:dyDescent="0.3">
      <c r="A1793" s="64" t="s">
        <v>1</v>
      </c>
      <c r="B1793" s="65"/>
      <c r="C1793" s="66"/>
      <c r="D1793" s="5"/>
      <c r="E1793" s="9"/>
      <c r="F1793" s="8"/>
      <c r="G1793" s="7">
        <f>SUM(G1783:G1792)</f>
        <v>0</v>
      </c>
      <c r="H1793" s="5"/>
      <c r="I1793" s="9"/>
      <c r="J1793" s="8"/>
      <c r="K1793" s="7">
        <f>SUM(K1781:K1791)</f>
        <v>145.14499999999998</v>
      </c>
      <c r="L1793" s="5"/>
      <c r="M1793" s="9"/>
      <c r="N1793" s="8"/>
      <c r="O1793" s="7">
        <f>SUM(O1781:O1791)</f>
        <v>0</v>
      </c>
      <c r="P1793" s="5"/>
      <c r="Q1793" s="46"/>
    </row>
    <row r="1794" spans="1:17" ht="21" thickBot="1" x14ac:dyDescent="0.3">
      <c r="A1794" s="60" t="s">
        <v>0</v>
      </c>
      <c r="B1794" s="61"/>
      <c r="C1794" s="61"/>
      <c r="D1794" s="5"/>
      <c r="E1794" s="4"/>
      <c r="F1794" s="3"/>
      <c r="G1794" s="2" t="e">
        <f>+G1793/E1787</f>
        <v>#DIV/0!</v>
      </c>
      <c r="H1794" s="5"/>
      <c r="I1794" s="4"/>
      <c r="J1794" s="3"/>
      <c r="K1794" s="39">
        <f>+K1793/I1787</f>
        <v>101.49999999999999</v>
      </c>
      <c r="L1794" s="5"/>
      <c r="M1794" s="4"/>
      <c r="N1794" s="3"/>
      <c r="O1794" s="2" t="e">
        <f>+O1793/M1787</f>
        <v>#DIV/0!</v>
      </c>
      <c r="P1794" s="5"/>
      <c r="Q1794" s="46"/>
    </row>
    <row r="1795" spans="1:17" x14ac:dyDescent="0.25">
      <c r="Q1795" s="46"/>
    </row>
    <row r="1796" spans="1:17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46"/>
    </row>
    <row r="1797" spans="1:17" ht="15.75" thickBot="1" x14ac:dyDescent="0.3">
      <c r="Q1797" s="46"/>
    </row>
    <row r="1798" spans="1:17" ht="24" thickBot="1" x14ac:dyDescent="0.3">
      <c r="A1798" s="22" t="s">
        <v>508</v>
      </c>
      <c r="B1798" s="22"/>
      <c r="C1798" s="22"/>
      <c r="D1798" s="22"/>
      <c r="E1798" s="22"/>
      <c r="F1798" s="22"/>
      <c r="G1798" s="22"/>
      <c r="H1798" s="22"/>
      <c r="I1798" s="22"/>
      <c r="J1798" s="23"/>
      <c r="K1798" s="22"/>
      <c r="L1798" s="22"/>
      <c r="M1798" s="22"/>
      <c r="N1798" s="22"/>
      <c r="O1798" s="22"/>
      <c r="P1798" s="22"/>
      <c r="Q1798" s="46"/>
    </row>
    <row r="1799" spans="1:17" ht="15.75" thickBot="1" x14ac:dyDescent="0.3">
      <c r="Q1799" s="46"/>
    </row>
    <row r="1800" spans="1:17" ht="16.5" thickBot="1" x14ac:dyDescent="0.3">
      <c r="A1800" s="20" t="s">
        <v>509</v>
      </c>
      <c r="B1800" s="19" t="s">
        <v>510</v>
      </c>
      <c r="C1800" s="18" t="s">
        <v>84</v>
      </c>
      <c r="Q1800" s="46"/>
    </row>
    <row r="1801" spans="1:17" ht="15.75" thickBot="1" x14ac:dyDescent="0.3">
      <c r="Q1801" s="46"/>
    </row>
    <row r="1802" spans="1:17" ht="16.5" thickBot="1" x14ac:dyDescent="0.3">
      <c r="A1802" s="62" t="s">
        <v>11</v>
      </c>
      <c r="B1802" s="63"/>
      <c r="C1802" s="63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6"/>
      <c r="P1802" s="17"/>
      <c r="Q1802" s="46"/>
    </row>
    <row r="1803" spans="1:17" x14ac:dyDescent="0.25">
      <c r="A1803" s="15"/>
      <c r="B1803" s="14"/>
      <c r="C1803" s="13"/>
      <c r="D1803" s="12"/>
      <c r="E1803" s="11"/>
      <c r="F1803" s="10"/>
      <c r="G1803" s="10">
        <f>+E1803*F1803</f>
        <v>0</v>
      </c>
      <c r="H1803" s="12"/>
      <c r="I1803" s="11"/>
      <c r="J1803" s="10"/>
      <c r="K1803" s="10">
        <f>+I1803*J1803</f>
        <v>0</v>
      </c>
      <c r="L1803" s="12"/>
      <c r="M1803" s="11"/>
      <c r="N1803" s="10"/>
      <c r="O1803" s="10">
        <f>+M1803*N1803</f>
        <v>0</v>
      </c>
      <c r="P1803" s="12"/>
      <c r="Q1803" s="46"/>
    </row>
    <row r="1804" spans="1:17" ht="15.75" thickBot="1" x14ac:dyDescent="0.3">
      <c r="A1804" s="15"/>
      <c r="B1804" s="14"/>
      <c r="C1804" s="13"/>
      <c r="D1804" s="12"/>
      <c r="E1804" s="11"/>
      <c r="F1804" s="10"/>
      <c r="G1804" s="10">
        <f>+E1804*F1804</f>
        <v>0</v>
      </c>
      <c r="H1804" s="12"/>
      <c r="I1804" s="11"/>
      <c r="J1804" s="10"/>
      <c r="K1804" s="10">
        <f>+I1804*J1804</f>
        <v>0</v>
      </c>
      <c r="L1804" s="12"/>
      <c r="M1804" s="11"/>
      <c r="N1804" s="10"/>
      <c r="O1804" s="10">
        <f>+M1804*N1804</f>
        <v>0</v>
      </c>
      <c r="P1804" s="12"/>
      <c r="Q1804" s="46"/>
    </row>
    <row r="1805" spans="1:17" ht="16.5" thickBot="1" x14ac:dyDescent="0.3">
      <c r="A1805" s="62" t="s">
        <v>5</v>
      </c>
      <c r="B1805" s="63"/>
      <c r="C1805" s="63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6"/>
      <c r="P1805" s="17"/>
      <c r="Q1805" s="46"/>
    </row>
    <row r="1806" spans="1:17" x14ac:dyDescent="0.25">
      <c r="A1806" s="15"/>
      <c r="B1806" s="14"/>
      <c r="C1806" s="13"/>
      <c r="D1806" s="12"/>
      <c r="E1806" s="11"/>
      <c r="F1806" s="10"/>
      <c r="G1806" s="10">
        <f>+E1806*F1806</f>
        <v>0</v>
      </c>
      <c r="H1806" s="12"/>
      <c r="I1806" s="11"/>
      <c r="J1806" s="10"/>
      <c r="K1806" s="10">
        <f>+I1806*J1806</f>
        <v>0</v>
      </c>
      <c r="L1806" s="12"/>
      <c r="M1806" s="11"/>
      <c r="N1806" s="10"/>
      <c r="O1806" s="10">
        <f>+M1806*N1806</f>
        <v>0</v>
      </c>
      <c r="P1806" s="12"/>
      <c r="Q1806" s="46"/>
    </row>
    <row r="1807" spans="1:17" ht="15.75" thickBot="1" x14ac:dyDescent="0.3">
      <c r="A1807" s="15"/>
      <c r="B1807" s="14"/>
      <c r="C1807" s="13"/>
      <c r="D1807" s="12"/>
      <c r="E1807" s="11"/>
      <c r="F1807" s="10"/>
      <c r="G1807" s="10">
        <f>+E1807*F1807</f>
        <v>0</v>
      </c>
      <c r="H1807" s="12"/>
      <c r="I1807" s="11"/>
      <c r="J1807" s="10"/>
      <c r="K1807" s="10">
        <f>+I1807*J1807</f>
        <v>0</v>
      </c>
      <c r="L1807" s="12"/>
      <c r="M1807" s="11"/>
      <c r="N1807" s="10"/>
      <c r="O1807" s="10">
        <f>+M1807*N1807</f>
        <v>0</v>
      </c>
      <c r="P1807" s="12"/>
      <c r="Q1807" s="46"/>
    </row>
    <row r="1808" spans="1:17" ht="16.5" thickBot="1" x14ac:dyDescent="0.3">
      <c r="A1808" s="62" t="s">
        <v>2</v>
      </c>
      <c r="B1808" s="63"/>
      <c r="C1808" s="63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6"/>
      <c r="P1808" s="17"/>
      <c r="Q1808" s="46"/>
    </row>
    <row r="1809" spans="1:17" x14ac:dyDescent="0.25">
      <c r="A1809" s="15"/>
      <c r="B1809" s="14"/>
      <c r="C1809" s="13"/>
      <c r="D1809" s="12"/>
      <c r="E1809" s="11"/>
      <c r="F1809" s="10"/>
      <c r="G1809" s="10">
        <f>+E1809*F1809</f>
        <v>0</v>
      </c>
      <c r="H1809" s="12"/>
      <c r="I1809" s="11"/>
      <c r="J1809" s="10"/>
      <c r="K1809" s="10">
        <f>+I1809*J1809</f>
        <v>0</v>
      </c>
      <c r="L1809" s="12"/>
      <c r="M1809" s="11"/>
      <c r="N1809" s="10"/>
      <c r="O1809" s="10">
        <f>+M1809*N1809</f>
        <v>0</v>
      </c>
      <c r="P1809" s="12"/>
      <c r="Q1809" s="46"/>
    </row>
    <row r="1810" spans="1:17" x14ac:dyDescent="0.25">
      <c r="A1810" s="15"/>
      <c r="B1810" s="14"/>
      <c r="C1810" s="13"/>
      <c r="D1810" s="12"/>
      <c r="E1810" s="11"/>
      <c r="F1810" s="10"/>
      <c r="G1810" s="10">
        <f>+E1810*F1810</f>
        <v>0</v>
      </c>
      <c r="H1810" s="12"/>
      <c r="I1810" s="11"/>
      <c r="J1810" s="10"/>
      <c r="K1810" s="10">
        <f>+I1810*J1810</f>
        <v>0</v>
      </c>
      <c r="L1810" s="12"/>
      <c r="M1810" s="11"/>
      <c r="N1810" s="10"/>
      <c r="O1810" s="10">
        <f>+M1810*N1810</f>
        <v>0</v>
      </c>
      <c r="P1810" s="12"/>
      <c r="Q1810" s="46"/>
    </row>
    <row r="1811" spans="1:17" ht="15.75" thickBot="1" x14ac:dyDescent="0.3">
      <c r="Q1811" s="46"/>
    </row>
    <row r="1812" spans="1:17" ht="21" thickBot="1" x14ac:dyDescent="0.3">
      <c r="A1812" s="64" t="s">
        <v>1</v>
      </c>
      <c r="B1812" s="65"/>
      <c r="C1812" s="66"/>
      <c r="D1812" s="5"/>
      <c r="E1812" s="9"/>
      <c r="F1812" s="8"/>
      <c r="G1812" s="7">
        <f>SUM(G1802:G1811)</f>
        <v>0</v>
      </c>
      <c r="H1812" s="5"/>
      <c r="I1812" s="9"/>
      <c r="J1812" s="8"/>
      <c r="K1812" s="7">
        <f>SUM(K1800:K1810)</f>
        <v>0</v>
      </c>
      <c r="L1812" s="5"/>
      <c r="M1812" s="9"/>
      <c r="N1812" s="8"/>
      <c r="O1812" s="7">
        <f>SUM(O1800:O1810)</f>
        <v>0</v>
      </c>
      <c r="P1812" s="5"/>
      <c r="Q1812" s="46"/>
    </row>
    <row r="1813" spans="1:17" ht="21" thickBot="1" x14ac:dyDescent="0.3">
      <c r="A1813" s="60" t="s">
        <v>0</v>
      </c>
      <c r="B1813" s="61"/>
      <c r="C1813" s="61"/>
      <c r="D1813" s="5"/>
      <c r="E1813" s="4"/>
      <c r="F1813" s="3"/>
      <c r="G1813" s="6" t="e">
        <f>+G1812/E1806</f>
        <v>#DIV/0!</v>
      </c>
      <c r="H1813" s="5"/>
      <c r="I1813" s="4"/>
      <c r="J1813" s="3"/>
      <c r="K1813" s="6" t="e">
        <f>+K1812/I1806</f>
        <v>#DIV/0!</v>
      </c>
      <c r="L1813" s="5"/>
      <c r="M1813" s="4"/>
      <c r="N1813" s="3"/>
      <c r="O1813" s="6" t="e">
        <f>+O1812/M1806</f>
        <v>#DIV/0!</v>
      </c>
      <c r="P1813" s="5"/>
      <c r="Q1813" s="46"/>
    </row>
    <row r="1814" spans="1:17" x14ac:dyDescent="0.25">
      <c r="Q1814" s="46"/>
    </row>
    <row r="1815" spans="1:17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46"/>
    </row>
    <row r="1816" spans="1:17" ht="15.75" thickBot="1" x14ac:dyDescent="0.3">
      <c r="Q1816" s="46"/>
    </row>
    <row r="1817" spans="1:17" ht="16.5" thickBot="1" x14ac:dyDescent="0.3">
      <c r="A1817" s="20" t="s">
        <v>511</v>
      </c>
      <c r="B1817" s="19" t="s">
        <v>512</v>
      </c>
      <c r="C1817" s="18" t="s">
        <v>84</v>
      </c>
      <c r="Q1817" s="46"/>
    </row>
    <row r="1818" spans="1:17" ht="15.75" thickBot="1" x14ac:dyDescent="0.3">
      <c r="Q1818" s="46"/>
    </row>
    <row r="1819" spans="1:17" ht="16.5" thickBot="1" x14ac:dyDescent="0.3">
      <c r="A1819" s="62" t="s">
        <v>11</v>
      </c>
      <c r="B1819" s="63"/>
      <c r="C1819" s="63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6"/>
      <c r="P1819" s="17"/>
      <c r="Q1819" s="46"/>
    </row>
    <row r="1820" spans="1:17" x14ac:dyDescent="0.25">
      <c r="A1820" s="15"/>
      <c r="B1820" s="14" t="s">
        <v>535</v>
      </c>
      <c r="C1820" s="13" t="s">
        <v>15</v>
      </c>
      <c r="D1820" s="12"/>
      <c r="E1820" s="11"/>
      <c r="F1820" s="10"/>
      <c r="G1820" s="10">
        <f>+E1820*F1820</f>
        <v>0</v>
      </c>
      <c r="H1820" s="12"/>
      <c r="I1820" s="11">
        <v>1</v>
      </c>
      <c r="J1820" s="10">
        <v>6.25</v>
      </c>
      <c r="K1820" s="10">
        <f>+I1820*J1820</f>
        <v>6.25</v>
      </c>
      <c r="L1820" s="12"/>
      <c r="M1820" s="11"/>
      <c r="N1820" s="10"/>
      <c r="O1820" s="10">
        <f>+M1820*N1820</f>
        <v>0</v>
      </c>
      <c r="P1820" s="12"/>
      <c r="Q1820" s="46"/>
    </row>
    <row r="1821" spans="1:17" x14ac:dyDescent="0.25">
      <c r="A1821" s="15"/>
      <c r="B1821" s="14" t="s">
        <v>24</v>
      </c>
      <c r="C1821" s="13" t="s">
        <v>23</v>
      </c>
      <c r="D1821" s="12"/>
      <c r="E1821" s="11">
        <v>14.17</v>
      </c>
      <c r="F1821" s="10">
        <v>2.0699999999999998</v>
      </c>
      <c r="G1821" s="10">
        <f>+E1821*F1821</f>
        <v>29.331899999999997</v>
      </c>
      <c r="H1821" s="12"/>
      <c r="I1821" s="11">
        <v>66.38</v>
      </c>
      <c r="J1821" s="10">
        <v>2.14</v>
      </c>
      <c r="K1821" s="10">
        <f>+I1821*J1821</f>
        <v>142.0532</v>
      </c>
      <c r="L1821" s="12"/>
      <c r="M1821" s="11">
        <v>2</v>
      </c>
      <c r="N1821" s="10">
        <v>2.14</v>
      </c>
      <c r="O1821" s="10">
        <f>+M1821*N1821</f>
        <v>4.28</v>
      </c>
      <c r="P1821" s="12"/>
      <c r="Q1821" s="46"/>
    </row>
    <row r="1822" spans="1:17" ht="15.75" thickBot="1" x14ac:dyDescent="0.3">
      <c r="A1822" s="15"/>
      <c r="B1822" s="14"/>
      <c r="C1822" s="13"/>
      <c r="D1822" s="12"/>
      <c r="E1822" s="11"/>
      <c r="F1822" s="10"/>
      <c r="G1822" s="10">
        <f>+E1822*F1822</f>
        <v>0</v>
      </c>
      <c r="H1822" s="12"/>
      <c r="I1822" s="11"/>
      <c r="J1822" s="10"/>
      <c r="K1822" s="10">
        <f>+I1822*J1822</f>
        <v>0</v>
      </c>
      <c r="L1822" s="12"/>
      <c r="M1822" s="11"/>
      <c r="N1822" s="10"/>
      <c r="O1822" s="10">
        <f>+M1822*N1822</f>
        <v>0</v>
      </c>
      <c r="P1822" s="12"/>
      <c r="Q1822" s="46"/>
    </row>
    <row r="1823" spans="1:17" ht="16.5" thickBot="1" x14ac:dyDescent="0.3">
      <c r="A1823" s="62" t="s">
        <v>5</v>
      </c>
      <c r="B1823" s="63"/>
      <c r="C1823" s="63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6"/>
      <c r="P1823" s="17"/>
      <c r="Q1823" s="46"/>
    </row>
    <row r="1824" spans="1:17" x14ac:dyDescent="0.25">
      <c r="A1824" s="15"/>
      <c r="B1824" s="14"/>
      <c r="C1824" s="13" t="s">
        <v>84</v>
      </c>
      <c r="D1824" s="12">
        <v>1</v>
      </c>
      <c r="E1824" s="11">
        <v>1</v>
      </c>
      <c r="F1824" s="10"/>
      <c r="G1824" s="10">
        <f>+E1824*F1824</f>
        <v>0</v>
      </c>
      <c r="H1824" s="12"/>
      <c r="I1824" s="11">
        <v>1</v>
      </c>
      <c r="J1824" s="10"/>
      <c r="K1824" s="10">
        <f>+I1824*J1824</f>
        <v>0</v>
      </c>
      <c r="L1824" s="12"/>
      <c r="M1824" s="11">
        <v>1</v>
      </c>
      <c r="N1824" s="10"/>
      <c r="O1824" s="10">
        <f>+M1824*N1824</f>
        <v>0</v>
      </c>
      <c r="P1824" s="12"/>
      <c r="Q1824" s="46"/>
    </row>
    <row r="1825" spans="1:17" ht="15.75" thickBot="1" x14ac:dyDescent="0.3">
      <c r="A1825" s="15"/>
      <c r="B1825" s="14"/>
      <c r="C1825" s="13"/>
      <c r="D1825" s="12"/>
      <c r="E1825" s="11"/>
      <c r="F1825" s="10"/>
      <c r="G1825" s="10">
        <f>+E1825*F1825</f>
        <v>0</v>
      </c>
      <c r="H1825" s="12"/>
      <c r="I1825" s="11"/>
      <c r="J1825" s="10"/>
      <c r="K1825" s="10">
        <f>+I1825*J1825</f>
        <v>0</v>
      </c>
      <c r="L1825" s="12"/>
      <c r="M1825" s="11"/>
      <c r="N1825" s="10"/>
      <c r="O1825" s="10">
        <f>+M1825*N1825</f>
        <v>0</v>
      </c>
      <c r="P1825" s="12"/>
      <c r="Q1825" s="46"/>
    </row>
    <row r="1826" spans="1:17" ht="16.5" thickBot="1" x14ac:dyDescent="0.3">
      <c r="A1826" s="62" t="s">
        <v>2</v>
      </c>
      <c r="B1826" s="63"/>
      <c r="C1826" s="63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6"/>
      <c r="P1826" s="17"/>
      <c r="Q1826" s="46"/>
    </row>
    <row r="1827" spans="1:17" x14ac:dyDescent="0.25">
      <c r="A1827" s="15"/>
      <c r="B1827" s="14" t="s">
        <v>575</v>
      </c>
      <c r="C1827" s="13" t="s">
        <v>410</v>
      </c>
      <c r="D1827" s="12"/>
      <c r="E1827" s="11"/>
      <c r="F1827" s="10"/>
      <c r="G1827" s="10">
        <f>+E1827*F1827</f>
        <v>0</v>
      </c>
      <c r="H1827" s="12"/>
      <c r="I1827" s="11"/>
      <c r="J1827" s="10"/>
      <c r="K1827" s="10">
        <f>+I1827*J1827</f>
        <v>0</v>
      </c>
      <c r="L1827" s="12"/>
      <c r="M1827" s="11">
        <v>1</v>
      </c>
      <c r="N1827" s="10">
        <v>44.64</v>
      </c>
      <c r="O1827" s="10">
        <f>+M1827*N1827</f>
        <v>44.64</v>
      </c>
      <c r="P1827" s="12"/>
      <c r="Q1827" s="46"/>
    </row>
    <row r="1828" spans="1:17" x14ac:dyDescent="0.25">
      <c r="A1828" s="15"/>
      <c r="B1828" s="14"/>
      <c r="C1828" s="13"/>
      <c r="D1828" s="12"/>
      <c r="E1828" s="11"/>
      <c r="F1828" s="10"/>
      <c r="G1828" s="10">
        <f>+E1828*F1828</f>
        <v>0</v>
      </c>
      <c r="H1828" s="12"/>
      <c r="I1828" s="11"/>
      <c r="J1828" s="10"/>
      <c r="K1828" s="10">
        <f>+I1828*J1828</f>
        <v>0</v>
      </c>
      <c r="L1828" s="12"/>
      <c r="M1828" s="11"/>
      <c r="N1828" s="10"/>
      <c r="O1828" s="10">
        <f>+M1828*N1828</f>
        <v>0</v>
      </c>
      <c r="P1828" s="12"/>
      <c r="Q1828" s="46"/>
    </row>
    <row r="1829" spans="1:17" ht="15.75" thickBot="1" x14ac:dyDescent="0.3">
      <c r="Q1829" s="46"/>
    </row>
    <row r="1830" spans="1:17" ht="21" thickBot="1" x14ac:dyDescent="0.3">
      <c r="A1830" s="64" t="s">
        <v>1</v>
      </c>
      <c r="B1830" s="65"/>
      <c r="C1830" s="66"/>
      <c r="D1830" s="5"/>
      <c r="E1830" s="9"/>
      <c r="F1830" s="8"/>
      <c r="G1830" s="7">
        <f>SUM(G1819:G1829)</f>
        <v>29.331899999999997</v>
      </c>
      <c r="H1830" s="5"/>
      <c r="I1830" s="9"/>
      <c r="J1830" s="8"/>
      <c r="K1830" s="7">
        <f>SUM(K1817:K1828)</f>
        <v>148.3032</v>
      </c>
      <c r="L1830" s="5"/>
      <c r="M1830" s="9"/>
      <c r="N1830" s="8"/>
      <c r="O1830" s="7">
        <f>SUM(O1817:O1828)</f>
        <v>48.92</v>
      </c>
      <c r="P1830" s="5"/>
      <c r="Q1830" s="46"/>
    </row>
    <row r="1831" spans="1:17" ht="21" thickBot="1" x14ac:dyDescent="0.3">
      <c r="A1831" s="60" t="s">
        <v>0</v>
      </c>
      <c r="B1831" s="61"/>
      <c r="C1831" s="61"/>
      <c r="D1831" s="5"/>
      <c r="E1831" s="4"/>
      <c r="F1831" s="3"/>
      <c r="G1831" s="6">
        <f>+G1830/E1824</f>
        <v>29.331899999999997</v>
      </c>
      <c r="H1831" s="5"/>
      <c r="I1831" s="4"/>
      <c r="J1831" s="3"/>
      <c r="K1831" s="6">
        <f>+K1830/I1824</f>
        <v>148.3032</v>
      </c>
      <c r="L1831" s="5"/>
      <c r="M1831" s="4"/>
      <c r="N1831" s="3"/>
      <c r="O1831" s="6">
        <f>+O1830/M1824</f>
        <v>48.92</v>
      </c>
      <c r="P1831" s="5"/>
      <c r="Q1831" s="46"/>
    </row>
    <row r="1832" spans="1:17" x14ac:dyDescent="0.25">
      <c r="Q1832" s="46"/>
    </row>
    <row r="1833" spans="1:17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46"/>
    </row>
    <row r="1834" spans="1:17" ht="15.75" thickBot="1" x14ac:dyDescent="0.3">
      <c r="Q1834" s="46"/>
    </row>
    <row r="1835" spans="1:17" ht="16.5" thickBot="1" x14ac:dyDescent="0.3">
      <c r="A1835" s="20" t="s">
        <v>513</v>
      </c>
      <c r="B1835" s="19" t="s">
        <v>514</v>
      </c>
      <c r="C1835" s="18" t="s">
        <v>84</v>
      </c>
      <c r="Q1835" s="46"/>
    </row>
    <row r="1836" spans="1:17" ht="15.75" thickBot="1" x14ac:dyDescent="0.3">
      <c r="Q1836" s="46"/>
    </row>
    <row r="1837" spans="1:17" ht="16.5" thickBot="1" x14ac:dyDescent="0.3">
      <c r="A1837" s="62" t="s">
        <v>11</v>
      </c>
      <c r="B1837" s="63"/>
      <c r="C1837" s="63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6"/>
      <c r="P1837" s="17"/>
      <c r="Q1837" s="46"/>
    </row>
    <row r="1838" spans="1:17" x14ac:dyDescent="0.25">
      <c r="A1838" s="15"/>
      <c r="B1838" s="14"/>
      <c r="C1838" s="13"/>
      <c r="D1838" s="12"/>
      <c r="E1838" s="11"/>
      <c r="F1838" s="10"/>
      <c r="G1838" s="10">
        <f>+E1838*F1838</f>
        <v>0</v>
      </c>
      <c r="H1838" s="12"/>
      <c r="I1838" s="11"/>
      <c r="J1838" s="10"/>
      <c r="K1838" s="10">
        <f>+I1838*J1838</f>
        <v>0</v>
      </c>
      <c r="L1838" s="12"/>
      <c r="M1838" s="11"/>
      <c r="N1838" s="10"/>
      <c r="O1838" s="10">
        <f>+M1838*N1838</f>
        <v>0</v>
      </c>
      <c r="P1838" s="12"/>
      <c r="Q1838" s="46"/>
    </row>
    <row r="1839" spans="1:17" ht="15.75" thickBot="1" x14ac:dyDescent="0.3">
      <c r="A1839" s="15"/>
      <c r="B1839" s="14"/>
      <c r="C1839" s="13"/>
      <c r="D1839" s="12"/>
      <c r="E1839" s="11"/>
      <c r="F1839" s="10"/>
      <c r="G1839" s="10">
        <f>+E1839*F1839</f>
        <v>0</v>
      </c>
      <c r="H1839" s="12"/>
      <c r="I1839" s="11"/>
      <c r="J1839" s="10"/>
      <c r="K1839" s="10">
        <f>+I1839*J1839</f>
        <v>0</v>
      </c>
      <c r="L1839" s="12"/>
      <c r="M1839" s="11"/>
      <c r="N1839" s="10"/>
      <c r="O1839" s="10">
        <f>+M1839*N1839</f>
        <v>0</v>
      </c>
      <c r="P1839" s="12"/>
      <c r="Q1839" s="46"/>
    </row>
    <row r="1840" spans="1:17" ht="16.5" thickBot="1" x14ac:dyDescent="0.3">
      <c r="A1840" s="62" t="s">
        <v>5</v>
      </c>
      <c r="B1840" s="63"/>
      <c r="C1840" s="63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6"/>
      <c r="P1840" s="17"/>
      <c r="Q1840" s="46"/>
    </row>
    <row r="1841" spans="1:17" x14ac:dyDescent="0.25">
      <c r="A1841" s="15"/>
      <c r="B1841" s="14" t="s">
        <v>515</v>
      </c>
      <c r="C1841" s="13" t="s">
        <v>84</v>
      </c>
      <c r="D1841" s="12"/>
      <c r="E1841" s="11">
        <v>6</v>
      </c>
      <c r="F1841" s="42">
        <v>35</v>
      </c>
      <c r="G1841" s="10">
        <f>+E1841*F1841</f>
        <v>210</v>
      </c>
      <c r="H1841" s="12"/>
      <c r="I1841" s="11"/>
      <c r="J1841" s="10"/>
      <c r="K1841" s="10">
        <f>+I1841*J1841</f>
        <v>0</v>
      </c>
      <c r="L1841" s="12"/>
      <c r="M1841" s="11"/>
      <c r="N1841" s="10"/>
      <c r="O1841" s="10">
        <f>+M1841*N1841</f>
        <v>0</v>
      </c>
      <c r="P1841" s="12"/>
      <c r="Q1841" s="46"/>
    </row>
    <row r="1842" spans="1:17" ht="15.75" thickBot="1" x14ac:dyDescent="0.3">
      <c r="A1842" s="15"/>
      <c r="B1842" s="14"/>
      <c r="C1842" s="13"/>
      <c r="D1842" s="12"/>
      <c r="E1842" s="11"/>
      <c r="F1842" s="10"/>
      <c r="G1842" s="10">
        <f>+E1842*F1842</f>
        <v>0</v>
      </c>
      <c r="H1842" s="12"/>
      <c r="I1842" s="11"/>
      <c r="J1842" s="10"/>
      <c r="K1842" s="10">
        <f>+I1842*J1842</f>
        <v>0</v>
      </c>
      <c r="L1842" s="12"/>
      <c r="M1842" s="11"/>
      <c r="N1842" s="10"/>
      <c r="O1842" s="10">
        <f>+M1842*N1842</f>
        <v>0</v>
      </c>
      <c r="P1842" s="12"/>
      <c r="Q1842" s="46"/>
    </row>
    <row r="1843" spans="1:17" ht="16.5" thickBot="1" x14ac:dyDescent="0.3">
      <c r="A1843" s="62" t="s">
        <v>2</v>
      </c>
      <c r="B1843" s="63"/>
      <c r="C1843" s="63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6"/>
      <c r="P1843" s="17"/>
      <c r="Q1843" s="46"/>
    </row>
    <row r="1844" spans="1:17" x14ac:dyDescent="0.25">
      <c r="A1844" s="15"/>
      <c r="B1844" s="14"/>
      <c r="C1844" s="13"/>
      <c r="D1844" s="12"/>
      <c r="E1844" s="11"/>
      <c r="F1844" s="10"/>
      <c r="G1844" s="10">
        <f>+E1844*F1844</f>
        <v>0</v>
      </c>
      <c r="H1844" s="12"/>
      <c r="I1844" s="11"/>
      <c r="J1844" s="10"/>
      <c r="K1844" s="10">
        <f>+I1844*J1844</f>
        <v>0</v>
      </c>
      <c r="L1844" s="12"/>
      <c r="M1844" s="11"/>
      <c r="N1844" s="10"/>
      <c r="O1844" s="10">
        <f>+M1844*N1844</f>
        <v>0</v>
      </c>
      <c r="P1844" s="12"/>
      <c r="Q1844" s="46"/>
    </row>
    <row r="1845" spans="1:17" x14ac:dyDescent="0.25">
      <c r="A1845" s="15"/>
      <c r="B1845" s="14"/>
      <c r="C1845" s="13"/>
      <c r="D1845" s="12"/>
      <c r="E1845" s="11"/>
      <c r="F1845" s="10"/>
      <c r="G1845" s="10">
        <f>+E1845*F1845</f>
        <v>0</v>
      </c>
      <c r="H1845" s="12"/>
      <c r="I1845" s="11"/>
      <c r="J1845" s="10"/>
      <c r="K1845" s="10">
        <f>+I1845*J1845</f>
        <v>0</v>
      </c>
      <c r="L1845" s="12"/>
      <c r="M1845" s="11"/>
      <c r="N1845" s="10"/>
      <c r="O1845" s="10">
        <f>+M1845*N1845</f>
        <v>0</v>
      </c>
      <c r="P1845" s="12"/>
      <c r="Q1845" s="46"/>
    </row>
    <row r="1846" spans="1:17" ht="15.75" thickBot="1" x14ac:dyDescent="0.3">
      <c r="Q1846" s="46"/>
    </row>
    <row r="1847" spans="1:17" ht="21" thickBot="1" x14ac:dyDescent="0.3">
      <c r="A1847" s="64" t="s">
        <v>1</v>
      </c>
      <c r="B1847" s="65"/>
      <c r="C1847" s="66"/>
      <c r="D1847" s="5"/>
      <c r="E1847" s="9"/>
      <c r="F1847" s="8"/>
      <c r="G1847" s="7">
        <f>SUM(G1837:G1846)</f>
        <v>210</v>
      </c>
      <c r="H1847" s="5"/>
      <c r="I1847" s="9"/>
      <c r="J1847" s="8"/>
      <c r="K1847" s="7">
        <f>SUM(K1835:K1845)</f>
        <v>0</v>
      </c>
      <c r="L1847" s="5"/>
      <c r="M1847" s="9"/>
      <c r="N1847" s="8"/>
      <c r="O1847" s="7">
        <f>SUM(O1835:O1845)</f>
        <v>0</v>
      </c>
      <c r="P1847" s="5"/>
      <c r="Q1847" s="46"/>
    </row>
    <row r="1848" spans="1:17" ht="21" thickBot="1" x14ac:dyDescent="0.3">
      <c r="A1848" s="60" t="s">
        <v>0</v>
      </c>
      <c r="B1848" s="61"/>
      <c r="C1848" s="61"/>
      <c r="D1848" s="5"/>
      <c r="E1848" s="4"/>
      <c r="F1848" s="3"/>
      <c r="G1848" s="6">
        <f>+G1847/E1841</f>
        <v>35</v>
      </c>
      <c r="H1848" s="5"/>
      <c r="I1848" s="4"/>
      <c r="J1848" s="3"/>
      <c r="K1848" s="6" t="e">
        <f>+K1847/I1841</f>
        <v>#DIV/0!</v>
      </c>
      <c r="L1848" s="5"/>
      <c r="M1848" s="4"/>
      <c r="N1848" s="3"/>
      <c r="O1848" s="6" t="e">
        <f>+O1847/M1841</f>
        <v>#DIV/0!</v>
      </c>
      <c r="P1848" s="5"/>
      <c r="Q1848" s="46"/>
    </row>
    <row r="1849" spans="1:17" x14ac:dyDescent="0.25">
      <c r="Q1849" s="46"/>
    </row>
    <row r="1850" spans="1:17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46"/>
    </row>
    <row r="1851" spans="1:17" ht="15.75" thickBot="1" x14ac:dyDescent="0.3">
      <c r="Q1851" s="46"/>
    </row>
    <row r="1852" spans="1:17" ht="24" thickBot="1" x14ac:dyDescent="0.3">
      <c r="A1852" s="22" t="s">
        <v>83</v>
      </c>
      <c r="B1852" s="22"/>
      <c r="C1852" s="22"/>
      <c r="D1852" s="22"/>
      <c r="E1852" s="22"/>
      <c r="F1852" s="22"/>
      <c r="G1852" s="22"/>
      <c r="H1852" s="22"/>
      <c r="I1852" s="22"/>
      <c r="J1852" s="23"/>
      <c r="K1852" s="22"/>
      <c r="L1852" s="22"/>
      <c r="M1852" s="22"/>
      <c r="N1852" s="22"/>
      <c r="O1852" s="22"/>
      <c r="P1852" s="22"/>
      <c r="Q1852" s="46"/>
    </row>
    <row r="1853" spans="1:17" ht="15.75" thickBot="1" x14ac:dyDescent="0.3">
      <c r="Q1853" s="46"/>
    </row>
    <row r="1854" spans="1:17" ht="19.5" thickBot="1" x14ac:dyDescent="0.3">
      <c r="A1854" s="20" t="s">
        <v>82</v>
      </c>
      <c r="B1854" s="19" t="s">
        <v>81</v>
      </c>
      <c r="C1854" s="18" t="s">
        <v>19</v>
      </c>
      <c r="Q1854" s="46"/>
    </row>
    <row r="1855" spans="1:17" ht="15.75" thickBot="1" x14ac:dyDescent="0.3">
      <c r="Q1855" s="46"/>
    </row>
    <row r="1856" spans="1:17" ht="16.5" thickBot="1" x14ac:dyDescent="0.3">
      <c r="A1856" s="62" t="s">
        <v>11</v>
      </c>
      <c r="B1856" s="63"/>
      <c r="C1856" s="63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6"/>
      <c r="P1856" s="17"/>
      <c r="Q1856" s="46"/>
    </row>
    <row r="1857" spans="1:17" ht="15.75" thickBot="1" x14ac:dyDescent="0.3">
      <c r="A1857" s="15"/>
      <c r="B1857" s="14"/>
      <c r="C1857" s="13"/>
      <c r="D1857" s="12"/>
      <c r="E1857" s="11"/>
      <c r="F1857" s="10"/>
      <c r="G1857" s="10">
        <f>+E1857*F1857</f>
        <v>0</v>
      </c>
      <c r="H1857" s="12"/>
      <c r="I1857" s="11"/>
      <c r="J1857" s="10"/>
      <c r="K1857" s="10">
        <f>+I1857*J1857</f>
        <v>0</v>
      </c>
      <c r="L1857" s="12"/>
      <c r="M1857" s="11"/>
      <c r="N1857" s="10"/>
      <c r="O1857" s="10">
        <f>+M1857*N1857</f>
        <v>0</v>
      </c>
      <c r="P1857" s="12"/>
      <c r="Q1857" s="46"/>
    </row>
    <row r="1858" spans="1:17" ht="16.5" thickBot="1" x14ac:dyDescent="0.3">
      <c r="A1858" s="62" t="s">
        <v>5</v>
      </c>
      <c r="B1858" s="63"/>
      <c r="C1858" s="63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6"/>
      <c r="P1858" s="17"/>
      <c r="Q1858" s="46"/>
    </row>
    <row r="1859" spans="1:17" ht="18" x14ac:dyDescent="0.25">
      <c r="A1859" s="15"/>
      <c r="B1859" s="14" t="s">
        <v>80</v>
      </c>
      <c r="C1859" s="13" t="s">
        <v>13</v>
      </c>
      <c r="D1859" s="12"/>
      <c r="E1859" s="11">
        <v>292.86</v>
      </c>
      <c r="F1859" s="42">
        <v>0.7</v>
      </c>
      <c r="G1859" s="10">
        <f>+E1859*F1859</f>
        <v>205.00200000000001</v>
      </c>
      <c r="H1859" s="12"/>
      <c r="I1859" s="11">
        <v>570.24</v>
      </c>
      <c r="J1859" s="10">
        <v>0.7</v>
      </c>
      <c r="K1859" s="10">
        <f>+I1859*J1859</f>
        <v>399.16800000000001</v>
      </c>
      <c r="L1859" s="12"/>
      <c r="M1859" s="11">
        <v>2464.71</v>
      </c>
      <c r="N1859" s="10">
        <v>0.7</v>
      </c>
      <c r="O1859" s="10">
        <f>+M1859*N1859</f>
        <v>1725.297</v>
      </c>
      <c r="P1859" s="12"/>
      <c r="Q1859" s="46"/>
    </row>
    <row r="1860" spans="1:17" ht="15.75" thickBot="1" x14ac:dyDescent="0.3">
      <c r="A1860" s="15"/>
      <c r="B1860" s="14"/>
      <c r="C1860" s="13"/>
      <c r="D1860" s="12"/>
      <c r="E1860" s="11"/>
      <c r="F1860" s="10"/>
      <c r="G1860" s="10">
        <f>+E1860*F1860</f>
        <v>0</v>
      </c>
      <c r="H1860" s="12"/>
      <c r="I1860" s="11"/>
      <c r="J1860" s="10"/>
      <c r="K1860" s="10">
        <f>+I1860*J1860</f>
        <v>0</v>
      </c>
      <c r="L1860" s="12"/>
      <c r="M1860" s="11"/>
      <c r="N1860" s="10"/>
      <c r="O1860" s="10">
        <f>+M1860*N1860</f>
        <v>0</v>
      </c>
      <c r="P1860" s="12"/>
      <c r="Q1860" s="46"/>
    </row>
    <row r="1861" spans="1:17" ht="16.5" thickBot="1" x14ac:dyDescent="0.3">
      <c r="A1861" s="62" t="s">
        <v>2</v>
      </c>
      <c r="B1861" s="63"/>
      <c r="C1861" s="63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6"/>
      <c r="P1861" s="17"/>
      <c r="Q1861" s="46"/>
    </row>
    <row r="1862" spans="1:17" ht="30" x14ac:dyDescent="0.25">
      <c r="A1862" s="15"/>
      <c r="B1862" s="14" t="s">
        <v>79</v>
      </c>
      <c r="C1862" s="13" t="s">
        <v>78</v>
      </c>
      <c r="D1862" s="12"/>
      <c r="E1862" s="11">
        <v>14</v>
      </c>
      <c r="F1862" s="10">
        <v>22</v>
      </c>
      <c r="G1862" s="10">
        <f>+E1862*F1862</f>
        <v>308</v>
      </c>
      <c r="H1862" s="12"/>
      <c r="I1862" s="11">
        <v>13</v>
      </c>
      <c r="J1862" s="10">
        <v>22</v>
      </c>
      <c r="K1862" s="10">
        <f>+I1862*J1862</f>
        <v>286</v>
      </c>
      <c r="L1862" s="12"/>
      <c r="M1862" s="11">
        <v>12.5</v>
      </c>
      <c r="N1862" s="10">
        <v>22</v>
      </c>
      <c r="O1862" s="10">
        <f>+M1862*N1862</f>
        <v>275</v>
      </c>
      <c r="P1862" s="12"/>
      <c r="Q1862" s="46"/>
    </row>
    <row r="1863" spans="1:17" x14ac:dyDescent="0.25">
      <c r="A1863" s="15"/>
      <c r="B1863" s="14"/>
      <c r="C1863" s="13"/>
      <c r="D1863" s="12"/>
      <c r="E1863" s="11"/>
      <c r="F1863" s="10"/>
      <c r="G1863" s="10">
        <f>+E1863*F1863</f>
        <v>0</v>
      </c>
      <c r="H1863" s="12"/>
      <c r="I1863" s="11"/>
      <c r="J1863" s="10"/>
      <c r="K1863" s="10">
        <f>+I1863*J1863</f>
        <v>0</v>
      </c>
      <c r="L1863" s="12"/>
      <c r="M1863" s="11"/>
      <c r="N1863" s="10"/>
      <c r="O1863" s="10">
        <f>+M1863*N1863</f>
        <v>0</v>
      </c>
      <c r="P1863" s="12"/>
      <c r="Q1863" s="46"/>
    </row>
    <row r="1864" spans="1:17" ht="15.75" thickBot="1" x14ac:dyDescent="0.3">
      <c r="Q1864" s="46"/>
    </row>
    <row r="1865" spans="1:17" ht="21" thickBot="1" x14ac:dyDescent="0.3">
      <c r="A1865" s="64" t="s">
        <v>1</v>
      </c>
      <c r="B1865" s="65"/>
      <c r="C1865" s="66"/>
      <c r="D1865" s="5"/>
      <c r="E1865" s="9"/>
      <c r="F1865" s="8"/>
      <c r="G1865" s="7">
        <f>SUM(G1856:G1864)</f>
        <v>513.00199999999995</v>
      </c>
      <c r="H1865" s="5"/>
      <c r="I1865" s="9"/>
      <c r="J1865" s="8"/>
      <c r="K1865" s="7">
        <f>SUM(K1854:K1863)</f>
        <v>685.16800000000001</v>
      </c>
      <c r="L1865" s="5"/>
      <c r="M1865" s="9"/>
      <c r="N1865" s="8"/>
      <c r="O1865" s="7">
        <f>SUM(O1854:O1863)</f>
        <v>2000.297</v>
      </c>
      <c r="P1865" s="5"/>
      <c r="Q1865" s="46"/>
    </row>
    <row r="1866" spans="1:17" ht="21" thickBot="1" x14ac:dyDescent="0.3">
      <c r="A1866" s="60" t="s">
        <v>0</v>
      </c>
      <c r="B1866" s="61"/>
      <c r="C1866" s="61"/>
      <c r="D1866" s="5"/>
      <c r="E1866" s="4"/>
      <c r="F1866" s="3"/>
      <c r="G1866" s="6">
        <f>+G1865/E1859</f>
        <v>1.7516970566140815</v>
      </c>
      <c r="H1866" s="5"/>
      <c r="I1866" s="4"/>
      <c r="J1866" s="3"/>
      <c r="K1866" s="6">
        <f>+K1865/I1859</f>
        <v>1.2015432098765433</v>
      </c>
      <c r="L1866" s="5"/>
      <c r="M1866" s="4"/>
      <c r="N1866" s="3"/>
      <c r="O1866" s="6">
        <f>+O1865/M1859</f>
        <v>0.81157499259547772</v>
      </c>
      <c r="P1866" s="5"/>
      <c r="Q1866" s="46"/>
    </row>
    <row r="1867" spans="1:17" x14ac:dyDescent="0.25">
      <c r="Q1867" s="46"/>
    </row>
    <row r="1868" spans="1:17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46"/>
    </row>
    <row r="1869" spans="1:17" ht="15.75" thickBot="1" x14ac:dyDescent="0.3">
      <c r="Q1869" s="46"/>
    </row>
    <row r="1870" spans="1:17" ht="19.5" thickBot="1" x14ac:dyDescent="0.3">
      <c r="A1870" s="20" t="s">
        <v>77</v>
      </c>
      <c r="B1870" s="19" t="s">
        <v>76</v>
      </c>
      <c r="C1870" s="18" t="s">
        <v>19</v>
      </c>
      <c r="Q1870" s="46"/>
    </row>
    <row r="1871" spans="1:17" ht="15.75" thickBot="1" x14ac:dyDescent="0.3">
      <c r="Q1871" s="46"/>
    </row>
    <row r="1872" spans="1:17" ht="16.5" thickBot="1" x14ac:dyDescent="0.3">
      <c r="A1872" s="62" t="s">
        <v>11</v>
      </c>
      <c r="B1872" s="63"/>
      <c r="C1872" s="63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6"/>
      <c r="P1872" s="17"/>
      <c r="Q1872" s="46"/>
    </row>
    <row r="1873" spans="1:17" x14ac:dyDescent="0.25">
      <c r="A1873" s="15"/>
      <c r="B1873" s="14" t="s">
        <v>31</v>
      </c>
      <c r="C1873" s="13" t="s">
        <v>30</v>
      </c>
      <c r="D1873" s="12"/>
      <c r="E1873" s="11"/>
      <c r="F1873" s="10"/>
      <c r="G1873" s="10">
        <f>+E1873*F1873</f>
        <v>0</v>
      </c>
      <c r="H1873" s="12"/>
      <c r="I1873" s="11">
        <v>1.26</v>
      </c>
      <c r="J1873" s="10">
        <v>2.2999999999999998</v>
      </c>
      <c r="K1873" s="10">
        <f>+I1873*J1873</f>
        <v>2.8979999999999997</v>
      </c>
      <c r="L1873" s="12"/>
      <c r="M1873" s="11"/>
      <c r="N1873" s="10"/>
      <c r="O1873" s="10">
        <f>+M1873*N1873</f>
        <v>0</v>
      </c>
      <c r="P1873" s="12"/>
      <c r="Q1873" s="46"/>
    </row>
    <row r="1874" spans="1:17" ht="15.75" thickBot="1" x14ac:dyDescent="0.3">
      <c r="A1874" s="15"/>
      <c r="B1874" s="14"/>
      <c r="C1874" s="13"/>
      <c r="D1874" s="12"/>
      <c r="E1874" s="11"/>
      <c r="F1874" s="10"/>
      <c r="G1874" s="10">
        <f>+E1874*F1874</f>
        <v>0</v>
      </c>
      <c r="H1874" s="12"/>
      <c r="I1874" s="11"/>
      <c r="J1874" s="10"/>
      <c r="K1874" s="10">
        <f>+I1874*J1874</f>
        <v>0</v>
      </c>
      <c r="L1874" s="12"/>
      <c r="M1874" s="11"/>
      <c r="N1874" s="10"/>
      <c r="O1874" s="10">
        <f>+M1874*N1874</f>
        <v>0</v>
      </c>
      <c r="P1874" s="12"/>
      <c r="Q1874" s="46"/>
    </row>
    <row r="1875" spans="1:17" ht="16.5" thickBot="1" x14ac:dyDescent="0.3">
      <c r="A1875" s="62" t="s">
        <v>5</v>
      </c>
      <c r="B1875" s="63"/>
      <c r="C1875" s="63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6"/>
      <c r="P1875" s="17"/>
      <c r="Q1875" s="46"/>
    </row>
    <row r="1876" spans="1:17" ht="18" x14ac:dyDescent="0.25">
      <c r="A1876" s="15"/>
      <c r="B1876" s="14" t="s">
        <v>75</v>
      </c>
      <c r="C1876" s="13" t="s">
        <v>13</v>
      </c>
      <c r="D1876" s="12"/>
      <c r="E1876" s="11">
        <v>58.5</v>
      </c>
      <c r="F1876" s="42">
        <v>0.72</v>
      </c>
      <c r="G1876" s="10">
        <f>+E1876*F1876</f>
        <v>42.12</v>
      </c>
      <c r="H1876" s="12"/>
      <c r="I1876" s="11">
        <v>17.16</v>
      </c>
      <c r="J1876" s="10">
        <v>0.72</v>
      </c>
      <c r="K1876" s="10">
        <f>+I1876*J1876</f>
        <v>12.3552</v>
      </c>
      <c r="L1876" s="12"/>
      <c r="M1876" s="11"/>
      <c r="N1876" s="10"/>
      <c r="O1876" s="10">
        <f>+M1876*N1876</f>
        <v>0</v>
      </c>
      <c r="P1876" s="12"/>
      <c r="Q1876" s="46"/>
    </row>
    <row r="1877" spans="1:17" ht="15.75" thickBot="1" x14ac:dyDescent="0.3">
      <c r="A1877" s="15"/>
      <c r="B1877" s="14"/>
      <c r="C1877" s="13"/>
      <c r="D1877" s="12"/>
      <c r="E1877" s="11"/>
      <c r="F1877" s="10"/>
      <c r="G1877" s="10">
        <f>+E1877*F1877</f>
        <v>0</v>
      </c>
      <c r="H1877" s="12"/>
      <c r="I1877" s="11"/>
      <c r="J1877" s="10"/>
      <c r="K1877" s="10">
        <f>+I1877*J1877</f>
        <v>0</v>
      </c>
      <c r="L1877" s="12"/>
      <c r="M1877" s="11"/>
      <c r="N1877" s="10"/>
      <c r="O1877" s="10">
        <f>+M1877*N1877</f>
        <v>0</v>
      </c>
      <c r="P1877" s="12"/>
      <c r="Q1877" s="46"/>
    </row>
    <row r="1878" spans="1:17" ht="16.5" thickBot="1" x14ac:dyDescent="0.3">
      <c r="A1878" s="62" t="s">
        <v>2</v>
      </c>
      <c r="B1878" s="63"/>
      <c r="C1878" s="63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6"/>
      <c r="P1878" s="17"/>
      <c r="Q1878" s="46"/>
    </row>
    <row r="1879" spans="1:17" x14ac:dyDescent="0.25">
      <c r="A1879" s="15"/>
      <c r="B1879" s="14"/>
      <c r="C1879" s="13"/>
      <c r="D1879" s="12"/>
      <c r="E1879" s="11"/>
      <c r="F1879" s="10"/>
      <c r="G1879" s="10">
        <f>+E1879*F1879</f>
        <v>0</v>
      </c>
      <c r="H1879" s="12"/>
      <c r="I1879" s="11"/>
      <c r="J1879" s="10"/>
      <c r="K1879" s="10">
        <f>+I1879*J1879</f>
        <v>0</v>
      </c>
      <c r="L1879" s="12"/>
      <c r="M1879" s="11"/>
      <c r="N1879" s="10"/>
      <c r="O1879" s="10">
        <f>+M1879*N1879</f>
        <v>0</v>
      </c>
      <c r="P1879" s="12"/>
      <c r="Q1879" s="46"/>
    </row>
    <row r="1880" spans="1:17" ht="15.75" thickBot="1" x14ac:dyDescent="0.3">
      <c r="Q1880" s="46"/>
    </row>
    <row r="1881" spans="1:17" ht="21" thickBot="1" x14ac:dyDescent="0.3">
      <c r="A1881" s="64" t="s">
        <v>1</v>
      </c>
      <c r="B1881" s="65"/>
      <c r="C1881" s="66"/>
      <c r="D1881" s="5"/>
      <c r="E1881" s="9"/>
      <c r="F1881" s="8"/>
      <c r="G1881" s="7">
        <f>SUM(G1872:G1880)</f>
        <v>42.12</v>
      </c>
      <c r="H1881" s="5"/>
      <c r="I1881" s="9"/>
      <c r="J1881" s="8"/>
      <c r="K1881" s="7">
        <f>SUM(K1870:K1879)</f>
        <v>15.2532</v>
      </c>
      <c r="L1881" s="5"/>
      <c r="M1881" s="9"/>
      <c r="N1881" s="8"/>
      <c r="O1881" s="7">
        <f>SUM(O1870:O1879)</f>
        <v>0</v>
      </c>
      <c r="P1881" s="5"/>
      <c r="Q1881" s="46"/>
    </row>
    <row r="1882" spans="1:17" ht="21" thickBot="1" x14ac:dyDescent="0.3">
      <c r="A1882" s="60" t="s">
        <v>0</v>
      </c>
      <c r="B1882" s="61"/>
      <c r="C1882" s="61"/>
      <c r="D1882" s="5"/>
      <c r="E1882" s="4"/>
      <c r="F1882" s="3"/>
      <c r="G1882" s="6">
        <f>+G1881/E1876</f>
        <v>0.72</v>
      </c>
      <c r="H1882" s="5"/>
      <c r="I1882" s="4"/>
      <c r="J1882" s="3"/>
      <c r="K1882" s="6">
        <f>+K1881/I1876</f>
        <v>0.88888111888111887</v>
      </c>
      <c r="L1882" s="5"/>
      <c r="M1882" s="4"/>
      <c r="N1882" s="3"/>
      <c r="O1882" s="2" t="e">
        <f>+O1881/M1876</f>
        <v>#DIV/0!</v>
      </c>
      <c r="P1882" s="5"/>
      <c r="Q1882" s="46"/>
    </row>
    <row r="1883" spans="1:17" x14ac:dyDescent="0.25">
      <c r="Q1883" s="46"/>
    </row>
    <row r="1884" spans="1:17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46"/>
    </row>
    <row r="1885" spans="1:17" ht="15.75" thickBot="1" x14ac:dyDescent="0.3">
      <c r="Q1885" s="46"/>
    </row>
    <row r="1886" spans="1:17" ht="19.5" thickBot="1" x14ac:dyDescent="0.3">
      <c r="A1886" s="20" t="s">
        <v>74</v>
      </c>
      <c r="B1886" s="19" t="s">
        <v>73</v>
      </c>
      <c r="C1886" s="18" t="s">
        <v>19</v>
      </c>
      <c r="Q1886" s="46"/>
    </row>
    <row r="1887" spans="1:17" ht="15.75" thickBot="1" x14ac:dyDescent="0.3">
      <c r="Q1887" s="46"/>
    </row>
    <row r="1888" spans="1:17" ht="16.5" thickBot="1" x14ac:dyDescent="0.3">
      <c r="A1888" s="62" t="s">
        <v>11</v>
      </c>
      <c r="B1888" s="63"/>
      <c r="C1888" s="63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6"/>
      <c r="P1888" s="17"/>
      <c r="Q1888" s="46"/>
    </row>
    <row r="1889" spans="1:17" ht="30" x14ac:dyDescent="0.25">
      <c r="A1889" s="15"/>
      <c r="B1889" s="14" t="s">
        <v>9</v>
      </c>
      <c r="C1889" s="13" t="s">
        <v>8</v>
      </c>
      <c r="D1889" s="12"/>
      <c r="E1889" s="11"/>
      <c r="F1889" s="10"/>
      <c r="G1889" s="10">
        <f t="shared" ref="G1889:G1894" si="104">+E1889*F1889</f>
        <v>0</v>
      </c>
      <c r="H1889" s="12"/>
      <c r="I1889" s="11">
        <v>8</v>
      </c>
      <c r="J1889" s="10">
        <v>6.73</v>
      </c>
      <c r="K1889" s="10">
        <f t="shared" ref="K1889:K1894" si="105">+I1889*J1889</f>
        <v>53.84</v>
      </c>
      <c r="L1889" s="12"/>
      <c r="M1889" s="11"/>
      <c r="N1889" s="10"/>
      <c r="O1889" s="10">
        <f t="shared" ref="O1889:O1894" si="106">+M1889*N1889</f>
        <v>0</v>
      </c>
      <c r="P1889" s="12"/>
      <c r="Q1889" s="46"/>
    </row>
    <row r="1890" spans="1:17" x14ac:dyDescent="0.25">
      <c r="A1890" s="15"/>
      <c r="B1890" s="14" t="s">
        <v>469</v>
      </c>
      <c r="C1890" s="13" t="s">
        <v>15</v>
      </c>
      <c r="D1890" s="12"/>
      <c r="E1890" s="11"/>
      <c r="F1890" s="10"/>
      <c r="G1890" s="10">
        <f t="shared" si="104"/>
        <v>0</v>
      </c>
      <c r="H1890" s="12"/>
      <c r="I1890" s="11"/>
      <c r="J1890" s="10"/>
      <c r="K1890" s="10">
        <f t="shared" si="105"/>
        <v>0</v>
      </c>
      <c r="L1890" s="12"/>
      <c r="M1890" s="11">
        <v>50</v>
      </c>
      <c r="N1890" s="10">
        <v>0.3</v>
      </c>
      <c r="O1890" s="10">
        <f t="shared" si="106"/>
        <v>15</v>
      </c>
      <c r="P1890" s="12"/>
      <c r="Q1890" s="46"/>
    </row>
    <row r="1891" spans="1:17" x14ac:dyDescent="0.25">
      <c r="A1891" s="15"/>
      <c r="B1891" s="14" t="s">
        <v>22</v>
      </c>
      <c r="C1891" s="13" t="s">
        <v>6</v>
      </c>
      <c r="D1891" s="12"/>
      <c r="E1891" s="11"/>
      <c r="F1891" s="10"/>
      <c r="G1891" s="10">
        <f t="shared" si="104"/>
        <v>0</v>
      </c>
      <c r="H1891" s="12"/>
      <c r="I1891" s="11"/>
      <c r="J1891" s="10"/>
      <c r="K1891" s="10">
        <f t="shared" si="105"/>
        <v>0</v>
      </c>
      <c r="L1891" s="12"/>
      <c r="M1891" s="11">
        <v>2</v>
      </c>
      <c r="N1891" s="10">
        <v>12.28</v>
      </c>
      <c r="O1891" s="10">
        <f t="shared" si="106"/>
        <v>24.56</v>
      </c>
      <c r="P1891" s="12"/>
      <c r="Q1891" s="46"/>
    </row>
    <row r="1892" spans="1:17" x14ac:dyDescent="0.25">
      <c r="A1892" s="15"/>
      <c r="B1892" s="14" t="s">
        <v>7</v>
      </c>
      <c r="C1892" s="13" t="s">
        <v>6</v>
      </c>
      <c r="D1892" s="12"/>
      <c r="E1892" s="11"/>
      <c r="F1892" s="10"/>
      <c r="G1892" s="10">
        <f t="shared" si="104"/>
        <v>0</v>
      </c>
      <c r="H1892" s="12"/>
      <c r="I1892" s="11">
        <v>0.64</v>
      </c>
      <c r="J1892" s="10">
        <v>16.48</v>
      </c>
      <c r="K1892" s="10">
        <f t="shared" si="105"/>
        <v>10.5472</v>
      </c>
      <c r="L1892" s="12"/>
      <c r="M1892" s="11"/>
      <c r="N1892" s="10"/>
      <c r="O1892" s="10">
        <f t="shared" si="106"/>
        <v>0</v>
      </c>
      <c r="P1892" s="12"/>
      <c r="Q1892" s="46"/>
    </row>
    <row r="1893" spans="1:17" ht="30" x14ac:dyDescent="0.25">
      <c r="A1893" s="15"/>
      <c r="B1893" s="14" t="s">
        <v>72</v>
      </c>
      <c r="C1893" s="13" t="s">
        <v>71</v>
      </c>
      <c r="D1893" s="12"/>
      <c r="E1893" s="11"/>
      <c r="F1893" s="10"/>
      <c r="G1893" s="10">
        <f t="shared" si="104"/>
        <v>0</v>
      </c>
      <c r="H1893" s="12"/>
      <c r="I1893" s="11">
        <v>2</v>
      </c>
      <c r="J1893" s="10">
        <v>16.260000000000002</v>
      </c>
      <c r="K1893" s="10">
        <f t="shared" si="105"/>
        <v>32.520000000000003</v>
      </c>
      <c r="L1893" s="12"/>
      <c r="M1893" s="11"/>
      <c r="N1893" s="10"/>
      <c r="O1893" s="10">
        <f t="shared" si="106"/>
        <v>0</v>
      </c>
      <c r="P1893" s="12"/>
      <c r="Q1893" s="46"/>
    </row>
    <row r="1894" spans="1:17" ht="15.75" thickBot="1" x14ac:dyDescent="0.3">
      <c r="A1894" s="15"/>
      <c r="B1894" s="14"/>
      <c r="C1894" s="13"/>
      <c r="D1894" s="12"/>
      <c r="E1894" s="11"/>
      <c r="F1894" s="10"/>
      <c r="G1894" s="10">
        <f t="shared" si="104"/>
        <v>0</v>
      </c>
      <c r="H1894" s="12"/>
      <c r="I1894" s="11"/>
      <c r="J1894" s="10"/>
      <c r="K1894" s="10">
        <f t="shared" si="105"/>
        <v>0</v>
      </c>
      <c r="L1894" s="12"/>
      <c r="M1894" s="11"/>
      <c r="N1894" s="10"/>
      <c r="O1894" s="10">
        <f t="shared" si="106"/>
        <v>0</v>
      </c>
      <c r="P1894" s="12"/>
      <c r="Q1894" s="46"/>
    </row>
    <row r="1895" spans="1:17" ht="16.5" thickBot="1" x14ac:dyDescent="0.3">
      <c r="A1895" s="62" t="s">
        <v>5</v>
      </c>
      <c r="B1895" s="63"/>
      <c r="C1895" s="63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6"/>
      <c r="P1895" s="17"/>
      <c r="Q1895" s="46"/>
    </row>
    <row r="1896" spans="1:17" ht="18" x14ac:dyDescent="0.25">
      <c r="A1896" s="15"/>
      <c r="B1896" s="14" t="s">
        <v>70</v>
      </c>
      <c r="C1896" s="13" t="s">
        <v>13</v>
      </c>
      <c r="D1896" s="12"/>
      <c r="E1896" s="11">
        <v>58.5</v>
      </c>
      <c r="F1896" s="42">
        <v>0.7</v>
      </c>
      <c r="G1896" s="10">
        <f>+E1896*F1896</f>
        <v>40.949999999999996</v>
      </c>
      <c r="H1896" s="12"/>
      <c r="I1896" s="11">
        <v>17.16</v>
      </c>
      <c r="J1896" s="10">
        <v>0.7</v>
      </c>
      <c r="K1896" s="10">
        <f>+I1896*J1896</f>
        <v>12.011999999999999</v>
      </c>
      <c r="L1896" s="12"/>
      <c r="M1896" s="11">
        <v>62.4</v>
      </c>
      <c r="N1896" s="10">
        <v>0.7</v>
      </c>
      <c r="O1896" s="10">
        <f>+M1896*N1896</f>
        <v>43.68</v>
      </c>
      <c r="P1896" s="12"/>
      <c r="Q1896" s="46"/>
    </row>
    <row r="1897" spans="1:17" ht="15.75" thickBot="1" x14ac:dyDescent="0.3">
      <c r="A1897" s="15"/>
      <c r="B1897" s="14"/>
      <c r="C1897" s="13"/>
      <c r="D1897" s="12"/>
      <c r="E1897" s="11"/>
      <c r="F1897" s="10"/>
      <c r="G1897" s="10">
        <f>+E1897*F1897</f>
        <v>0</v>
      </c>
      <c r="H1897" s="12"/>
      <c r="I1897" s="11"/>
      <c r="J1897" s="10"/>
      <c r="K1897" s="10">
        <f>+I1897*J1897</f>
        <v>0</v>
      </c>
      <c r="L1897" s="12"/>
      <c r="M1897" s="11"/>
      <c r="N1897" s="10"/>
      <c r="O1897" s="10">
        <f>+M1897*N1897</f>
        <v>0</v>
      </c>
      <c r="P1897" s="12"/>
      <c r="Q1897" s="46"/>
    </row>
    <row r="1898" spans="1:17" ht="16.5" thickBot="1" x14ac:dyDescent="0.3">
      <c r="A1898" s="62" t="s">
        <v>2</v>
      </c>
      <c r="B1898" s="63"/>
      <c r="C1898" s="63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6"/>
      <c r="P1898" s="17"/>
      <c r="Q1898" s="46"/>
    </row>
    <row r="1899" spans="1:17" x14ac:dyDescent="0.25">
      <c r="A1899" s="15"/>
      <c r="B1899" s="14"/>
      <c r="C1899" s="13"/>
      <c r="D1899" s="12"/>
      <c r="E1899" s="11"/>
      <c r="F1899" s="10"/>
      <c r="G1899" s="10">
        <f>+E1899*F1899</f>
        <v>0</v>
      </c>
      <c r="H1899" s="12"/>
      <c r="I1899" s="11"/>
      <c r="J1899" s="10"/>
      <c r="K1899" s="10">
        <f>+I1899*J1899</f>
        <v>0</v>
      </c>
      <c r="L1899" s="12"/>
      <c r="M1899" s="11"/>
      <c r="N1899" s="10"/>
      <c r="O1899" s="10">
        <f>+M1899*N1899</f>
        <v>0</v>
      </c>
      <c r="P1899" s="12"/>
      <c r="Q1899" s="46"/>
    </row>
    <row r="1900" spans="1:17" ht="15.75" thickBot="1" x14ac:dyDescent="0.3">
      <c r="Q1900" s="46"/>
    </row>
    <row r="1901" spans="1:17" ht="21" thickBot="1" x14ac:dyDescent="0.3">
      <c r="A1901" s="64" t="s">
        <v>1</v>
      </c>
      <c r="B1901" s="65"/>
      <c r="C1901" s="66"/>
      <c r="D1901" s="5"/>
      <c r="E1901" s="9"/>
      <c r="F1901" s="8"/>
      <c r="G1901" s="7">
        <f>SUM(G1888:G1900)</f>
        <v>40.949999999999996</v>
      </c>
      <c r="H1901" s="5"/>
      <c r="I1901" s="9"/>
      <c r="J1901" s="8"/>
      <c r="K1901" s="7">
        <f>SUM(K1886:K1899)</f>
        <v>108.91920000000002</v>
      </c>
      <c r="L1901" s="5"/>
      <c r="M1901" s="9"/>
      <c r="N1901" s="8"/>
      <c r="O1901" s="7">
        <f>SUM(O1886:O1899)</f>
        <v>83.240000000000009</v>
      </c>
      <c r="P1901" s="5"/>
      <c r="Q1901" s="46"/>
    </row>
    <row r="1902" spans="1:17" ht="21" thickBot="1" x14ac:dyDescent="0.3">
      <c r="A1902" s="60" t="s">
        <v>0</v>
      </c>
      <c r="B1902" s="61"/>
      <c r="C1902" s="61"/>
      <c r="D1902" s="5"/>
      <c r="E1902" s="4"/>
      <c r="F1902" s="3"/>
      <c r="G1902" s="6">
        <f>+G1901/E1896</f>
        <v>0.7</v>
      </c>
      <c r="H1902" s="5"/>
      <c r="I1902" s="4"/>
      <c r="J1902" s="3"/>
      <c r="K1902" s="6">
        <f>+K1901/I1896</f>
        <v>6.3472727272727285</v>
      </c>
      <c r="L1902" s="5"/>
      <c r="M1902" s="4"/>
      <c r="N1902" s="3"/>
      <c r="O1902" s="6">
        <f>+O1901/M1896</f>
        <v>1.3339743589743591</v>
      </c>
      <c r="P1902" s="5"/>
      <c r="Q1902" s="46"/>
    </row>
    <row r="1903" spans="1:17" x14ac:dyDescent="0.25">
      <c r="Q1903" s="46"/>
    </row>
    <row r="1904" spans="1:17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46"/>
    </row>
    <row r="1905" spans="1:17" ht="15.75" thickBot="1" x14ac:dyDescent="0.3">
      <c r="Q1905" s="46"/>
    </row>
    <row r="1906" spans="1:17" ht="19.5" thickBot="1" x14ac:dyDescent="0.3">
      <c r="A1906" s="20" t="s">
        <v>69</v>
      </c>
      <c r="B1906" s="19" t="s">
        <v>516</v>
      </c>
      <c r="C1906" s="18" t="s">
        <v>19</v>
      </c>
      <c r="Q1906" s="46"/>
    </row>
    <row r="1907" spans="1:17" ht="15.75" thickBot="1" x14ac:dyDescent="0.3">
      <c r="Q1907" s="46"/>
    </row>
    <row r="1908" spans="1:17" ht="16.5" thickBot="1" x14ac:dyDescent="0.3">
      <c r="A1908" s="62" t="s">
        <v>11</v>
      </c>
      <c r="B1908" s="63"/>
      <c r="C1908" s="63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6"/>
      <c r="P1908" s="17"/>
      <c r="Q1908" s="46"/>
    </row>
    <row r="1909" spans="1:17" x14ac:dyDescent="0.25">
      <c r="A1909" s="15"/>
      <c r="B1909" s="14" t="s">
        <v>551</v>
      </c>
      <c r="C1909" s="13" t="s">
        <v>15</v>
      </c>
      <c r="D1909" s="12"/>
      <c r="E1909" s="11"/>
      <c r="F1909" s="10"/>
      <c r="G1909" s="10">
        <f>+E1909*F1909</f>
        <v>0</v>
      </c>
      <c r="H1909" s="12"/>
      <c r="I1909" s="11"/>
      <c r="J1909" s="10"/>
      <c r="K1909" s="10">
        <f>+I1909*J1909</f>
        <v>0</v>
      </c>
      <c r="L1909" s="12"/>
      <c r="M1909" s="11">
        <v>8</v>
      </c>
      <c r="N1909" s="10">
        <v>1.13375</v>
      </c>
      <c r="O1909" s="10">
        <f>+M1909*N1909</f>
        <v>9.07</v>
      </c>
      <c r="P1909" s="12"/>
      <c r="Q1909" s="46"/>
    </row>
    <row r="1910" spans="1:17" x14ac:dyDescent="0.25">
      <c r="A1910" s="15"/>
      <c r="B1910" s="14" t="s">
        <v>571</v>
      </c>
      <c r="C1910" s="13" t="s">
        <v>15</v>
      </c>
      <c r="D1910" s="12"/>
      <c r="E1910" s="11"/>
      <c r="F1910" s="10"/>
      <c r="G1910" s="10">
        <f t="shared" ref="G1910:G1920" si="107">+E1910*F1910</f>
        <v>0</v>
      </c>
      <c r="H1910" s="12"/>
      <c r="I1910" s="11"/>
      <c r="J1910" s="10"/>
      <c r="K1910" s="10">
        <f t="shared" ref="K1910:K1920" si="108">+I1910*J1910</f>
        <v>0</v>
      </c>
      <c r="L1910" s="12"/>
      <c r="M1910" s="11">
        <v>10</v>
      </c>
      <c r="N1910" s="10">
        <v>1.1339999999999999</v>
      </c>
      <c r="O1910" s="10">
        <f t="shared" ref="O1910:O1920" si="109">+M1910*N1910</f>
        <v>11.34</v>
      </c>
      <c r="P1910" s="12"/>
      <c r="Q1910" s="46"/>
    </row>
    <row r="1911" spans="1:17" ht="30" x14ac:dyDescent="0.25">
      <c r="A1911" s="15"/>
      <c r="B1911" s="14" t="s">
        <v>9</v>
      </c>
      <c r="C1911" s="13" t="s">
        <v>8</v>
      </c>
      <c r="D1911" s="12"/>
      <c r="E1911" s="11"/>
      <c r="F1911" s="10"/>
      <c r="G1911" s="10">
        <f t="shared" si="107"/>
        <v>0</v>
      </c>
      <c r="H1911" s="12"/>
      <c r="I1911" s="11"/>
      <c r="J1911" s="10"/>
      <c r="K1911" s="10">
        <f t="shared" si="108"/>
        <v>0</v>
      </c>
      <c r="L1911" s="12"/>
      <c r="M1911" s="11">
        <v>62</v>
      </c>
      <c r="N1911" s="10">
        <v>6.7643548387096777</v>
      </c>
      <c r="O1911" s="10">
        <f t="shared" si="109"/>
        <v>419.39000000000004</v>
      </c>
      <c r="P1911" s="12"/>
      <c r="Q1911" s="46"/>
    </row>
    <row r="1912" spans="1:17" x14ac:dyDescent="0.25">
      <c r="A1912" s="15"/>
      <c r="B1912" s="14" t="s">
        <v>345</v>
      </c>
      <c r="C1912" s="13" t="s">
        <v>15</v>
      </c>
      <c r="D1912" s="12"/>
      <c r="E1912" s="11"/>
      <c r="F1912" s="10"/>
      <c r="G1912" s="10">
        <f t="shared" si="107"/>
        <v>0</v>
      </c>
      <c r="H1912" s="12"/>
      <c r="I1912" s="11"/>
      <c r="J1912" s="10"/>
      <c r="K1912" s="10">
        <f t="shared" si="108"/>
        <v>0</v>
      </c>
      <c r="L1912" s="12"/>
      <c r="M1912" s="11">
        <v>20</v>
      </c>
      <c r="N1912" s="10">
        <v>2.15</v>
      </c>
      <c r="O1912" s="10">
        <f t="shared" si="109"/>
        <v>43</v>
      </c>
      <c r="P1912" s="12"/>
      <c r="Q1912" s="46"/>
    </row>
    <row r="1913" spans="1:17" ht="30" x14ac:dyDescent="0.25">
      <c r="A1913" s="15"/>
      <c r="B1913" s="14" t="s">
        <v>363</v>
      </c>
      <c r="C1913" s="13" t="s">
        <v>15</v>
      </c>
      <c r="D1913" s="12"/>
      <c r="E1913" s="11"/>
      <c r="F1913" s="10"/>
      <c r="G1913" s="10">
        <f t="shared" si="107"/>
        <v>0</v>
      </c>
      <c r="H1913" s="12"/>
      <c r="I1913" s="11"/>
      <c r="J1913" s="10"/>
      <c r="K1913" s="10">
        <f t="shared" si="108"/>
        <v>0</v>
      </c>
      <c r="L1913" s="12"/>
      <c r="M1913" s="11">
        <v>2</v>
      </c>
      <c r="N1913" s="10">
        <v>4.8150000000000004</v>
      </c>
      <c r="O1913" s="10">
        <f t="shared" si="109"/>
        <v>9.6300000000000008</v>
      </c>
      <c r="P1913" s="12"/>
      <c r="Q1913" s="46"/>
    </row>
    <row r="1914" spans="1:17" ht="30" x14ac:dyDescent="0.25">
      <c r="A1914" s="15"/>
      <c r="B1914" s="14" t="s">
        <v>407</v>
      </c>
      <c r="C1914" s="13" t="s">
        <v>15</v>
      </c>
      <c r="D1914" s="12"/>
      <c r="E1914" s="11"/>
      <c r="F1914" s="10"/>
      <c r="G1914" s="10">
        <f t="shared" si="107"/>
        <v>0</v>
      </c>
      <c r="H1914" s="12"/>
      <c r="I1914" s="11"/>
      <c r="J1914" s="10"/>
      <c r="K1914" s="10">
        <f t="shared" si="108"/>
        <v>0</v>
      </c>
      <c r="L1914" s="12"/>
      <c r="M1914" s="11">
        <v>1</v>
      </c>
      <c r="N1914" s="10">
        <v>2.27</v>
      </c>
      <c r="O1914" s="10">
        <f t="shared" si="109"/>
        <v>2.27</v>
      </c>
      <c r="P1914" s="12"/>
      <c r="Q1914" s="46"/>
    </row>
    <row r="1915" spans="1:17" x14ac:dyDescent="0.25">
      <c r="A1915" s="15"/>
      <c r="B1915" s="14" t="s">
        <v>22</v>
      </c>
      <c r="C1915" s="13" t="s">
        <v>6</v>
      </c>
      <c r="D1915" s="12"/>
      <c r="E1915" s="11"/>
      <c r="F1915" s="10"/>
      <c r="G1915" s="10">
        <f t="shared" si="107"/>
        <v>0</v>
      </c>
      <c r="H1915" s="12"/>
      <c r="I1915" s="11"/>
      <c r="J1915" s="10"/>
      <c r="K1915" s="10">
        <f t="shared" si="108"/>
        <v>0</v>
      </c>
      <c r="L1915" s="12"/>
      <c r="M1915" s="11">
        <v>2</v>
      </c>
      <c r="N1915" s="10">
        <v>12.855</v>
      </c>
      <c r="O1915" s="10">
        <f t="shared" si="109"/>
        <v>25.71</v>
      </c>
      <c r="P1915" s="12"/>
      <c r="Q1915" s="46"/>
    </row>
    <row r="1916" spans="1:17" x14ac:dyDescent="0.25">
      <c r="A1916" s="15"/>
      <c r="B1916" s="14" t="s">
        <v>573</v>
      </c>
      <c r="C1916" s="13" t="s">
        <v>15</v>
      </c>
      <c r="D1916" s="12"/>
      <c r="E1916" s="11"/>
      <c r="F1916" s="10"/>
      <c r="G1916" s="10">
        <f t="shared" si="107"/>
        <v>0</v>
      </c>
      <c r="H1916" s="12"/>
      <c r="I1916" s="11"/>
      <c r="J1916" s="10"/>
      <c r="K1916" s="10">
        <f t="shared" si="108"/>
        <v>0</v>
      </c>
      <c r="L1916" s="12"/>
      <c r="M1916" s="11">
        <v>1</v>
      </c>
      <c r="N1916" s="10">
        <v>9.82</v>
      </c>
      <c r="O1916" s="10">
        <f t="shared" si="109"/>
        <v>9.82</v>
      </c>
      <c r="P1916" s="12"/>
      <c r="Q1916" s="46"/>
    </row>
    <row r="1917" spans="1:17" x14ac:dyDescent="0.25">
      <c r="A1917" s="15"/>
      <c r="B1917" s="14" t="s">
        <v>7</v>
      </c>
      <c r="C1917" s="13" t="s">
        <v>6</v>
      </c>
      <c r="D1917" s="12"/>
      <c r="E1917" s="11"/>
      <c r="F1917" s="10"/>
      <c r="G1917" s="10">
        <f t="shared" si="107"/>
        <v>0</v>
      </c>
      <c r="H1917" s="12"/>
      <c r="I1917" s="11"/>
      <c r="J1917" s="10"/>
      <c r="K1917" s="10">
        <f t="shared" si="108"/>
        <v>0</v>
      </c>
      <c r="L1917" s="12"/>
      <c r="M1917" s="11">
        <v>8.64</v>
      </c>
      <c r="N1917" s="10">
        <v>16.861111111111114</v>
      </c>
      <c r="O1917" s="10">
        <f t="shared" si="109"/>
        <v>145.68000000000004</v>
      </c>
      <c r="P1917" s="12"/>
      <c r="Q1917" s="46"/>
    </row>
    <row r="1918" spans="1:17" x14ac:dyDescent="0.25">
      <c r="A1918" s="15"/>
      <c r="B1918" s="14" t="s">
        <v>212</v>
      </c>
      <c r="C1918" s="13" t="s">
        <v>6</v>
      </c>
      <c r="D1918" s="12"/>
      <c r="E1918" s="11"/>
      <c r="F1918" s="10"/>
      <c r="G1918" s="10">
        <f t="shared" si="107"/>
        <v>0</v>
      </c>
      <c r="H1918" s="12"/>
      <c r="I1918" s="11"/>
      <c r="J1918" s="10"/>
      <c r="K1918" s="10">
        <f t="shared" si="108"/>
        <v>0</v>
      </c>
      <c r="L1918" s="12"/>
      <c r="M1918" s="11">
        <v>3.48</v>
      </c>
      <c r="N1918" s="10">
        <v>20.109195402298852</v>
      </c>
      <c r="O1918" s="10">
        <f t="shared" si="109"/>
        <v>69.98</v>
      </c>
      <c r="P1918" s="12"/>
      <c r="Q1918" s="46"/>
    </row>
    <row r="1919" spans="1:17" x14ac:dyDescent="0.25">
      <c r="A1919" s="15"/>
      <c r="B1919" s="14" t="s">
        <v>53</v>
      </c>
      <c r="C1919" s="13" t="s">
        <v>15</v>
      </c>
      <c r="D1919" s="12"/>
      <c r="E1919" s="11"/>
      <c r="F1919" s="10"/>
      <c r="G1919" s="10">
        <f t="shared" si="107"/>
        <v>0</v>
      </c>
      <c r="H1919" s="12"/>
      <c r="I1919" s="11"/>
      <c r="J1919" s="10"/>
      <c r="K1919" s="10">
        <f t="shared" si="108"/>
        <v>0</v>
      </c>
      <c r="L1919" s="12"/>
      <c r="M1919" s="11">
        <v>45</v>
      </c>
      <c r="N1919" s="10">
        <v>2.3866666666666667</v>
      </c>
      <c r="O1919" s="10">
        <f t="shared" si="109"/>
        <v>107.4</v>
      </c>
      <c r="P1919" s="12"/>
      <c r="Q1919" s="46"/>
    </row>
    <row r="1920" spans="1:17" ht="30" x14ac:dyDescent="0.25">
      <c r="A1920" s="15"/>
      <c r="B1920" s="14" t="s">
        <v>574</v>
      </c>
      <c r="C1920" s="13" t="s">
        <v>15</v>
      </c>
      <c r="D1920" s="12"/>
      <c r="E1920" s="11"/>
      <c r="F1920" s="10"/>
      <c r="G1920" s="10">
        <f t="shared" si="107"/>
        <v>0</v>
      </c>
      <c r="H1920" s="12"/>
      <c r="I1920" s="11"/>
      <c r="J1920" s="10"/>
      <c r="K1920" s="10">
        <f t="shared" si="108"/>
        <v>0</v>
      </c>
      <c r="L1920" s="12"/>
      <c r="M1920" s="11">
        <v>4</v>
      </c>
      <c r="N1920" s="10">
        <v>5.9124999999999996</v>
      </c>
      <c r="O1920" s="10">
        <f t="shared" si="109"/>
        <v>23.65</v>
      </c>
      <c r="P1920" s="12"/>
      <c r="Q1920" s="46"/>
    </row>
    <row r="1921" spans="1:17" ht="15.75" thickBot="1" x14ac:dyDescent="0.3">
      <c r="A1921" s="15"/>
      <c r="B1921" s="14"/>
      <c r="C1921" s="13"/>
      <c r="D1921" s="12"/>
      <c r="E1921" s="11"/>
      <c r="F1921" s="10"/>
      <c r="G1921" s="10">
        <f>+E1921*F1921</f>
        <v>0</v>
      </c>
      <c r="H1921" s="12"/>
      <c r="I1921" s="11"/>
      <c r="J1921" s="10"/>
      <c r="K1921" s="10">
        <f>+I1921*J1921</f>
        <v>0</v>
      </c>
      <c r="L1921" s="12"/>
      <c r="M1921" s="11"/>
      <c r="N1921" s="10"/>
      <c r="O1921" s="10">
        <f>+M1921*N1921</f>
        <v>0</v>
      </c>
      <c r="P1921" s="12"/>
      <c r="Q1921" s="46"/>
    </row>
    <row r="1922" spans="1:17" ht="16.5" thickBot="1" x14ac:dyDescent="0.3">
      <c r="A1922" s="62" t="s">
        <v>5</v>
      </c>
      <c r="B1922" s="63"/>
      <c r="C1922" s="63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6"/>
      <c r="P1922" s="17"/>
      <c r="Q1922" s="46"/>
    </row>
    <row r="1923" spans="1:17" ht="18" x14ac:dyDescent="0.25">
      <c r="A1923" s="15"/>
      <c r="B1923" s="14" t="s">
        <v>517</v>
      </c>
      <c r="C1923" s="13" t="s">
        <v>13</v>
      </c>
      <c r="D1923" s="12"/>
      <c r="E1923" s="11">
        <v>58.5</v>
      </c>
      <c r="F1923" s="42">
        <v>7</v>
      </c>
      <c r="G1923" s="10">
        <f>+E1923*F1923</f>
        <v>409.5</v>
      </c>
      <c r="H1923" s="12"/>
      <c r="I1923" s="11"/>
      <c r="J1923" s="10"/>
      <c r="K1923" s="10">
        <f>+I1923*J1923</f>
        <v>0</v>
      </c>
      <c r="L1923" s="12"/>
      <c r="M1923" s="11">
        <v>62.4</v>
      </c>
      <c r="N1923" s="10">
        <v>7</v>
      </c>
      <c r="O1923" s="10">
        <f>+M1923*N1923</f>
        <v>436.8</v>
      </c>
      <c r="P1923" s="12"/>
      <c r="Q1923" s="46"/>
    </row>
    <row r="1924" spans="1:17" ht="15.75" thickBot="1" x14ac:dyDescent="0.3">
      <c r="A1924" s="15"/>
      <c r="B1924" s="14"/>
      <c r="C1924" s="13"/>
      <c r="D1924" s="12"/>
      <c r="E1924" s="11"/>
      <c r="F1924" s="10"/>
      <c r="G1924" s="10">
        <f>+E1924*F1924</f>
        <v>0</v>
      </c>
      <c r="H1924" s="12"/>
      <c r="I1924" s="11"/>
      <c r="J1924" s="10"/>
      <c r="K1924" s="10">
        <f>+I1924*J1924</f>
        <v>0</v>
      </c>
      <c r="L1924" s="12"/>
      <c r="M1924" s="11"/>
      <c r="N1924" s="10"/>
      <c r="O1924" s="10">
        <f>+M1924*N1924</f>
        <v>0</v>
      </c>
      <c r="P1924" s="12"/>
      <c r="Q1924" s="46"/>
    </row>
    <row r="1925" spans="1:17" ht="16.5" thickBot="1" x14ac:dyDescent="0.3">
      <c r="A1925" s="62" t="s">
        <v>2</v>
      </c>
      <c r="B1925" s="63"/>
      <c r="C1925" s="63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6"/>
      <c r="P1925" s="17"/>
      <c r="Q1925" s="46"/>
    </row>
    <row r="1926" spans="1:17" x14ac:dyDescent="0.25">
      <c r="A1926" s="15"/>
      <c r="B1926" s="14" t="s">
        <v>358</v>
      </c>
      <c r="C1926" s="13" t="s">
        <v>15</v>
      </c>
      <c r="D1926" s="12"/>
      <c r="E1926" s="11"/>
      <c r="F1926" s="10"/>
      <c r="G1926" s="10">
        <f>+E1926*F1926</f>
        <v>0</v>
      </c>
      <c r="H1926" s="12"/>
      <c r="I1926" s="11"/>
      <c r="J1926" s="10"/>
      <c r="K1926" s="10">
        <f>+I1926*J1926</f>
        <v>0</v>
      </c>
      <c r="L1926" s="12"/>
      <c r="M1926" s="11">
        <v>15.71</v>
      </c>
      <c r="N1926" s="10">
        <v>25</v>
      </c>
      <c r="O1926" s="10">
        <f>+M1926*N1926</f>
        <v>392.75</v>
      </c>
      <c r="P1926" s="12"/>
      <c r="Q1926" s="46"/>
    </row>
    <row r="1927" spans="1:17" ht="15.75" thickBot="1" x14ac:dyDescent="0.3">
      <c r="Q1927" s="46"/>
    </row>
    <row r="1928" spans="1:17" ht="21" thickBot="1" x14ac:dyDescent="0.3">
      <c r="A1928" s="64" t="s">
        <v>1</v>
      </c>
      <c r="B1928" s="65"/>
      <c r="C1928" s="66"/>
      <c r="D1928" s="5"/>
      <c r="E1928" s="9"/>
      <c r="F1928" s="8"/>
      <c r="G1928" s="7">
        <f>SUM(G1908:G1927)</f>
        <v>409.5</v>
      </c>
      <c r="H1928" s="5"/>
      <c r="I1928" s="9"/>
      <c r="J1928" s="8"/>
      <c r="K1928" s="7">
        <f>SUM(K1906:K1926)</f>
        <v>0</v>
      </c>
      <c r="L1928" s="5"/>
      <c r="M1928" s="9"/>
      <c r="N1928" s="8"/>
      <c r="O1928" s="7">
        <f>SUM(O1906:O1926)</f>
        <v>1706.4900000000002</v>
      </c>
      <c r="P1928" s="5"/>
      <c r="Q1928" s="46"/>
    </row>
    <row r="1929" spans="1:17" ht="21" thickBot="1" x14ac:dyDescent="0.3">
      <c r="A1929" s="60" t="s">
        <v>0</v>
      </c>
      <c r="B1929" s="61"/>
      <c r="C1929" s="61"/>
      <c r="D1929" s="5"/>
      <c r="E1929" s="4"/>
      <c r="F1929" s="3"/>
      <c r="G1929" s="6">
        <f>+G1928/E1923</f>
        <v>7</v>
      </c>
      <c r="H1929" s="5"/>
      <c r="I1929" s="4"/>
      <c r="J1929" s="3"/>
      <c r="K1929" s="2" t="e">
        <f>+K1928/I1923</f>
        <v>#DIV/0!</v>
      </c>
      <c r="L1929" s="5"/>
      <c r="M1929" s="4"/>
      <c r="N1929" s="3"/>
      <c r="O1929" s="6">
        <f>+O1928/M1923</f>
        <v>27.347596153846158</v>
      </c>
      <c r="P1929" s="5"/>
      <c r="Q1929" s="46"/>
    </row>
    <row r="1930" spans="1:17" x14ac:dyDescent="0.25">
      <c r="Q1930" s="46"/>
    </row>
    <row r="1931" spans="1:17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46"/>
    </row>
    <row r="1932" spans="1:17" ht="15.75" thickBot="1" x14ac:dyDescent="0.3">
      <c r="Q1932" s="46"/>
    </row>
    <row r="1933" spans="1:17" ht="19.5" thickBot="1" x14ac:dyDescent="0.3">
      <c r="A1933" s="20" t="s">
        <v>66</v>
      </c>
      <c r="B1933" s="19" t="s">
        <v>68</v>
      </c>
      <c r="C1933" s="18" t="s">
        <v>19</v>
      </c>
      <c r="Q1933" s="46"/>
    </row>
    <row r="1934" spans="1:17" ht="15.75" thickBot="1" x14ac:dyDescent="0.3">
      <c r="Q1934" s="46"/>
    </row>
    <row r="1935" spans="1:17" ht="16.5" thickBot="1" x14ac:dyDescent="0.3">
      <c r="A1935" s="62" t="s">
        <v>11</v>
      </c>
      <c r="B1935" s="63"/>
      <c r="C1935" s="63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6"/>
      <c r="P1935" s="17"/>
      <c r="Q1935" s="46"/>
    </row>
    <row r="1936" spans="1:17" x14ac:dyDescent="0.25">
      <c r="A1936" s="15"/>
      <c r="B1936" s="14" t="s">
        <v>147</v>
      </c>
      <c r="C1936" s="13" t="s">
        <v>15</v>
      </c>
      <c r="D1936" s="12"/>
      <c r="E1936" s="11"/>
      <c r="F1936" s="10"/>
      <c r="G1936" s="10">
        <f t="shared" ref="G1936:G1941" si="110">+E1936*F1936</f>
        <v>0</v>
      </c>
      <c r="H1936" s="12"/>
      <c r="I1936" s="11"/>
      <c r="J1936" s="10"/>
      <c r="K1936" s="10">
        <f t="shared" ref="K1936:K1941" si="111">+I1936*J1936</f>
        <v>0</v>
      </c>
      <c r="L1936" s="12"/>
      <c r="M1936" s="11">
        <v>10</v>
      </c>
      <c r="N1936" s="10">
        <v>1.2</v>
      </c>
      <c r="O1936" s="10">
        <f t="shared" ref="O1936:O1941" si="112">+M1936*N1936</f>
        <v>12</v>
      </c>
      <c r="P1936" s="12"/>
      <c r="Q1936" s="46"/>
    </row>
    <row r="1937" spans="1:17" x14ac:dyDescent="0.25">
      <c r="A1937" s="15"/>
      <c r="B1937" s="14" t="s">
        <v>148</v>
      </c>
      <c r="C1937" s="13" t="s">
        <v>15</v>
      </c>
      <c r="D1937" s="12"/>
      <c r="E1937" s="11"/>
      <c r="F1937" s="10"/>
      <c r="G1937" s="10">
        <f t="shared" si="110"/>
        <v>0</v>
      </c>
      <c r="H1937" s="12"/>
      <c r="I1937" s="11"/>
      <c r="J1937" s="10"/>
      <c r="K1937" s="10">
        <f t="shared" si="111"/>
        <v>0</v>
      </c>
      <c r="L1937" s="12"/>
      <c r="M1937" s="11">
        <v>5</v>
      </c>
      <c r="N1937" s="10">
        <v>0.95799999999999996</v>
      </c>
      <c r="O1937" s="10">
        <f t="shared" si="112"/>
        <v>4.79</v>
      </c>
      <c r="P1937" s="12"/>
      <c r="Q1937" s="46"/>
    </row>
    <row r="1938" spans="1:17" x14ac:dyDescent="0.25">
      <c r="A1938" s="15"/>
      <c r="B1938" s="14" t="s">
        <v>46</v>
      </c>
      <c r="C1938" s="13" t="s">
        <v>15</v>
      </c>
      <c r="D1938" s="12"/>
      <c r="E1938" s="11"/>
      <c r="F1938" s="10"/>
      <c r="G1938" s="10">
        <f t="shared" si="110"/>
        <v>0</v>
      </c>
      <c r="H1938" s="12"/>
      <c r="I1938" s="11"/>
      <c r="J1938" s="10"/>
      <c r="K1938" s="10">
        <f t="shared" si="111"/>
        <v>0</v>
      </c>
      <c r="L1938" s="12"/>
      <c r="M1938" s="11">
        <v>4</v>
      </c>
      <c r="N1938" s="10">
        <v>8.7225000000000001</v>
      </c>
      <c r="O1938" s="10">
        <f t="shared" si="112"/>
        <v>34.89</v>
      </c>
      <c r="P1938" s="12"/>
      <c r="Q1938" s="46"/>
    </row>
    <row r="1939" spans="1:17" ht="30" x14ac:dyDescent="0.25">
      <c r="A1939" s="15"/>
      <c r="B1939" s="14" t="s">
        <v>146</v>
      </c>
      <c r="C1939" s="13" t="s">
        <v>15</v>
      </c>
      <c r="D1939" s="12"/>
      <c r="E1939" s="11"/>
      <c r="F1939" s="10"/>
      <c r="G1939" s="10">
        <f t="shared" si="110"/>
        <v>0</v>
      </c>
      <c r="H1939" s="12"/>
      <c r="I1939" s="11"/>
      <c r="J1939" s="10"/>
      <c r="K1939" s="10">
        <f t="shared" si="111"/>
        <v>0</v>
      </c>
      <c r="L1939" s="12"/>
      <c r="M1939" s="11">
        <v>5</v>
      </c>
      <c r="N1939" s="10">
        <v>2.3039999999999998</v>
      </c>
      <c r="O1939" s="10">
        <f t="shared" si="112"/>
        <v>11.52</v>
      </c>
      <c r="P1939" s="12"/>
      <c r="Q1939" s="46"/>
    </row>
    <row r="1940" spans="1:17" ht="30" x14ac:dyDescent="0.25">
      <c r="A1940" s="15"/>
      <c r="B1940" s="14" t="s">
        <v>370</v>
      </c>
      <c r="C1940" s="13" t="s">
        <v>144</v>
      </c>
      <c r="D1940" s="12"/>
      <c r="E1940" s="11"/>
      <c r="F1940" s="10"/>
      <c r="G1940" s="10">
        <f t="shared" si="110"/>
        <v>0</v>
      </c>
      <c r="H1940" s="12"/>
      <c r="I1940" s="11"/>
      <c r="J1940" s="10"/>
      <c r="K1940" s="10">
        <f t="shared" si="111"/>
        <v>0</v>
      </c>
      <c r="L1940" s="12"/>
      <c r="M1940" s="11">
        <v>0.6</v>
      </c>
      <c r="N1940" s="10">
        <v>62.4</v>
      </c>
      <c r="O1940" s="10">
        <f t="shared" si="112"/>
        <v>37.44</v>
      </c>
      <c r="P1940" s="12"/>
      <c r="Q1940" s="46"/>
    </row>
    <row r="1941" spans="1:17" ht="15.75" thickBot="1" x14ac:dyDescent="0.3">
      <c r="A1941" s="15"/>
      <c r="B1941" s="14"/>
      <c r="C1941" s="13"/>
      <c r="D1941" s="12"/>
      <c r="E1941" s="11"/>
      <c r="F1941" s="10"/>
      <c r="G1941" s="10">
        <f t="shared" si="110"/>
        <v>0</v>
      </c>
      <c r="H1941" s="12"/>
      <c r="I1941" s="11"/>
      <c r="J1941" s="10"/>
      <c r="K1941" s="10">
        <f t="shared" si="111"/>
        <v>0</v>
      </c>
      <c r="L1941" s="12"/>
      <c r="M1941" s="11"/>
      <c r="N1941" s="10"/>
      <c r="O1941" s="10">
        <f t="shared" si="112"/>
        <v>0</v>
      </c>
      <c r="P1941" s="12"/>
      <c r="Q1941" s="46"/>
    </row>
    <row r="1942" spans="1:17" ht="16.5" thickBot="1" x14ac:dyDescent="0.3">
      <c r="A1942" s="62" t="s">
        <v>5</v>
      </c>
      <c r="B1942" s="63"/>
      <c r="C1942" s="63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6"/>
      <c r="P1942" s="17"/>
      <c r="Q1942" s="46"/>
    </row>
    <row r="1943" spans="1:17" ht="18" x14ac:dyDescent="0.25">
      <c r="A1943" s="15"/>
      <c r="B1943" s="14" t="s">
        <v>67</v>
      </c>
      <c r="C1943" s="13" t="s">
        <v>13</v>
      </c>
      <c r="D1943" s="12"/>
      <c r="E1943" s="11">
        <v>117</v>
      </c>
      <c r="F1943" s="42">
        <v>0.36</v>
      </c>
      <c r="G1943" s="10">
        <f>+E1943*F1943</f>
        <v>42.12</v>
      </c>
      <c r="H1943" s="12"/>
      <c r="I1943" s="11"/>
      <c r="J1943" s="10"/>
      <c r="K1943" s="10">
        <f>+I1943*J1943</f>
        <v>0</v>
      </c>
      <c r="L1943" s="12"/>
      <c r="M1943" s="11">
        <v>62.4</v>
      </c>
      <c r="N1943" s="10"/>
      <c r="O1943" s="10">
        <f>+M1943*N1943</f>
        <v>0</v>
      </c>
      <c r="P1943" s="12"/>
      <c r="Q1943" s="46"/>
    </row>
    <row r="1944" spans="1:17" ht="15.75" thickBot="1" x14ac:dyDescent="0.3">
      <c r="A1944" s="15"/>
      <c r="B1944" s="14"/>
      <c r="C1944" s="13"/>
      <c r="D1944" s="12"/>
      <c r="E1944" s="11"/>
      <c r="F1944" s="10"/>
      <c r="G1944" s="10">
        <f>+E1944*F1944</f>
        <v>0</v>
      </c>
      <c r="H1944" s="12"/>
      <c r="I1944" s="11"/>
      <c r="J1944" s="10"/>
      <c r="K1944" s="10">
        <f>+I1944*J1944</f>
        <v>0</v>
      </c>
      <c r="L1944" s="12"/>
      <c r="M1944" s="11"/>
      <c r="N1944" s="10"/>
      <c r="O1944" s="10">
        <f>+M1944*N1944</f>
        <v>0</v>
      </c>
      <c r="P1944" s="12"/>
      <c r="Q1944" s="46"/>
    </row>
    <row r="1945" spans="1:17" ht="16.5" thickBot="1" x14ac:dyDescent="0.3">
      <c r="A1945" s="62" t="s">
        <v>2</v>
      </c>
      <c r="B1945" s="63"/>
      <c r="C1945" s="63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6"/>
      <c r="P1945" s="17"/>
      <c r="Q1945" s="46"/>
    </row>
    <row r="1946" spans="1:17" x14ac:dyDescent="0.25">
      <c r="A1946" s="15"/>
      <c r="B1946" s="14"/>
      <c r="C1946" s="13"/>
      <c r="D1946" s="12"/>
      <c r="E1946" s="11"/>
      <c r="F1946" s="10"/>
      <c r="G1946" s="10">
        <f>+E1946*F1946</f>
        <v>0</v>
      </c>
      <c r="H1946" s="12"/>
      <c r="I1946" s="11"/>
      <c r="J1946" s="10"/>
      <c r="K1946" s="10">
        <f>+I1946*J1946</f>
        <v>0</v>
      </c>
      <c r="L1946" s="12"/>
      <c r="M1946" s="11"/>
      <c r="N1946" s="10"/>
      <c r="O1946" s="10">
        <f>+M1946*N1946</f>
        <v>0</v>
      </c>
      <c r="P1946" s="12"/>
      <c r="Q1946" s="46"/>
    </row>
    <row r="1947" spans="1:17" ht="15.75" thickBot="1" x14ac:dyDescent="0.3">
      <c r="Q1947" s="46"/>
    </row>
    <row r="1948" spans="1:17" ht="21" thickBot="1" x14ac:dyDescent="0.3">
      <c r="A1948" s="64" t="s">
        <v>1</v>
      </c>
      <c r="B1948" s="65"/>
      <c r="C1948" s="66"/>
      <c r="D1948" s="5"/>
      <c r="E1948" s="9"/>
      <c r="F1948" s="8"/>
      <c r="G1948" s="7">
        <f>SUM(G1935:G1947)</f>
        <v>42.12</v>
      </c>
      <c r="H1948" s="5"/>
      <c r="I1948" s="9"/>
      <c r="J1948" s="8"/>
      <c r="K1948" s="7">
        <f>SUM(K1933:K1946)</f>
        <v>0</v>
      </c>
      <c r="L1948" s="5"/>
      <c r="M1948" s="9"/>
      <c r="N1948" s="8"/>
      <c r="O1948" s="7">
        <f>SUM(O1933:O1946)</f>
        <v>100.64</v>
      </c>
      <c r="P1948" s="5"/>
      <c r="Q1948" s="46"/>
    </row>
    <row r="1949" spans="1:17" ht="21" thickBot="1" x14ac:dyDescent="0.3">
      <c r="A1949" s="60" t="s">
        <v>0</v>
      </c>
      <c r="B1949" s="61"/>
      <c r="C1949" s="61"/>
      <c r="D1949" s="5"/>
      <c r="E1949" s="4"/>
      <c r="F1949" s="3"/>
      <c r="G1949" s="6">
        <f>+G1948/E1943</f>
        <v>0.36</v>
      </c>
      <c r="H1949" s="5"/>
      <c r="I1949" s="4"/>
      <c r="J1949" s="3"/>
      <c r="K1949" s="2" t="e">
        <f>+K1948/I1943</f>
        <v>#DIV/0!</v>
      </c>
      <c r="L1949" s="5"/>
      <c r="M1949" s="4"/>
      <c r="N1949" s="3"/>
      <c r="O1949" s="6">
        <f>+O1948/M1943</f>
        <v>1.6128205128205129</v>
      </c>
      <c r="P1949" s="5"/>
      <c r="Q1949" s="46"/>
    </row>
    <row r="1950" spans="1:17" x14ac:dyDescent="0.25">
      <c r="Q1950" s="46"/>
    </row>
    <row r="1951" spans="1:17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46"/>
    </row>
    <row r="1952" spans="1:17" ht="15.75" thickBot="1" x14ac:dyDescent="0.3">
      <c r="Q1952" s="46"/>
    </row>
    <row r="1953" spans="1:17" ht="19.5" thickBot="1" x14ac:dyDescent="0.3">
      <c r="A1953" s="20" t="s">
        <v>60</v>
      </c>
      <c r="B1953" s="19" t="s">
        <v>65</v>
      </c>
      <c r="C1953" s="18" t="s">
        <v>19</v>
      </c>
      <c r="Q1953" s="46"/>
    </row>
    <row r="1954" spans="1:17" ht="15.75" thickBot="1" x14ac:dyDescent="0.3">
      <c r="Q1954" s="46"/>
    </row>
    <row r="1955" spans="1:17" ht="16.5" thickBot="1" x14ac:dyDescent="0.3">
      <c r="A1955" s="62" t="s">
        <v>11</v>
      </c>
      <c r="B1955" s="63"/>
      <c r="C1955" s="63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6"/>
      <c r="P1955" s="17"/>
      <c r="Q1955" s="46"/>
    </row>
    <row r="1956" spans="1:17" ht="30" x14ac:dyDescent="0.25">
      <c r="A1956" s="15"/>
      <c r="B1956" s="14" t="s">
        <v>572</v>
      </c>
      <c r="C1956" s="13" t="s">
        <v>15</v>
      </c>
      <c r="D1956" s="12"/>
      <c r="E1956" s="11"/>
      <c r="F1956" s="10"/>
      <c r="G1956" s="10">
        <f>+E1956*F1956</f>
        <v>0</v>
      </c>
      <c r="H1956" s="12"/>
      <c r="I1956" s="11"/>
      <c r="J1956" s="10"/>
      <c r="K1956" s="10">
        <f>+I1956*J1956</f>
        <v>0</v>
      </c>
      <c r="L1956" s="12"/>
      <c r="M1956" s="11">
        <v>3</v>
      </c>
      <c r="N1956" s="10">
        <v>50.756666666666668</v>
      </c>
      <c r="O1956" s="10">
        <f>+M1956*N1956</f>
        <v>152.27000000000001</v>
      </c>
      <c r="P1956" s="12"/>
      <c r="Q1956" s="46"/>
    </row>
    <row r="1957" spans="1:17" ht="30" x14ac:dyDescent="0.25">
      <c r="A1957" s="15"/>
      <c r="B1957" s="14" t="s">
        <v>64</v>
      </c>
      <c r="C1957" s="13" t="s">
        <v>15</v>
      </c>
      <c r="D1957" s="12"/>
      <c r="E1957" s="11">
        <v>3</v>
      </c>
      <c r="F1957" s="10">
        <v>51.87</v>
      </c>
      <c r="G1957" s="10">
        <f>+E1957*F1957</f>
        <v>155.60999999999999</v>
      </c>
      <c r="H1957" s="12"/>
      <c r="I1957" s="11"/>
      <c r="J1957" s="10"/>
      <c r="K1957" s="10">
        <f>+I1957*J1957</f>
        <v>0</v>
      </c>
      <c r="L1957" s="12"/>
      <c r="M1957" s="11">
        <v>1</v>
      </c>
      <c r="N1957" s="10">
        <v>46.92</v>
      </c>
      <c r="O1957" s="10">
        <f>+M1957*N1957</f>
        <v>46.92</v>
      </c>
      <c r="P1957" s="12"/>
      <c r="Q1957" s="46"/>
    </row>
    <row r="1958" spans="1:17" ht="30" x14ac:dyDescent="0.25">
      <c r="A1958" s="15"/>
      <c r="B1958" s="14" t="s">
        <v>63</v>
      </c>
      <c r="C1958" s="13" t="s">
        <v>62</v>
      </c>
      <c r="D1958" s="12"/>
      <c r="E1958" s="11">
        <v>1</v>
      </c>
      <c r="F1958" s="10">
        <v>7.89</v>
      </c>
      <c r="G1958" s="10">
        <f>+E1958*F1958</f>
        <v>7.89</v>
      </c>
      <c r="H1958" s="12"/>
      <c r="I1958" s="11"/>
      <c r="J1958" s="10"/>
      <c r="K1958" s="10">
        <f>+I1958*J1958</f>
        <v>0</v>
      </c>
      <c r="L1958" s="12"/>
      <c r="M1958" s="11"/>
      <c r="N1958" s="10"/>
      <c r="O1958" s="10">
        <f>+M1958*N1958</f>
        <v>0</v>
      </c>
      <c r="P1958" s="12"/>
      <c r="Q1958" s="46"/>
    </row>
    <row r="1959" spans="1:17" ht="15.75" thickBot="1" x14ac:dyDescent="0.3">
      <c r="A1959" s="15"/>
      <c r="B1959" s="14"/>
      <c r="C1959" s="13"/>
      <c r="D1959" s="12"/>
      <c r="E1959" s="11"/>
      <c r="F1959" s="10"/>
      <c r="G1959" s="10">
        <f>+E1959*F1959</f>
        <v>0</v>
      </c>
      <c r="H1959" s="12"/>
      <c r="I1959" s="11"/>
      <c r="J1959" s="10"/>
      <c r="K1959" s="10">
        <f>+I1959*J1959</f>
        <v>0</v>
      </c>
      <c r="L1959" s="12"/>
      <c r="M1959" s="11"/>
      <c r="N1959" s="10"/>
      <c r="O1959" s="10">
        <f>+M1959*N1959</f>
        <v>0</v>
      </c>
      <c r="P1959" s="12"/>
      <c r="Q1959" s="46"/>
    </row>
    <row r="1960" spans="1:17" ht="16.5" thickBot="1" x14ac:dyDescent="0.3">
      <c r="A1960" s="62" t="s">
        <v>5</v>
      </c>
      <c r="B1960" s="63"/>
      <c r="C1960" s="63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6"/>
      <c r="P1960" s="17"/>
      <c r="Q1960" s="46"/>
    </row>
    <row r="1961" spans="1:17" ht="18" x14ac:dyDescent="0.25">
      <c r="A1961" s="15"/>
      <c r="B1961" s="14" t="s">
        <v>61</v>
      </c>
      <c r="C1961" s="13" t="s">
        <v>13</v>
      </c>
      <c r="D1961" s="12"/>
      <c r="E1961" s="11">
        <v>58.5</v>
      </c>
      <c r="F1961" s="42">
        <v>1.04</v>
      </c>
      <c r="G1961" s="10">
        <f>+E1961*F1961</f>
        <v>60.84</v>
      </c>
      <c r="H1961" s="12"/>
      <c r="I1961" s="11"/>
      <c r="J1961" s="10"/>
      <c r="K1961" s="10">
        <f>+I1961*J1961</f>
        <v>0</v>
      </c>
      <c r="L1961" s="12"/>
      <c r="M1961" s="11">
        <v>62.4</v>
      </c>
      <c r="N1961" s="10"/>
      <c r="O1961" s="10">
        <f>+M1961*N1961</f>
        <v>0</v>
      </c>
      <c r="P1961" s="12"/>
      <c r="Q1961" s="46"/>
    </row>
    <row r="1962" spans="1:17" ht="15.75" thickBot="1" x14ac:dyDescent="0.3">
      <c r="A1962" s="15"/>
      <c r="B1962" s="14"/>
      <c r="C1962" s="13"/>
      <c r="D1962" s="12"/>
      <c r="E1962" s="11"/>
      <c r="F1962" s="10"/>
      <c r="G1962" s="10">
        <f>+E1962*F1962</f>
        <v>0</v>
      </c>
      <c r="H1962" s="12"/>
      <c r="I1962" s="11"/>
      <c r="J1962" s="10"/>
      <c r="K1962" s="10">
        <f>+I1962*J1962</f>
        <v>0</v>
      </c>
      <c r="L1962" s="12"/>
      <c r="M1962" s="11"/>
      <c r="N1962" s="10"/>
      <c r="O1962" s="10">
        <f>+M1962*N1962</f>
        <v>0</v>
      </c>
      <c r="P1962" s="12"/>
      <c r="Q1962" s="46"/>
    </row>
    <row r="1963" spans="1:17" ht="16.5" thickBot="1" x14ac:dyDescent="0.3">
      <c r="A1963" s="62" t="s">
        <v>2</v>
      </c>
      <c r="B1963" s="63"/>
      <c r="C1963" s="63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6"/>
      <c r="P1963" s="17"/>
      <c r="Q1963" s="46"/>
    </row>
    <row r="1964" spans="1:17" x14ac:dyDescent="0.25">
      <c r="A1964" s="15"/>
      <c r="B1964" s="14"/>
      <c r="C1964" s="13"/>
      <c r="D1964" s="12"/>
      <c r="E1964" s="11"/>
      <c r="F1964" s="10"/>
      <c r="G1964" s="10">
        <f>+E1964*F1964</f>
        <v>0</v>
      </c>
      <c r="H1964" s="12"/>
      <c r="I1964" s="11"/>
      <c r="J1964" s="10"/>
      <c r="K1964" s="10">
        <f>+I1964*J1964</f>
        <v>0</v>
      </c>
      <c r="L1964" s="12"/>
      <c r="M1964" s="11"/>
      <c r="N1964" s="10"/>
      <c r="O1964" s="10">
        <f>+M1964*N1964</f>
        <v>0</v>
      </c>
      <c r="P1964" s="12"/>
      <c r="Q1964" s="46"/>
    </row>
    <row r="1965" spans="1:17" ht="15.75" thickBot="1" x14ac:dyDescent="0.3">
      <c r="Q1965" s="46"/>
    </row>
    <row r="1966" spans="1:17" ht="21" thickBot="1" x14ac:dyDescent="0.3">
      <c r="A1966" s="64" t="s">
        <v>1</v>
      </c>
      <c r="B1966" s="65"/>
      <c r="C1966" s="66"/>
      <c r="D1966" s="5"/>
      <c r="E1966" s="9"/>
      <c r="F1966" s="8"/>
      <c r="G1966" s="7">
        <f>SUM(G1955:G1965)</f>
        <v>224.33999999999997</v>
      </c>
      <c r="H1966" s="5"/>
      <c r="I1966" s="9"/>
      <c r="J1966" s="8"/>
      <c r="K1966" s="7">
        <f>SUM(K1953:K1964)</f>
        <v>0</v>
      </c>
      <c r="L1966" s="5"/>
      <c r="M1966" s="9"/>
      <c r="N1966" s="8"/>
      <c r="O1966" s="7">
        <f>SUM(O1953:O1964)</f>
        <v>199.19</v>
      </c>
      <c r="P1966" s="5"/>
      <c r="Q1966" s="46"/>
    </row>
    <row r="1967" spans="1:17" ht="21" thickBot="1" x14ac:dyDescent="0.3">
      <c r="A1967" s="60" t="s">
        <v>0</v>
      </c>
      <c r="B1967" s="61"/>
      <c r="C1967" s="61"/>
      <c r="D1967" s="5"/>
      <c r="E1967" s="4"/>
      <c r="F1967" s="3"/>
      <c r="G1967" s="6">
        <f>+G1966/E1961</f>
        <v>3.8348717948717943</v>
      </c>
      <c r="H1967" s="5"/>
      <c r="I1967" s="4"/>
      <c r="J1967" s="3"/>
      <c r="K1967" s="2" t="e">
        <f>+K1966/I1961</f>
        <v>#DIV/0!</v>
      </c>
      <c r="L1967" s="5"/>
      <c r="M1967" s="4"/>
      <c r="N1967" s="3"/>
      <c r="O1967" s="6">
        <f>+O1966/M1961</f>
        <v>3.1921474358974358</v>
      </c>
      <c r="P1967" s="5"/>
      <c r="Q1967" s="46"/>
    </row>
    <row r="1968" spans="1:17" x14ac:dyDescent="0.25">
      <c r="Q1968" s="46"/>
    </row>
    <row r="1969" spans="1:17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46"/>
    </row>
    <row r="1970" spans="1:17" ht="15.75" thickBot="1" x14ac:dyDescent="0.3">
      <c r="Q1970" s="46"/>
    </row>
    <row r="1971" spans="1:17" ht="32.25" thickBot="1" x14ac:dyDescent="0.3">
      <c r="A1971" s="20" t="s">
        <v>51</v>
      </c>
      <c r="B1971" s="19" t="s">
        <v>59</v>
      </c>
      <c r="C1971" s="18" t="s">
        <v>58</v>
      </c>
      <c r="Q1971" s="46"/>
    </row>
    <row r="1972" spans="1:17" ht="15.75" thickBot="1" x14ac:dyDescent="0.3">
      <c r="Q1972" s="46"/>
    </row>
    <row r="1973" spans="1:17" ht="16.5" thickBot="1" x14ac:dyDescent="0.3">
      <c r="A1973" s="62" t="s">
        <v>11</v>
      </c>
      <c r="B1973" s="63"/>
      <c r="C1973" s="63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6"/>
      <c r="P1973" s="17"/>
      <c r="Q1973" s="46"/>
    </row>
    <row r="1974" spans="1:17" x14ac:dyDescent="0.25">
      <c r="A1974" s="15"/>
      <c r="B1974" s="14" t="s">
        <v>57</v>
      </c>
      <c r="C1974" s="13" t="s">
        <v>30</v>
      </c>
      <c r="D1974" s="12"/>
      <c r="E1974" s="11">
        <v>3.5</v>
      </c>
      <c r="F1974" s="10">
        <v>2.35</v>
      </c>
      <c r="G1974" s="10">
        <f t="shared" ref="G1974:G1979" si="113">+E1974*F1974</f>
        <v>8.2249999999999996</v>
      </c>
      <c r="H1974" s="12"/>
      <c r="I1974" s="11"/>
      <c r="J1974" s="10"/>
      <c r="K1974" s="10">
        <f t="shared" ref="K1974:K1979" si="114">+I1974*J1974</f>
        <v>0</v>
      </c>
      <c r="L1974" s="12"/>
      <c r="M1974" s="11"/>
      <c r="N1974" s="10"/>
      <c r="O1974" s="10">
        <f t="shared" ref="O1974:O1979" si="115">+M1974*N1974</f>
        <v>0</v>
      </c>
      <c r="P1974" s="12"/>
      <c r="Q1974" s="56">
        <f>+E1974/$E$1981</f>
        <v>4.2275637154245677E-2</v>
      </c>
    </row>
    <row r="1975" spans="1:17" x14ac:dyDescent="0.25">
      <c r="A1975" s="15"/>
      <c r="B1975" s="14" t="s">
        <v>56</v>
      </c>
      <c r="C1975" s="13" t="s">
        <v>30</v>
      </c>
      <c r="D1975" s="12"/>
      <c r="E1975" s="11">
        <v>2.25</v>
      </c>
      <c r="F1975" s="10">
        <v>2.3199999999999998</v>
      </c>
      <c r="G1975" s="10">
        <f t="shared" si="113"/>
        <v>5.22</v>
      </c>
      <c r="H1975" s="12"/>
      <c r="I1975" s="11"/>
      <c r="J1975" s="10"/>
      <c r="K1975" s="10">
        <f t="shared" si="114"/>
        <v>0</v>
      </c>
      <c r="L1975" s="12"/>
      <c r="M1975" s="11"/>
      <c r="N1975" s="10"/>
      <c r="O1975" s="10">
        <f t="shared" si="115"/>
        <v>0</v>
      </c>
      <c r="P1975" s="12"/>
      <c r="Q1975" s="56">
        <f>+E1975/$E$1981</f>
        <v>2.7177195313443651E-2</v>
      </c>
    </row>
    <row r="1976" spans="1:17" x14ac:dyDescent="0.25">
      <c r="A1976" s="15"/>
      <c r="B1976" s="14" t="s">
        <v>55</v>
      </c>
      <c r="C1976" s="13" t="s">
        <v>15</v>
      </c>
      <c r="D1976" s="12"/>
      <c r="E1976" s="11">
        <v>3</v>
      </c>
      <c r="F1976" s="10">
        <v>2.15</v>
      </c>
      <c r="G1976" s="10">
        <f t="shared" si="113"/>
        <v>6.4499999999999993</v>
      </c>
      <c r="H1976" s="12"/>
      <c r="I1976" s="11"/>
      <c r="J1976" s="10"/>
      <c r="K1976" s="10">
        <f t="shared" si="114"/>
        <v>0</v>
      </c>
      <c r="L1976" s="12"/>
      <c r="M1976" s="11"/>
      <c r="N1976" s="10"/>
      <c r="O1976" s="10">
        <f t="shared" si="115"/>
        <v>0</v>
      </c>
      <c r="P1976" s="12"/>
      <c r="Q1976" s="56">
        <f>+E1976/$E$1981</f>
        <v>3.6236260417924868E-2</v>
      </c>
    </row>
    <row r="1977" spans="1:17" x14ac:dyDescent="0.25">
      <c r="A1977" s="15"/>
      <c r="B1977" s="14" t="s">
        <v>54</v>
      </c>
      <c r="C1977" s="13" t="s">
        <v>15</v>
      </c>
      <c r="D1977" s="12"/>
      <c r="E1977" s="11">
        <v>1</v>
      </c>
      <c r="F1977" s="10">
        <v>6.25</v>
      </c>
      <c r="G1977" s="10">
        <f t="shared" si="113"/>
        <v>6.25</v>
      </c>
      <c r="H1977" s="12"/>
      <c r="I1977" s="11"/>
      <c r="J1977" s="10"/>
      <c r="K1977" s="10">
        <f t="shared" si="114"/>
        <v>0</v>
      </c>
      <c r="L1977" s="12"/>
      <c r="M1977" s="11"/>
      <c r="N1977" s="10"/>
      <c r="O1977" s="10">
        <f t="shared" si="115"/>
        <v>0</v>
      </c>
      <c r="P1977" s="12"/>
      <c r="Q1977" s="56">
        <f>+E1977/$E$1981</f>
        <v>1.2078753472641623E-2</v>
      </c>
    </row>
    <row r="1978" spans="1:17" x14ac:dyDescent="0.25">
      <c r="A1978" s="15"/>
      <c r="B1978" s="14" t="s">
        <v>53</v>
      </c>
      <c r="C1978" s="13" t="s">
        <v>15</v>
      </c>
      <c r="D1978" s="12"/>
      <c r="E1978" s="11">
        <v>52</v>
      </c>
      <c r="F1978" s="10">
        <v>2.383</v>
      </c>
      <c r="G1978" s="10">
        <f t="shared" si="113"/>
        <v>123.916</v>
      </c>
      <c r="H1978" s="12"/>
      <c r="I1978" s="11"/>
      <c r="J1978" s="10"/>
      <c r="K1978" s="10">
        <f t="shared" si="114"/>
        <v>0</v>
      </c>
      <c r="L1978" s="12"/>
      <c r="M1978" s="11"/>
      <c r="N1978" s="10"/>
      <c r="O1978" s="10">
        <f t="shared" si="115"/>
        <v>0</v>
      </c>
      <c r="P1978" s="12"/>
      <c r="Q1978" s="56">
        <f>+E1978/$E$1981</f>
        <v>0.62809518057736435</v>
      </c>
    </row>
    <row r="1979" spans="1:17" ht="15.75" thickBot="1" x14ac:dyDescent="0.3">
      <c r="A1979" s="15"/>
      <c r="B1979" s="14"/>
      <c r="C1979" s="13"/>
      <c r="D1979" s="12"/>
      <c r="E1979" s="11"/>
      <c r="F1979" s="10"/>
      <c r="G1979" s="10">
        <f t="shared" si="113"/>
        <v>0</v>
      </c>
      <c r="H1979" s="12"/>
      <c r="I1979" s="11"/>
      <c r="J1979" s="10"/>
      <c r="K1979" s="10">
        <f t="shared" si="114"/>
        <v>0</v>
      </c>
      <c r="L1979" s="12"/>
      <c r="M1979" s="11"/>
      <c r="N1979" s="10"/>
      <c r="O1979" s="10">
        <f t="shared" si="115"/>
        <v>0</v>
      </c>
      <c r="P1979" s="12"/>
      <c r="Q1979" s="46"/>
    </row>
    <row r="1980" spans="1:17" ht="16.5" thickBot="1" x14ac:dyDescent="0.3">
      <c r="A1980" s="62" t="s">
        <v>5</v>
      </c>
      <c r="B1980" s="63"/>
      <c r="C1980" s="63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6"/>
      <c r="P1980" s="17"/>
      <c r="Q1980" s="46"/>
    </row>
    <row r="1981" spans="1:17" ht="30" x14ac:dyDescent="0.25">
      <c r="A1981" s="15"/>
      <c r="B1981" s="14" t="s">
        <v>52</v>
      </c>
      <c r="C1981" s="13" t="s">
        <v>13</v>
      </c>
      <c r="D1981" s="12"/>
      <c r="E1981" s="11">
        <v>82.79</v>
      </c>
      <c r="F1981" s="42">
        <v>6.16</v>
      </c>
      <c r="G1981" s="10">
        <f>+E1981*F1981</f>
        <v>509.98640000000006</v>
      </c>
      <c r="H1981" s="12"/>
      <c r="I1981" s="11"/>
      <c r="J1981" s="10"/>
      <c r="K1981" s="10">
        <f>+I1981*J1981</f>
        <v>0</v>
      </c>
      <c r="L1981" s="12"/>
      <c r="M1981" s="11"/>
      <c r="N1981" s="10"/>
      <c r="O1981" s="10">
        <f>+M1981*N1981</f>
        <v>0</v>
      </c>
      <c r="P1981" s="12"/>
      <c r="Q1981" s="46"/>
    </row>
    <row r="1982" spans="1:17" ht="15.75" thickBot="1" x14ac:dyDescent="0.3">
      <c r="A1982" s="15"/>
      <c r="B1982" s="14"/>
      <c r="C1982" s="13"/>
      <c r="D1982" s="12"/>
      <c r="E1982" s="11"/>
      <c r="F1982" s="10"/>
      <c r="G1982" s="10">
        <f>+E1982*F1982</f>
        <v>0</v>
      </c>
      <c r="H1982" s="12"/>
      <c r="I1982" s="11"/>
      <c r="J1982" s="10"/>
      <c r="K1982" s="10">
        <f>+I1982*J1982</f>
        <v>0</v>
      </c>
      <c r="L1982" s="12"/>
      <c r="M1982" s="11"/>
      <c r="N1982" s="10"/>
      <c r="O1982" s="10">
        <f>+M1982*N1982</f>
        <v>0</v>
      </c>
      <c r="P1982" s="12"/>
      <c r="Q1982" s="46"/>
    </row>
    <row r="1983" spans="1:17" ht="16.5" thickBot="1" x14ac:dyDescent="0.3">
      <c r="A1983" s="62" t="s">
        <v>2</v>
      </c>
      <c r="B1983" s="63"/>
      <c r="C1983" s="63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6"/>
      <c r="P1983" s="17"/>
      <c r="Q1983" s="46"/>
    </row>
    <row r="1984" spans="1:17" x14ac:dyDescent="0.25">
      <c r="A1984" s="15"/>
      <c r="B1984" s="14"/>
      <c r="C1984" s="13"/>
      <c r="D1984" s="12"/>
      <c r="E1984" s="11"/>
      <c r="F1984" s="10"/>
      <c r="G1984" s="10">
        <f>+E1984*F1984</f>
        <v>0</v>
      </c>
      <c r="H1984" s="12"/>
      <c r="I1984" s="11"/>
      <c r="J1984" s="10"/>
      <c r="K1984" s="10">
        <f>+I1984*J1984</f>
        <v>0</v>
      </c>
      <c r="L1984" s="12"/>
      <c r="M1984" s="11"/>
      <c r="N1984" s="10"/>
      <c r="O1984" s="10">
        <f>+M1984*N1984</f>
        <v>0</v>
      </c>
      <c r="P1984" s="12"/>
      <c r="Q1984" s="46"/>
    </row>
    <row r="1985" spans="1:17" ht="15.75" thickBot="1" x14ac:dyDescent="0.3">
      <c r="Q1985" s="46"/>
    </row>
    <row r="1986" spans="1:17" ht="21" thickBot="1" x14ac:dyDescent="0.3">
      <c r="A1986" s="64" t="s">
        <v>1</v>
      </c>
      <c r="B1986" s="65"/>
      <c r="C1986" s="66"/>
      <c r="D1986" s="5"/>
      <c r="E1986" s="9"/>
      <c r="F1986" s="8"/>
      <c r="G1986" s="7">
        <f>SUM(G1973:G1985)</f>
        <v>660.04740000000004</v>
      </c>
      <c r="H1986" s="5"/>
      <c r="I1986" s="9"/>
      <c r="J1986" s="8"/>
      <c r="K1986" s="7">
        <f>SUM(K1971:K1984)</f>
        <v>0</v>
      </c>
      <c r="L1986" s="5"/>
      <c r="M1986" s="9"/>
      <c r="N1986" s="8"/>
      <c r="O1986" s="7">
        <f>SUM(O1971:O1984)</f>
        <v>0</v>
      </c>
      <c r="P1986" s="5"/>
      <c r="Q1986" s="46"/>
    </row>
    <row r="1987" spans="1:17" ht="21" thickBot="1" x14ac:dyDescent="0.3">
      <c r="A1987" s="60" t="s">
        <v>0</v>
      </c>
      <c r="B1987" s="61"/>
      <c r="C1987" s="61"/>
      <c r="D1987" s="5"/>
      <c r="E1987" s="4"/>
      <c r="F1987" s="3"/>
      <c r="G1987" s="6">
        <f>+G1986/E1981</f>
        <v>7.9725498248580742</v>
      </c>
      <c r="H1987" s="5"/>
      <c r="I1987" s="4"/>
      <c r="J1987" s="3"/>
      <c r="K1987" s="2" t="e">
        <f>+K1986/I1981</f>
        <v>#DIV/0!</v>
      </c>
      <c r="L1987" s="5"/>
      <c r="M1987" s="4"/>
      <c r="N1987" s="3"/>
      <c r="O1987" s="2" t="e">
        <f>+O1986/M1981</f>
        <v>#DIV/0!</v>
      </c>
      <c r="P1987" s="5"/>
      <c r="Q1987" s="46"/>
    </row>
    <row r="1988" spans="1:17" x14ac:dyDescent="0.25">
      <c r="Q1988" s="46"/>
    </row>
    <row r="1989" spans="1:17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46"/>
    </row>
    <row r="1990" spans="1:17" ht="15.75" thickBot="1" x14ac:dyDescent="0.3">
      <c r="Q1990" s="46"/>
    </row>
    <row r="1991" spans="1:17" ht="32.25" thickBot="1" x14ac:dyDescent="0.3">
      <c r="A1991" s="20" t="s">
        <v>40</v>
      </c>
      <c r="B1991" s="19" t="s">
        <v>50</v>
      </c>
      <c r="C1991" s="18" t="s">
        <v>49</v>
      </c>
      <c r="Q1991" s="46"/>
    </row>
    <row r="1992" spans="1:17" ht="15.75" thickBot="1" x14ac:dyDescent="0.3">
      <c r="Q1992" s="46"/>
    </row>
    <row r="1993" spans="1:17" ht="16.5" thickBot="1" x14ac:dyDescent="0.3">
      <c r="A1993" s="62" t="s">
        <v>11</v>
      </c>
      <c r="B1993" s="63"/>
      <c r="C1993" s="63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6"/>
      <c r="P1993" s="17"/>
      <c r="Q1993" s="46"/>
    </row>
    <row r="1994" spans="1:17" x14ac:dyDescent="0.25">
      <c r="A1994" s="15"/>
      <c r="B1994" s="14" t="s">
        <v>48</v>
      </c>
      <c r="C1994" s="13" t="s">
        <v>174</v>
      </c>
      <c r="D1994" s="12"/>
      <c r="E1994" s="11">
        <v>1</v>
      </c>
      <c r="F1994" s="10">
        <v>6.59</v>
      </c>
      <c r="G1994" s="10">
        <f t="shared" ref="G1994:G2000" si="116">+E1994*F1994</f>
        <v>6.59</v>
      </c>
      <c r="H1994" s="12"/>
      <c r="I1994" s="11"/>
      <c r="J1994" s="10"/>
      <c r="K1994" s="10">
        <f t="shared" ref="K1994:K2000" si="117">+I1994*J1994</f>
        <v>0</v>
      </c>
      <c r="L1994" s="12"/>
      <c r="M1994" s="11"/>
      <c r="N1994" s="10"/>
      <c r="O1994" s="10">
        <f t="shared" ref="O1994:O2000" si="118">+M1994*N1994</f>
        <v>0</v>
      </c>
      <c r="P1994" s="12"/>
      <c r="Q1994" s="56">
        <f t="shared" ref="Q1994:Q1999" si="119">+E1994/$E$2002</f>
        <v>0.27404768429706766</v>
      </c>
    </row>
    <row r="1995" spans="1:17" ht="30" x14ac:dyDescent="0.25">
      <c r="A1995" s="15"/>
      <c r="B1995" s="14" t="s">
        <v>47</v>
      </c>
      <c r="C1995" s="13" t="s">
        <v>42</v>
      </c>
      <c r="D1995" s="12"/>
      <c r="E1995" s="11">
        <v>3.5</v>
      </c>
      <c r="F1995" s="10">
        <v>71</v>
      </c>
      <c r="G1995" s="10">
        <f t="shared" si="116"/>
        <v>248.5</v>
      </c>
      <c r="H1995" s="12"/>
      <c r="I1995" s="11"/>
      <c r="J1995" s="10"/>
      <c r="K1995" s="10">
        <f t="shared" si="117"/>
        <v>0</v>
      </c>
      <c r="L1995" s="12"/>
      <c r="M1995" s="11"/>
      <c r="N1995" s="10"/>
      <c r="O1995" s="10">
        <f t="shared" si="118"/>
        <v>0</v>
      </c>
      <c r="P1995" s="12"/>
      <c r="Q1995" s="56">
        <f t="shared" si="119"/>
        <v>0.95916689503973696</v>
      </c>
    </row>
    <row r="1996" spans="1:17" x14ac:dyDescent="0.25">
      <c r="A1996" s="15"/>
      <c r="B1996" s="14" t="s">
        <v>46</v>
      </c>
      <c r="C1996" s="13" t="s">
        <v>15</v>
      </c>
      <c r="D1996" s="12"/>
      <c r="E1996" s="11">
        <v>1</v>
      </c>
      <c r="F1996" s="10">
        <v>9.9499999999999993</v>
      </c>
      <c r="G1996" s="10">
        <f t="shared" si="116"/>
        <v>9.9499999999999993</v>
      </c>
      <c r="H1996" s="12"/>
      <c r="I1996" s="11"/>
      <c r="J1996" s="10"/>
      <c r="K1996" s="10">
        <f t="shared" si="117"/>
        <v>0</v>
      </c>
      <c r="L1996" s="12"/>
      <c r="M1996" s="11"/>
      <c r="N1996" s="10"/>
      <c r="O1996" s="10">
        <f t="shared" si="118"/>
        <v>0</v>
      </c>
      <c r="P1996" s="12"/>
      <c r="Q1996" s="56">
        <f t="shared" si="119"/>
        <v>0.27404768429706766</v>
      </c>
    </row>
    <row r="1997" spans="1:17" ht="18" x14ac:dyDescent="0.25">
      <c r="A1997" s="15"/>
      <c r="B1997" s="14" t="s">
        <v>45</v>
      </c>
      <c r="C1997" s="13" t="s">
        <v>42</v>
      </c>
      <c r="D1997" s="12"/>
      <c r="E1997" s="11">
        <v>0.2</v>
      </c>
      <c r="F1997" s="10">
        <v>13.75</v>
      </c>
      <c r="G1997" s="10">
        <f t="shared" si="116"/>
        <v>2.75</v>
      </c>
      <c r="H1997" s="12"/>
      <c r="I1997" s="11"/>
      <c r="J1997" s="10"/>
      <c r="K1997" s="10">
        <f t="shared" si="117"/>
        <v>0</v>
      </c>
      <c r="L1997" s="12"/>
      <c r="M1997" s="11"/>
      <c r="N1997" s="10"/>
      <c r="O1997" s="10">
        <f t="shared" si="118"/>
        <v>0</v>
      </c>
      <c r="P1997" s="12"/>
      <c r="Q1997" s="56">
        <f t="shared" si="119"/>
        <v>5.4809536859413539E-2</v>
      </c>
    </row>
    <row r="1998" spans="1:17" ht="18" x14ac:dyDescent="0.25">
      <c r="A1998" s="15"/>
      <c r="B1998" s="14" t="s">
        <v>44</v>
      </c>
      <c r="C1998" s="13" t="s">
        <v>42</v>
      </c>
      <c r="D1998" s="12"/>
      <c r="E1998" s="11">
        <v>3.5</v>
      </c>
      <c r="F1998" s="10">
        <v>10</v>
      </c>
      <c r="G1998" s="10">
        <f t="shared" si="116"/>
        <v>35</v>
      </c>
      <c r="H1998" s="12"/>
      <c r="I1998" s="11"/>
      <c r="J1998" s="10"/>
      <c r="K1998" s="10">
        <f t="shared" si="117"/>
        <v>0</v>
      </c>
      <c r="L1998" s="12"/>
      <c r="M1998" s="11"/>
      <c r="N1998" s="10"/>
      <c r="O1998" s="10">
        <f t="shared" si="118"/>
        <v>0</v>
      </c>
      <c r="P1998" s="12"/>
      <c r="Q1998" s="56">
        <f t="shared" si="119"/>
        <v>0.95916689503973696</v>
      </c>
    </row>
    <row r="1999" spans="1:17" x14ac:dyDescent="0.25">
      <c r="A1999" s="15"/>
      <c r="B1999" s="14" t="s">
        <v>43</v>
      </c>
      <c r="C1999" s="13" t="s">
        <v>15</v>
      </c>
      <c r="D1999" s="12"/>
      <c r="E1999" s="11">
        <v>1</v>
      </c>
      <c r="F1999" s="10">
        <v>52.87</v>
      </c>
      <c r="G1999" s="10">
        <f t="shared" si="116"/>
        <v>52.87</v>
      </c>
      <c r="H1999" s="12"/>
      <c r="I1999" s="11"/>
      <c r="J1999" s="10"/>
      <c r="K1999" s="10">
        <f t="shared" si="117"/>
        <v>0</v>
      </c>
      <c r="L1999" s="12"/>
      <c r="M1999" s="11"/>
      <c r="N1999" s="10"/>
      <c r="O1999" s="10">
        <f t="shared" si="118"/>
        <v>0</v>
      </c>
      <c r="P1999" s="12"/>
      <c r="Q1999" s="56">
        <f t="shared" si="119"/>
        <v>0.27404768429706766</v>
      </c>
    </row>
    <row r="2000" spans="1:17" ht="15.75" thickBot="1" x14ac:dyDescent="0.3">
      <c r="A2000" s="15"/>
      <c r="B2000" s="14"/>
      <c r="C2000" s="13"/>
      <c r="D2000" s="12"/>
      <c r="E2000" s="11"/>
      <c r="F2000" s="10"/>
      <c r="G2000" s="10">
        <f t="shared" si="116"/>
        <v>0</v>
      </c>
      <c r="H2000" s="12"/>
      <c r="I2000" s="11"/>
      <c r="J2000" s="10"/>
      <c r="K2000" s="10">
        <f t="shared" si="117"/>
        <v>0</v>
      </c>
      <c r="L2000" s="12"/>
      <c r="M2000" s="11"/>
      <c r="N2000" s="10"/>
      <c r="O2000" s="10">
        <f t="shared" si="118"/>
        <v>0</v>
      </c>
      <c r="P2000" s="12"/>
      <c r="Q2000" s="46"/>
    </row>
    <row r="2001" spans="1:17" ht="16.5" thickBot="1" x14ac:dyDescent="0.3">
      <c r="A2001" s="62" t="s">
        <v>5</v>
      </c>
      <c r="B2001" s="63"/>
      <c r="C2001" s="63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6"/>
      <c r="P2001" s="17"/>
      <c r="Q2001" s="46"/>
    </row>
    <row r="2002" spans="1:17" ht="30" x14ac:dyDescent="0.25">
      <c r="A2002" s="15"/>
      <c r="B2002" s="14" t="s">
        <v>591</v>
      </c>
      <c r="C2002" s="13" t="s">
        <v>42</v>
      </c>
      <c r="D2002" s="12"/>
      <c r="E2002" s="11">
        <v>3.649</v>
      </c>
      <c r="F2002" s="42">
        <v>33</v>
      </c>
      <c r="G2002" s="10">
        <f>+E2002*F2002</f>
        <v>120.417</v>
      </c>
      <c r="H2002" s="12"/>
      <c r="I2002" s="11"/>
      <c r="J2002" s="10"/>
      <c r="K2002" s="10">
        <f>+I2002*J2002</f>
        <v>0</v>
      </c>
      <c r="L2002" s="12"/>
      <c r="M2002" s="11"/>
      <c r="N2002" s="10"/>
      <c r="O2002" s="10">
        <f>+M2002*N2002</f>
        <v>0</v>
      </c>
      <c r="P2002" s="12"/>
      <c r="Q2002" s="46"/>
    </row>
    <row r="2003" spans="1:17" ht="15.75" thickBot="1" x14ac:dyDescent="0.3">
      <c r="A2003" s="15"/>
      <c r="B2003" s="14"/>
      <c r="C2003" s="13"/>
      <c r="D2003" s="12"/>
      <c r="E2003" s="11"/>
      <c r="F2003" s="10"/>
      <c r="G2003" s="10">
        <f>+E2003*F2003</f>
        <v>0</v>
      </c>
      <c r="H2003" s="12"/>
      <c r="I2003" s="11"/>
      <c r="J2003" s="10"/>
      <c r="K2003" s="10">
        <f>+I2003*J2003</f>
        <v>0</v>
      </c>
      <c r="L2003" s="12"/>
      <c r="M2003" s="11"/>
      <c r="N2003" s="10"/>
      <c r="O2003" s="10">
        <f>+M2003*N2003</f>
        <v>0</v>
      </c>
      <c r="P2003" s="12"/>
      <c r="Q2003" s="46"/>
    </row>
    <row r="2004" spans="1:17" ht="16.5" thickBot="1" x14ac:dyDescent="0.3">
      <c r="A2004" s="62" t="s">
        <v>2</v>
      </c>
      <c r="B2004" s="63"/>
      <c r="C2004" s="63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6"/>
      <c r="P2004" s="17"/>
      <c r="Q2004" s="46"/>
    </row>
    <row r="2005" spans="1:17" x14ac:dyDescent="0.25">
      <c r="A2005" s="15"/>
      <c r="B2005" s="14" t="s">
        <v>41</v>
      </c>
      <c r="C2005" s="13" t="s">
        <v>15</v>
      </c>
      <c r="D2005" s="12"/>
      <c r="E2005" s="11">
        <v>1</v>
      </c>
      <c r="F2005" s="10">
        <v>17.86</v>
      </c>
      <c r="G2005" s="10">
        <f>+E2005*F2005</f>
        <v>17.86</v>
      </c>
      <c r="H2005" s="12"/>
      <c r="I2005" s="11"/>
      <c r="J2005" s="10"/>
      <c r="K2005" s="10">
        <f>+I2005*J2005</f>
        <v>0</v>
      </c>
      <c r="L2005" s="12"/>
      <c r="M2005" s="11"/>
      <c r="N2005" s="10"/>
      <c r="O2005" s="10">
        <f>+M2005*N2005</f>
        <v>0</v>
      </c>
      <c r="P2005" s="12"/>
      <c r="Q2005" s="56">
        <f>+E2005/$E$2002</f>
        <v>0.27404768429706766</v>
      </c>
    </row>
    <row r="2006" spans="1:17" x14ac:dyDescent="0.25">
      <c r="A2006" s="15"/>
      <c r="B2006" s="14"/>
      <c r="C2006" s="13"/>
      <c r="D2006" s="12"/>
      <c r="E2006" s="11"/>
      <c r="F2006" s="10"/>
      <c r="G2006" s="10">
        <f>+E2006*F2006</f>
        <v>0</v>
      </c>
      <c r="H2006" s="12"/>
      <c r="I2006" s="11"/>
      <c r="J2006" s="10"/>
      <c r="K2006" s="10">
        <f>+I2006*J2006</f>
        <v>0</v>
      </c>
      <c r="L2006" s="12"/>
      <c r="M2006" s="11"/>
      <c r="N2006" s="10"/>
      <c r="O2006" s="10">
        <f>+M2006*N2006</f>
        <v>0</v>
      </c>
      <c r="P2006" s="12"/>
      <c r="Q2006" s="46"/>
    </row>
    <row r="2007" spans="1:17" ht="15.75" thickBot="1" x14ac:dyDescent="0.3">
      <c r="Q2007" s="46"/>
    </row>
    <row r="2008" spans="1:17" ht="21" thickBot="1" x14ac:dyDescent="0.3">
      <c r="A2008" s="64" t="s">
        <v>1</v>
      </c>
      <c r="B2008" s="65"/>
      <c r="C2008" s="66"/>
      <c r="D2008" s="5"/>
      <c r="E2008" s="9"/>
      <c r="F2008" s="8"/>
      <c r="G2008" s="7">
        <f>SUM(G1993:G2007)</f>
        <v>493.93700000000001</v>
      </c>
      <c r="H2008" s="5"/>
      <c r="I2008" s="9"/>
      <c r="J2008" s="8"/>
      <c r="K2008" s="7">
        <f>SUM(K1991:K2006)</f>
        <v>0</v>
      </c>
      <c r="L2008" s="5"/>
      <c r="M2008" s="9"/>
      <c r="N2008" s="8"/>
      <c r="O2008" s="7">
        <f>SUM(O1991:O2006)</f>
        <v>0</v>
      </c>
      <c r="P2008" s="5"/>
      <c r="Q2008" s="46"/>
    </row>
    <row r="2009" spans="1:17" ht="21" thickBot="1" x14ac:dyDescent="0.3">
      <c r="A2009" s="60" t="s">
        <v>0</v>
      </c>
      <c r="B2009" s="61"/>
      <c r="C2009" s="61"/>
      <c r="D2009" s="5"/>
      <c r="E2009" s="4"/>
      <c r="F2009" s="3"/>
      <c r="G2009" s="6">
        <f>+G2008/E2002</f>
        <v>135.36229103864073</v>
      </c>
      <c r="H2009" s="5"/>
      <c r="I2009" s="4"/>
      <c r="J2009" s="3"/>
      <c r="K2009" s="2" t="e">
        <f>+K2008/I2002</f>
        <v>#DIV/0!</v>
      </c>
      <c r="L2009" s="5"/>
      <c r="M2009" s="4"/>
      <c r="N2009" s="3"/>
      <c r="O2009" s="2" t="e">
        <f>+O2008/M2002</f>
        <v>#DIV/0!</v>
      </c>
      <c r="P2009" s="5"/>
      <c r="Q2009" s="46"/>
    </row>
    <row r="2010" spans="1:17" x14ac:dyDescent="0.25">
      <c r="Q2010" s="46"/>
    </row>
    <row r="2011" spans="1:17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46"/>
    </row>
    <row r="2012" spans="1:17" ht="15.75" thickBot="1" x14ac:dyDescent="0.3">
      <c r="Q2012" s="46"/>
    </row>
    <row r="2013" spans="1:17" ht="32.25" thickBot="1" x14ac:dyDescent="0.3">
      <c r="A2013" s="20" t="s">
        <v>37</v>
      </c>
      <c r="B2013" s="19" t="s">
        <v>39</v>
      </c>
      <c r="C2013" s="18" t="s">
        <v>19</v>
      </c>
      <c r="Q2013" s="46"/>
    </row>
    <row r="2014" spans="1:17" ht="15.75" thickBot="1" x14ac:dyDescent="0.3">
      <c r="Q2014" s="46"/>
    </row>
    <row r="2015" spans="1:17" ht="16.5" thickBot="1" x14ac:dyDescent="0.3">
      <c r="A2015" s="62" t="s">
        <v>11</v>
      </c>
      <c r="B2015" s="63"/>
      <c r="C2015" s="63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6"/>
      <c r="P2015" s="17"/>
      <c r="Q2015" s="46"/>
    </row>
    <row r="2016" spans="1:17" ht="15.75" thickBot="1" x14ac:dyDescent="0.3">
      <c r="A2016" s="15"/>
      <c r="B2016" s="14"/>
      <c r="C2016" s="13"/>
      <c r="D2016" s="12"/>
      <c r="E2016" s="11"/>
      <c r="F2016" s="10"/>
      <c r="G2016" s="10">
        <f>+E2016*F2016</f>
        <v>0</v>
      </c>
      <c r="H2016" s="12"/>
      <c r="I2016" s="11"/>
      <c r="J2016" s="10"/>
      <c r="K2016" s="10">
        <f>+I2016*J2016</f>
        <v>0</v>
      </c>
      <c r="L2016" s="12"/>
      <c r="M2016" s="11"/>
      <c r="N2016" s="10"/>
      <c r="O2016" s="10">
        <f>+M2016*N2016</f>
        <v>0</v>
      </c>
      <c r="P2016" s="12"/>
      <c r="Q2016" s="46"/>
    </row>
    <row r="2017" spans="1:17" ht="16.5" thickBot="1" x14ac:dyDescent="0.3">
      <c r="A2017" s="62" t="s">
        <v>5</v>
      </c>
      <c r="B2017" s="63"/>
      <c r="C2017" s="63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6"/>
      <c r="P2017" s="17"/>
      <c r="Q2017" s="46"/>
    </row>
    <row r="2018" spans="1:17" ht="30" x14ac:dyDescent="0.25">
      <c r="A2018" s="15"/>
      <c r="B2018" s="14" t="s">
        <v>38</v>
      </c>
      <c r="C2018" s="13" t="s">
        <v>13</v>
      </c>
      <c r="D2018" s="12"/>
      <c r="E2018" s="11"/>
      <c r="F2018" s="10"/>
      <c r="G2018" s="10">
        <f>+E2018*F2018</f>
        <v>0</v>
      </c>
      <c r="H2018" s="12"/>
      <c r="I2018" s="11">
        <v>43.07</v>
      </c>
      <c r="J2018" s="10">
        <v>2</v>
      </c>
      <c r="K2018" s="10">
        <f>+I2018*J2018</f>
        <v>86.14</v>
      </c>
      <c r="L2018" s="12"/>
      <c r="M2018" s="11"/>
      <c r="N2018" s="10"/>
      <c r="O2018" s="10">
        <f>+M2018*N2018</f>
        <v>0</v>
      </c>
      <c r="P2018" s="12"/>
      <c r="Q2018" s="46"/>
    </row>
    <row r="2019" spans="1:17" ht="15.75" thickBot="1" x14ac:dyDescent="0.3">
      <c r="A2019" s="15"/>
      <c r="B2019" s="14"/>
      <c r="C2019" s="13"/>
      <c r="D2019" s="12"/>
      <c r="E2019" s="11"/>
      <c r="F2019" s="10"/>
      <c r="G2019" s="10">
        <f>+E2019*F2019</f>
        <v>0</v>
      </c>
      <c r="H2019" s="12"/>
      <c r="I2019" s="11"/>
      <c r="J2019" s="10"/>
      <c r="K2019" s="10">
        <f>+I2019*J2019</f>
        <v>0</v>
      </c>
      <c r="L2019" s="12"/>
      <c r="M2019" s="11"/>
      <c r="N2019" s="10"/>
      <c r="O2019" s="10">
        <f>+M2019*N2019</f>
        <v>0</v>
      </c>
      <c r="P2019" s="12"/>
      <c r="Q2019" s="46"/>
    </row>
    <row r="2020" spans="1:17" ht="16.5" thickBot="1" x14ac:dyDescent="0.3">
      <c r="A2020" s="62" t="s">
        <v>2</v>
      </c>
      <c r="B2020" s="63"/>
      <c r="C2020" s="63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6"/>
      <c r="P2020" s="17"/>
      <c r="Q2020" s="46"/>
    </row>
    <row r="2021" spans="1:17" x14ac:dyDescent="0.25">
      <c r="A2021" s="15"/>
      <c r="B2021" s="14"/>
      <c r="C2021" s="13"/>
      <c r="D2021" s="12"/>
      <c r="E2021" s="11"/>
      <c r="F2021" s="10"/>
      <c r="G2021" s="10">
        <f>+E2021*F2021</f>
        <v>0</v>
      </c>
      <c r="H2021" s="12"/>
      <c r="I2021" s="11"/>
      <c r="J2021" s="10"/>
      <c r="K2021" s="10">
        <f>+I2021*J2021</f>
        <v>0</v>
      </c>
      <c r="L2021" s="12"/>
      <c r="M2021" s="11"/>
      <c r="N2021" s="10"/>
      <c r="O2021" s="10">
        <f>+M2021*N2021</f>
        <v>0</v>
      </c>
      <c r="P2021" s="12"/>
      <c r="Q2021" s="46"/>
    </row>
    <row r="2022" spans="1:17" ht="15.75" thickBot="1" x14ac:dyDescent="0.3">
      <c r="Q2022" s="46"/>
    </row>
    <row r="2023" spans="1:17" ht="21" thickBot="1" x14ac:dyDescent="0.3">
      <c r="A2023" s="64" t="s">
        <v>1</v>
      </c>
      <c r="B2023" s="65"/>
      <c r="C2023" s="66"/>
      <c r="D2023" s="5"/>
      <c r="E2023" s="9"/>
      <c r="F2023" s="8"/>
      <c r="G2023" s="7">
        <f>SUM(G2015:G2022)</f>
        <v>0</v>
      </c>
      <c r="H2023" s="5"/>
      <c r="I2023" s="9"/>
      <c r="J2023" s="8"/>
      <c r="K2023" s="7">
        <f>SUM(K2013:K2021)</f>
        <v>86.14</v>
      </c>
      <c r="L2023" s="5"/>
      <c r="M2023" s="9"/>
      <c r="N2023" s="8"/>
      <c r="O2023" s="7">
        <f>SUM(O2013:O2021)</f>
        <v>0</v>
      </c>
      <c r="P2023" s="5"/>
      <c r="Q2023" s="46"/>
    </row>
    <row r="2024" spans="1:17" ht="21" thickBot="1" x14ac:dyDescent="0.3">
      <c r="A2024" s="60" t="s">
        <v>0</v>
      </c>
      <c r="B2024" s="61"/>
      <c r="C2024" s="61"/>
      <c r="D2024" s="5"/>
      <c r="E2024" s="4"/>
      <c r="F2024" s="3"/>
      <c r="G2024" s="2" t="e">
        <f>+G2023/E2018</f>
        <v>#DIV/0!</v>
      </c>
      <c r="H2024" s="5"/>
      <c r="I2024" s="4"/>
      <c r="J2024" s="3"/>
      <c r="K2024" s="6">
        <f>+K2023/I2018</f>
        <v>2</v>
      </c>
      <c r="L2024" s="5"/>
      <c r="M2024" s="4"/>
      <c r="N2024" s="3"/>
      <c r="O2024" s="2" t="e">
        <f>+O2023/M2018</f>
        <v>#DIV/0!</v>
      </c>
      <c r="P2024" s="5"/>
      <c r="Q2024" s="46"/>
    </row>
    <row r="2025" spans="1:17" x14ac:dyDescent="0.25">
      <c r="Q2025" s="46"/>
    </row>
    <row r="2026" spans="1:17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46"/>
    </row>
    <row r="2027" spans="1:17" ht="15.75" thickBot="1" x14ac:dyDescent="0.3">
      <c r="Q2027" s="46"/>
    </row>
    <row r="2028" spans="1:17" ht="19.5" thickBot="1" x14ac:dyDescent="0.3">
      <c r="A2028" s="20" t="s">
        <v>34</v>
      </c>
      <c r="B2028" s="19" t="s">
        <v>36</v>
      </c>
      <c r="C2028" s="18" t="s">
        <v>19</v>
      </c>
      <c r="Q2028" s="46"/>
    </row>
    <row r="2029" spans="1:17" ht="15.75" thickBot="1" x14ac:dyDescent="0.3">
      <c r="Q2029" s="46"/>
    </row>
    <row r="2030" spans="1:17" ht="16.5" thickBot="1" x14ac:dyDescent="0.3">
      <c r="A2030" s="62" t="s">
        <v>11</v>
      </c>
      <c r="B2030" s="63"/>
      <c r="C2030" s="63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6"/>
      <c r="P2030" s="17"/>
      <c r="Q2030" s="46"/>
    </row>
    <row r="2031" spans="1:17" ht="30" x14ac:dyDescent="0.25">
      <c r="A2031" s="15"/>
      <c r="B2031" s="14" t="s">
        <v>18</v>
      </c>
      <c r="C2031" s="13" t="s">
        <v>3</v>
      </c>
      <c r="D2031" s="12"/>
      <c r="E2031" s="11"/>
      <c r="F2031" s="10"/>
      <c r="G2031" s="10">
        <f t="shared" ref="G2031:G2036" si="120">+E2031*F2031</f>
        <v>0</v>
      </c>
      <c r="H2031" s="12"/>
      <c r="I2031" s="11">
        <v>3.91</v>
      </c>
      <c r="J2031" s="10">
        <v>15.56</v>
      </c>
      <c r="K2031" s="10">
        <f t="shared" ref="K2031:K2036" si="121">+I2031*J2031</f>
        <v>60.839600000000004</v>
      </c>
      <c r="L2031" s="12"/>
      <c r="M2031" s="11"/>
      <c r="N2031" s="10"/>
      <c r="O2031" s="10">
        <f t="shared" ref="O2031:O2036" si="122">+M2031*N2031</f>
        <v>0</v>
      </c>
      <c r="P2031" s="12"/>
      <c r="Q2031" s="46"/>
    </row>
    <row r="2032" spans="1:17" ht="30" x14ac:dyDescent="0.25">
      <c r="A2032" s="15"/>
      <c r="B2032" s="14" t="s">
        <v>533</v>
      </c>
      <c r="C2032" s="13" t="s">
        <v>3</v>
      </c>
      <c r="D2032" s="12"/>
      <c r="E2032" s="11"/>
      <c r="F2032" s="10"/>
      <c r="G2032" s="10">
        <f t="shared" si="120"/>
        <v>0</v>
      </c>
      <c r="H2032" s="12"/>
      <c r="I2032" s="11">
        <v>5.96</v>
      </c>
      <c r="J2032" s="10">
        <v>15.56</v>
      </c>
      <c r="K2032" s="10">
        <f t="shared" si="121"/>
        <v>92.7376</v>
      </c>
      <c r="L2032" s="12"/>
      <c r="M2032" s="11"/>
      <c r="N2032" s="10"/>
      <c r="O2032" s="10">
        <f t="shared" si="122"/>
        <v>0</v>
      </c>
      <c r="P2032" s="12"/>
      <c r="Q2032" s="46"/>
    </row>
    <row r="2033" spans="1:17" ht="30" x14ac:dyDescent="0.25">
      <c r="A2033" s="15"/>
      <c r="B2033" s="14" t="s">
        <v>17</v>
      </c>
      <c r="C2033" s="13" t="s">
        <v>3</v>
      </c>
      <c r="D2033" s="12"/>
      <c r="E2033" s="11"/>
      <c r="F2033" s="10"/>
      <c r="G2033" s="10">
        <f t="shared" si="120"/>
        <v>0</v>
      </c>
      <c r="H2033" s="12"/>
      <c r="I2033" s="11">
        <v>8.76</v>
      </c>
      <c r="J2033" s="10">
        <v>15.56</v>
      </c>
      <c r="K2033" s="10">
        <f t="shared" si="121"/>
        <v>136.3056</v>
      </c>
      <c r="L2033" s="12"/>
      <c r="M2033" s="11"/>
      <c r="N2033" s="10"/>
      <c r="O2033" s="10">
        <f t="shared" si="122"/>
        <v>0</v>
      </c>
      <c r="P2033" s="12"/>
      <c r="Q2033" s="46"/>
    </row>
    <row r="2034" spans="1:17" ht="30" x14ac:dyDescent="0.25">
      <c r="A2034" s="15"/>
      <c r="B2034" s="14" t="s">
        <v>16</v>
      </c>
      <c r="C2034" s="13" t="s">
        <v>15</v>
      </c>
      <c r="D2034" s="12"/>
      <c r="E2034" s="11"/>
      <c r="F2034" s="10"/>
      <c r="G2034" s="10">
        <f t="shared" si="120"/>
        <v>0</v>
      </c>
      <c r="H2034" s="12"/>
      <c r="I2034" s="11">
        <v>1</v>
      </c>
      <c r="J2034" s="10">
        <v>7.56</v>
      </c>
      <c r="K2034" s="10">
        <f t="shared" si="121"/>
        <v>7.56</v>
      </c>
      <c r="L2034" s="12"/>
      <c r="M2034" s="11"/>
      <c r="N2034" s="10"/>
      <c r="O2034" s="10">
        <f t="shared" si="122"/>
        <v>0</v>
      </c>
      <c r="P2034" s="12"/>
      <c r="Q2034" s="56">
        <f>+I2034/$I$2038</f>
        <v>2.9463759575721865E-2</v>
      </c>
    </row>
    <row r="2035" spans="1:17" x14ac:dyDescent="0.25">
      <c r="A2035" s="15"/>
      <c r="B2035" s="14" t="s">
        <v>7</v>
      </c>
      <c r="C2035" s="13" t="s">
        <v>6</v>
      </c>
      <c r="D2035" s="12"/>
      <c r="E2035" s="11"/>
      <c r="F2035" s="10"/>
      <c r="G2035" s="10">
        <f t="shared" si="120"/>
        <v>0</v>
      </c>
      <c r="H2035" s="12"/>
      <c r="I2035" s="11">
        <v>0.5</v>
      </c>
      <c r="J2035" s="10">
        <v>16.48</v>
      </c>
      <c r="K2035" s="10">
        <f t="shared" si="121"/>
        <v>8.24</v>
      </c>
      <c r="L2035" s="12"/>
      <c r="M2035" s="11"/>
      <c r="N2035" s="10"/>
      <c r="O2035" s="10">
        <f t="shared" si="122"/>
        <v>0</v>
      </c>
      <c r="P2035" s="12"/>
      <c r="Q2035" s="56">
        <f>+I2035/$I$2038</f>
        <v>1.4731879787860933E-2</v>
      </c>
    </row>
    <row r="2036" spans="1:17" ht="15.75" thickBot="1" x14ac:dyDescent="0.3">
      <c r="A2036" s="15"/>
      <c r="B2036" s="14"/>
      <c r="C2036" s="13"/>
      <c r="D2036" s="12"/>
      <c r="E2036" s="11"/>
      <c r="F2036" s="10"/>
      <c r="G2036" s="10">
        <f t="shared" si="120"/>
        <v>0</v>
      </c>
      <c r="H2036" s="12"/>
      <c r="I2036" s="11"/>
      <c r="J2036" s="10"/>
      <c r="K2036" s="10">
        <f t="shared" si="121"/>
        <v>0</v>
      </c>
      <c r="L2036" s="12"/>
      <c r="M2036" s="11"/>
      <c r="N2036" s="10"/>
      <c r="O2036" s="10">
        <f t="shared" si="122"/>
        <v>0</v>
      </c>
      <c r="P2036" s="12"/>
      <c r="Q2036" s="46"/>
    </row>
    <row r="2037" spans="1:17" ht="16.5" thickBot="1" x14ac:dyDescent="0.3">
      <c r="A2037" s="62" t="s">
        <v>5</v>
      </c>
      <c r="B2037" s="63"/>
      <c r="C2037" s="63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6"/>
      <c r="P2037" s="17"/>
      <c r="Q2037" s="46"/>
    </row>
    <row r="2038" spans="1:17" ht="18" x14ac:dyDescent="0.25">
      <c r="A2038" s="15"/>
      <c r="B2038" s="14" t="s">
        <v>35</v>
      </c>
      <c r="C2038" s="13" t="s">
        <v>13</v>
      </c>
      <c r="D2038" s="12"/>
      <c r="E2038" s="11"/>
      <c r="F2038" s="10"/>
      <c r="G2038" s="10">
        <f>+E2038*F2038</f>
        <v>0</v>
      </c>
      <c r="H2038" s="12"/>
      <c r="I2038" s="11">
        <v>33.94</v>
      </c>
      <c r="J2038" s="10">
        <v>2.8</v>
      </c>
      <c r="K2038" s="10">
        <f>+I2038*J2038</f>
        <v>95.031999999999982</v>
      </c>
      <c r="L2038" s="12"/>
      <c r="M2038" s="11"/>
      <c r="N2038" s="10"/>
      <c r="O2038" s="10">
        <f>+M2038*N2038</f>
        <v>0</v>
      </c>
      <c r="P2038" s="12"/>
      <c r="Q2038" s="46"/>
    </row>
    <row r="2039" spans="1:17" ht="15.75" thickBot="1" x14ac:dyDescent="0.3">
      <c r="A2039" s="15"/>
      <c r="B2039" s="14"/>
      <c r="C2039" s="13"/>
      <c r="D2039" s="12"/>
      <c r="E2039" s="11"/>
      <c r="F2039" s="10"/>
      <c r="G2039" s="10">
        <f>+E2039*F2039</f>
        <v>0</v>
      </c>
      <c r="H2039" s="12"/>
      <c r="I2039" s="11"/>
      <c r="J2039" s="10"/>
      <c r="K2039" s="10">
        <f>+I2039*J2039</f>
        <v>0</v>
      </c>
      <c r="L2039" s="12"/>
      <c r="M2039" s="11"/>
      <c r="N2039" s="10"/>
      <c r="O2039" s="10">
        <f>+M2039*N2039</f>
        <v>0</v>
      </c>
      <c r="P2039" s="12"/>
      <c r="Q2039" s="46"/>
    </row>
    <row r="2040" spans="1:17" ht="16.5" thickBot="1" x14ac:dyDescent="0.3">
      <c r="A2040" s="62" t="s">
        <v>2</v>
      </c>
      <c r="B2040" s="63"/>
      <c r="C2040" s="63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6"/>
      <c r="P2040" s="17"/>
      <c r="Q2040" s="46"/>
    </row>
    <row r="2041" spans="1:17" x14ac:dyDescent="0.25">
      <c r="A2041" s="15"/>
      <c r="B2041" s="14" t="s">
        <v>534</v>
      </c>
      <c r="C2041" s="13" t="s">
        <v>15</v>
      </c>
      <c r="D2041" s="12"/>
      <c r="E2041" s="11"/>
      <c r="F2041" s="10"/>
      <c r="G2041" s="10">
        <f>+E2041*F2041</f>
        <v>0</v>
      </c>
      <c r="H2041" s="12"/>
      <c r="I2041" s="11">
        <v>0.62</v>
      </c>
      <c r="J2041" s="10">
        <v>35</v>
      </c>
      <c r="K2041" s="10">
        <f>+I2041*J2041</f>
        <v>21.7</v>
      </c>
      <c r="L2041" s="12"/>
      <c r="M2041" s="11"/>
      <c r="N2041" s="10"/>
      <c r="O2041" s="10">
        <f>+M2041*N2041</f>
        <v>0</v>
      </c>
      <c r="P2041" s="12"/>
      <c r="Q2041" s="56">
        <f>+I2041/$I$2038</f>
        <v>1.8267530936947555E-2</v>
      </c>
    </row>
    <row r="2042" spans="1:17" x14ac:dyDescent="0.25">
      <c r="A2042" s="15"/>
      <c r="B2042" s="14"/>
      <c r="C2042" s="13"/>
      <c r="D2042" s="12"/>
      <c r="E2042" s="11"/>
      <c r="F2042" s="10"/>
      <c r="G2042" s="10">
        <f>+E2042*F2042</f>
        <v>0</v>
      </c>
      <c r="H2042" s="12"/>
      <c r="I2042" s="11"/>
      <c r="J2042" s="10"/>
      <c r="K2042" s="10">
        <f>+I2042*J2042</f>
        <v>0</v>
      </c>
      <c r="L2042" s="12"/>
      <c r="M2042" s="11"/>
      <c r="N2042" s="10"/>
      <c r="O2042" s="10">
        <f>+M2042*N2042</f>
        <v>0</v>
      </c>
      <c r="P2042" s="12"/>
      <c r="Q2042" s="46"/>
    </row>
    <row r="2043" spans="1:17" ht="15.75" thickBot="1" x14ac:dyDescent="0.3">
      <c r="Q2043" s="46"/>
    </row>
    <row r="2044" spans="1:17" ht="21" thickBot="1" x14ac:dyDescent="0.3">
      <c r="A2044" s="64" t="s">
        <v>1</v>
      </c>
      <c r="B2044" s="65"/>
      <c r="C2044" s="66"/>
      <c r="D2044" s="5"/>
      <c r="E2044" s="9"/>
      <c r="F2044" s="8"/>
      <c r="G2044" s="7">
        <f>SUM(G2030:G2043)</f>
        <v>0</v>
      </c>
      <c r="H2044" s="5"/>
      <c r="I2044" s="9"/>
      <c r="J2044" s="8"/>
      <c r="K2044" s="7">
        <f>SUM(K2028:K2042)</f>
        <v>422.41479999999996</v>
      </c>
      <c r="L2044" s="5"/>
      <c r="M2044" s="9"/>
      <c r="N2044" s="8"/>
      <c r="O2044" s="7">
        <f>SUM(O2028:O2042)</f>
        <v>0</v>
      </c>
      <c r="P2044" s="5"/>
      <c r="Q2044" s="46"/>
    </row>
    <row r="2045" spans="1:17" ht="21" thickBot="1" x14ac:dyDescent="0.3">
      <c r="A2045" s="60" t="s">
        <v>0</v>
      </c>
      <c r="B2045" s="61"/>
      <c r="C2045" s="61"/>
      <c r="D2045" s="5"/>
      <c r="E2045" s="4"/>
      <c r="F2045" s="3"/>
      <c r="G2045" s="2" t="e">
        <f>+G2044/E2038</f>
        <v>#DIV/0!</v>
      </c>
      <c r="H2045" s="5"/>
      <c r="I2045" s="4"/>
      <c r="J2045" s="3"/>
      <c r="K2045" s="6">
        <f>+K2044/I2038</f>
        <v>12.445928108426635</v>
      </c>
      <c r="L2045" s="5"/>
      <c r="M2045" s="4"/>
      <c r="N2045" s="3"/>
      <c r="O2045" s="2" t="e">
        <f>+O2044/M2038</f>
        <v>#DIV/0!</v>
      </c>
      <c r="P2045" s="5"/>
      <c r="Q2045" s="46"/>
    </row>
    <row r="2046" spans="1:17" x14ac:dyDescent="0.25">
      <c r="Q2046" s="46"/>
    </row>
    <row r="2047" spans="1:17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46"/>
    </row>
    <row r="2048" spans="1:17" ht="15.75" thickBot="1" x14ac:dyDescent="0.3">
      <c r="Q2048" s="46"/>
    </row>
    <row r="2049" spans="1:17" ht="19.5" thickBot="1" x14ac:dyDescent="0.3">
      <c r="A2049" s="20" t="s">
        <v>29</v>
      </c>
      <c r="B2049" s="19" t="s">
        <v>33</v>
      </c>
      <c r="C2049" s="18" t="s">
        <v>19</v>
      </c>
      <c r="Q2049" s="46"/>
    </row>
    <row r="2050" spans="1:17" ht="15.75" thickBot="1" x14ac:dyDescent="0.3">
      <c r="Q2050" s="46"/>
    </row>
    <row r="2051" spans="1:17" ht="16.5" thickBot="1" x14ac:dyDescent="0.3">
      <c r="A2051" s="62" t="s">
        <v>11</v>
      </c>
      <c r="B2051" s="63"/>
      <c r="C2051" s="63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6"/>
      <c r="P2051" s="17"/>
      <c r="Q2051" s="46"/>
    </row>
    <row r="2052" spans="1:17" x14ac:dyDescent="0.25">
      <c r="A2052" s="15"/>
      <c r="B2052" s="14" t="s">
        <v>32</v>
      </c>
      <c r="C2052" s="13" t="s">
        <v>30</v>
      </c>
      <c r="D2052" s="12"/>
      <c r="E2052" s="11"/>
      <c r="F2052" s="10"/>
      <c r="G2052" s="10">
        <f>+E2052*F2052</f>
        <v>0</v>
      </c>
      <c r="H2052" s="12"/>
      <c r="I2052" s="11">
        <v>2</v>
      </c>
      <c r="J2052" s="10">
        <v>1.8</v>
      </c>
      <c r="K2052" s="10">
        <f>+I2052*J2052</f>
        <v>3.6</v>
      </c>
      <c r="L2052" s="12"/>
      <c r="M2052" s="11"/>
      <c r="N2052" s="10"/>
      <c r="O2052" s="10">
        <f>+M2052*N2052</f>
        <v>0</v>
      </c>
      <c r="P2052" s="12"/>
      <c r="Q2052" s="46"/>
    </row>
    <row r="2053" spans="1:17" x14ac:dyDescent="0.25">
      <c r="A2053" s="15"/>
      <c r="B2053" s="14" t="s">
        <v>31</v>
      </c>
      <c r="C2053" s="13" t="s">
        <v>30</v>
      </c>
      <c r="D2053" s="12"/>
      <c r="E2053" s="11"/>
      <c r="F2053" s="10"/>
      <c r="G2053" s="10">
        <f>+E2053*F2053</f>
        <v>0</v>
      </c>
      <c r="H2053" s="12"/>
      <c r="I2053" s="11">
        <v>1</v>
      </c>
      <c r="J2053" s="10">
        <v>2.2999999999999998</v>
      </c>
      <c r="K2053" s="10">
        <f>+I2053*J2053</f>
        <v>2.2999999999999998</v>
      </c>
      <c r="L2053" s="12"/>
      <c r="M2053" s="11"/>
      <c r="N2053" s="10"/>
      <c r="O2053" s="10">
        <f>+M2053*N2053</f>
        <v>0</v>
      </c>
      <c r="P2053" s="12"/>
      <c r="Q2053" s="46"/>
    </row>
    <row r="2054" spans="1:17" ht="15.75" thickBot="1" x14ac:dyDescent="0.3">
      <c r="A2054" s="15"/>
      <c r="B2054" s="14"/>
      <c r="C2054" s="13"/>
      <c r="D2054" s="12"/>
      <c r="E2054" s="11"/>
      <c r="F2054" s="10"/>
      <c r="G2054" s="10">
        <f>+E2054*F2054</f>
        <v>0</v>
      </c>
      <c r="H2054" s="12"/>
      <c r="I2054" s="11"/>
      <c r="J2054" s="10"/>
      <c r="K2054" s="10">
        <f>+I2054*J2054</f>
        <v>0</v>
      </c>
      <c r="L2054" s="12"/>
      <c r="M2054" s="11"/>
      <c r="N2054" s="10"/>
      <c r="O2054" s="10">
        <f>+M2054*N2054</f>
        <v>0</v>
      </c>
      <c r="P2054" s="12"/>
      <c r="Q2054" s="46"/>
    </row>
    <row r="2055" spans="1:17" ht="16.5" thickBot="1" x14ac:dyDescent="0.3">
      <c r="A2055" s="62" t="s">
        <v>5</v>
      </c>
      <c r="B2055" s="63"/>
      <c r="C2055" s="63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6"/>
      <c r="P2055" s="17"/>
      <c r="Q2055" s="46"/>
    </row>
    <row r="2056" spans="1:17" ht="18" x14ac:dyDescent="0.25">
      <c r="A2056" s="15"/>
      <c r="B2056" s="14" t="s">
        <v>27</v>
      </c>
      <c r="C2056" s="13" t="s">
        <v>13</v>
      </c>
      <c r="D2056" s="12"/>
      <c r="E2056" s="11"/>
      <c r="F2056" s="10"/>
      <c r="G2056" s="10">
        <f>+E2056*F2056</f>
        <v>0</v>
      </c>
      <c r="H2056" s="12"/>
      <c r="I2056" s="11">
        <v>87.33</v>
      </c>
      <c r="J2056" s="42">
        <v>0.72</v>
      </c>
      <c r="K2056" s="10">
        <f>+I2056*J2056</f>
        <v>62.877599999999994</v>
      </c>
      <c r="L2056" s="12"/>
      <c r="M2056" s="11"/>
      <c r="N2056" s="10"/>
      <c r="O2056" s="10">
        <f>+M2056*N2056</f>
        <v>0</v>
      </c>
      <c r="P2056" s="12"/>
      <c r="Q2056" s="46"/>
    </row>
    <row r="2057" spans="1:17" ht="15.75" thickBot="1" x14ac:dyDescent="0.3">
      <c r="A2057" s="15"/>
      <c r="B2057" s="14"/>
      <c r="C2057" s="13"/>
      <c r="D2057" s="12"/>
      <c r="E2057" s="11"/>
      <c r="F2057" s="10"/>
      <c r="G2057" s="10">
        <f>+E2057*F2057</f>
        <v>0</v>
      </c>
      <c r="H2057" s="12"/>
      <c r="I2057" s="11"/>
      <c r="J2057" s="10"/>
      <c r="K2057" s="10">
        <f>+I2057*J2057</f>
        <v>0</v>
      </c>
      <c r="L2057" s="12"/>
      <c r="M2057" s="11"/>
      <c r="N2057" s="10"/>
      <c r="O2057" s="10">
        <f>+M2057*N2057</f>
        <v>0</v>
      </c>
      <c r="P2057" s="12"/>
      <c r="Q2057" s="46"/>
    </row>
    <row r="2058" spans="1:17" ht="16.5" thickBot="1" x14ac:dyDescent="0.3">
      <c r="A2058" s="62" t="s">
        <v>2</v>
      </c>
      <c r="B2058" s="63"/>
      <c r="C2058" s="63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6"/>
      <c r="P2058" s="17"/>
      <c r="Q2058" s="46"/>
    </row>
    <row r="2059" spans="1:17" x14ac:dyDescent="0.25">
      <c r="A2059" s="15"/>
      <c r="B2059" s="14"/>
      <c r="C2059" s="13"/>
      <c r="D2059" s="12"/>
      <c r="E2059" s="11"/>
      <c r="F2059" s="10"/>
      <c r="G2059" s="10">
        <f>+E2059*F2059</f>
        <v>0</v>
      </c>
      <c r="H2059" s="12"/>
      <c r="I2059" s="11"/>
      <c r="J2059" s="10"/>
      <c r="K2059" s="10">
        <f>+I2059*J2059</f>
        <v>0</v>
      </c>
      <c r="L2059" s="12"/>
      <c r="M2059" s="11"/>
      <c r="N2059" s="10"/>
      <c r="O2059" s="10">
        <f>+M2059*N2059</f>
        <v>0</v>
      </c>
      <c r="P2059" s="12"/>
      <c r="Q2059" s="46"/>
    </row>
    <row r="2060" spans="1:17" ht="15.75" thickBot="1" x14ac:dyDescent="0.3">
      <c r="Q2060" s="46"/>
    </row>
    <row r="2061" spans="1:17" ht="21" thickBot="1" x14ac:dyDescent="0.3">
      <c r="A2061" s="64" t="s">
        <v>1</v>
      </c>
      <c r="B2061" s="65"/>
      <c r="C2061" s="66"/>
      <c r="D2061" s="5"/>
      <c r="E2061" s="9"/>
      <c r="F2061" s="8"/>
      <c r="G2061" s="7">
        <f>SUM(G2051:G2060)</f>
        <v>0</v>
      </c>
      <c r="H2061" s="5"/>
      <c r="I2061" s="9"/>
      <c r="J2061" s="8"/>
      <c r="K2061" s="7">
        <f>SUM(K2049:K2059)</f>
        <v>68.777599999999993</v>
      </c>
      <c r="L2061" s="5"/>
      <c r="M2061" s="9"/>
      <c r="N2061" s="8"/>
      <c r="O2061" s="7">
        <f>SUM(O2049:O2059)</f>
        <v>0</v>
      </c>
      <c r="P2061" s="5"/>
      <c r="Q2061" s="46"/>
    </row>
    <row r="2062" spans="1:17" ht="21" thickBot="1" x14ac:dyDescent="0.3">
      <c r="A2062" s="60" t="s">
        <v>0</v>
      </c>
      <c r="B2062" s="61"/>
      <c r="C2062" s="61"/>
      <c r="D2062" s="5"/>
      <c r="E2062" s="4"/>
      <c r="F2062" s="3"/>
      <c r="G2062" s="2" t="e">
        <f>+G2061/E2056</f>
        <v>#DIV/0!</v>
      </c>
      <c r="H2062" s="5"/>
      <c r="I2062" s="4"/>
      <c r="J2062" s="3"/>
      <c r="K2062" s="6">
        <f>+K2061/I2056</f>
        <v>0.7875598305278827</v>
      </c>
      <c r="L2062" s="5"/>
      <c r="M2062" s="4"/>
      <c r="N2062" s="3"/>
      <c r="O2062" s="6" t="e">
        <f>+O2061/M2056</f>
        <v>#DIV/0!</v>
      </c>
      <c r="P2062" s="5"/>
      <c r="Q2062" s="46"/>
    </row>
    <row r="2063" spans="1:17" x14ac:dyDescent="0.25">
      <c r="Q2063" s="46"/>
    </row>
    <row r="2064" spans="1:17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46"/>
    </row>
    <row r="2065" spans="1:17" ht="15.75" thickBot="1" x14ac:dyDescent="0.3">
      <c r="Q2065" s="46"/>
    </row>
    <row r="2066" spans="1:17" ht="19.5" thickBot="1" x14ac:dyDescent="0.3">
      <c r="A2066" s="20" t="s">
        <v>26</v>
      </c>
      <c r="B2066" s="19" t="s">
        <v>28</v>
      </c>
      <c r="C2066" s="18" t="s">
        <v>19</v>
      </c>
      <c r="Q2066" s="46"/>
    </row>
    <row r="2067" spans="1:17" ht="15.75" thickBot="1" x14ac:dyDescent="0.3">
      <c r="Q2067" s="46"/>
    </row>
    <row r="2068" spans="1:17" ht="16.5" thickBot="1" x14ac:dyDescent="0.3">
      <c r="A2068" s="62" t="s">
        <v>11</v>
      </c>
      <c r="B2068" s="63"/>
      <c r="C2068" s="63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6"/>
      <c r="P2068" s="17"/>
      <c r="Q2068" s="46"/>
    </row>
    <row r="2069" spans="1:17" ht="15.75" thickBot="1" x14ac:dyDescent="0.3">
      <c r="A2069" s="15"/>
      <c r="B2069" s="14"/>
      <c r="C2069" s="13"/>
      <c r="D2069" s="12"/>
      <c r="E2069" s="11"/>
      <c r="F2069" s="10"/>
      <c r="G2069" s="10">
        <f>+E2069*F2069</f>
        <v>0</v>
      </c>
      <c r="H2069" s="12"/>
      <c r="I2069" s="11"/>
      <c r="J2069" s="10"/>
      <c r="K2069" s="10">
        <f>+I2069*J2069</f>
        <v>0</v>
      </c>
      <c r="L2069" s="12"/>
      <c r="M2069" s="11"/>
      <c r="N2069" s="10"/>
      <c r="O2069" s="10">
        <f>+M2069*N2069</f>
        <v>0</v>
      </c>
      <c r="P2069" s="12"/>
      <c r="Q2069" s="46"/>
    </row>
    <row r="2070" spans="1:17" ht="16.5" thickBot="1" x14ac:dyDescent="0.3">
      <c r="A2070" s="62" t="s">
        <v>5</v>
      </c>
      <c r="B2070" s="63"/>
      <c r="C2070" s="63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6"/>
      <c r="P2070" s="17"/>
      <c r="Q2070" s="46"/>
    </row>
    <row r="2071" spans="1:17" ht="18" x14ac:dyDescent="0.25">
      <c r="A2071" s="15"/>
      <c r="B2071" s="14" t="s">
        <v>27</v>
      </c>
      <c r="C2071" s="13" t="s">
        <v>13</v>
      </c>
      <c r="D2071" s="12"/>
      <c r="E2071" s="11"/>
      <c r="F2071" s="10"/>
      <c r="G2071" s="10">
        <f>+E2071*F2071</f>
        <v>0</v>
      </c>
      <c r="H2071" s="12"/>
      <c r="I2071" s="11">
        <v>107.34332999999999</v>
      </c>
      <c r="J2071" s="10">
        <v>0.75</v>
      </c>
      <c r="K2071" s="10">
        <f>+I2071*J2071</f>
        <v>80.507497499999999</v>
      </c>
      <c r="L2071" s="12"/>
      <c r="M2071" s="11">
        <v>68.849999999999994</v>
      </c>
      <c r="N2071" s="10">
        <v>0.75</v>
      </c>
      <c r="O2071" s="10">
        <f>+M2071*N2071</f>
        <v>51.637499999999996</v>
      </c>
      <c r="P2071" s="12"/>
      <c r="Q2071" s="46"/>
    </row>
    <row r="2072" spans="1:17" ht="15.75" thickBot="1" x14ac:dyDescent="0.3">
      <c r="A2072" s="15"/>
      <c r="B2072" s="14"/>
      <c r="C2072" s="13"/>
      <c r="D2072" s="12"/>
      <c r="E2072" s="11"/>
      <c r="F2072" s="10"/>
      <c r="G2072" s="10">
        <f>+E2072*F2072</f>
        <v>0</v>
      </c>
      <c r="H2072" s="12"/>
      <c r="I2072" s="11"/>
      <c r="J2072" s="10"/>
      <c r="K2072" s="10">
        <f>+I2072*J2072</f>
        <v>0</v>
      </c>
      <c r="L2072" s="12"/>
      <c r="M2072" s="11"/>
      <c r="N2072" s="10"/>
      <c r="O2072" s="10">
        <f>+M2072*N2072</f>
        <v>0</v>
      </c>
      <c r="P2072" s="12"/>
      <c r="Q2072" s="46"/>
    </row>
    <row r="2073" spans="1:17" ht="16.5" thickBot="1" x14ac:dyDescent="0.3">
      <c r="A2073" s="62" t="s">
        <v>2</v>
      </c>
      <c r="B2073" s="63"/>
      <c r="C2073" s="63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6"/>
      <c r="P2073" s="17"/>
      <c r="Q2073" s="46"/>
    </row>
    <row r="2074" spans="1:17" x14ac:dyDescent="0.25">
      <c r="A2074" s="15"/>
      <c r="B2074" s="14"/>
      <c r="C2074" s="13"/>
      <c r="D2074" s="12"/>
      <c r="E2074" s="11"/>
      <c r="F2074" s="10"/>
      <c r="G2074" s="10">
        <f>+E2074*F2074</f>
        <v>0</v>
      </c>
      <c r="H2074" s="12"/>
      <c r="I2074" s="11"/>
      <c r="J2074" s="10"/>
      <c r="K2074" s="10">
        <f>+I2074*J2074</f>
        <v>0</v>
      </c>
      <c r="L2074" s="12"/>
      <c r="M2074" s="11"/>
      <c r="N2074" s="10"/>
      <c r="O2074" s="10">
        <f>+M2074*N2074</f>
        <v>0</v>
      </c>
      <c r="P2074" s="12"/>
      <c r="Q2074" s="46"/>
    </row>
    <row r="2075" spans="1:17" ht="15.75" thickBot="1" x14ac:dyDescent="0.3">
      <c r="Q2075" s="46"/>
    </row>
    <row r="2076" spans="1:17" ht="21" thickBot="1" x14ac:dyDescent="0.3">
      <c r="A2076" s="64" t="s">
        <v>1</v>
      </c>
      <c r="B2076" s="65"/>
      <c r="C2076" s="66"/>
      <c r="D2076" s="5"/>
      <c r="E2076" s="9"/>
      <c r="F2076" s="8"/>
      <c r="G2076" s="7">
        <f>SUM(G2068:G2075)</f>
        <v>0</v>
      </c>
      <c r="H2076" s="5"/>
      <c r="I2076" s="9"/>
      <c r="J2076" s="8"/>
      <c r="K2076" s="7">
        <f>SUM(K2066:K2074)</f>
        <v>80.507497499999999</v>
      </c>
      <c r="L2076" s="5"/>
      <c r="M2076" s="9"/>
      <c r="N2076" s="8"/>
      <c r="O2076" s="7">
        <f>SUM(O2066:O2074)</f>
        <v>51.637499999999996</v>
      </c>
      <c r="P2076" s="5"/>
      <c r="Q2076" s="46"/>
    </row>
    <row r="2077" spans="1:17" ht="21" thickBot="1" x14ac:dyDescent="0.3">
      <c r="A2077" s="60" t="s">
        <v>0</v>
      </c>
      <c r="B2077" s="61"/>
      <c r="C2077" s="61"/>
      <c r="D2077" s="5"/>
      <c r="E2077" s="4"/>
      <c r="F2077" s="3"/>
      <c r="G2077" s="2" t="e">
        <f>+G2076/E2071</f>
        <v>#DIV/0!</v>
      </c>
      <c r="H2077" s="5"/>
      <c r="I2077" s="4"/>
      <c r="J2077" s="3"/>
      <c r="K2077" s="6">
        <f>+K2076/I2071</f>
        <v>0.75</v>
      </c>
      <c r="L2077" s="5"/>
      <c r="M2077" s="4"/>
      <c r="N2077" s="3"/>
      <c r="O2077" s="6">
        <f>+O2076/M2071</f>
        <v>0.75</v>
      </c>
      <c r="P2077" s="5"/>
      <c r="Q2077" s="46"/>
    </row>
    <row r="2078" spans="1:17" x14ac:dyDescent="0.25">
      <c r="Q2078" s="46"/>
    </row>
    <row r="2079" spans="1:17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46"/>
    </row>
    <row r="2080" spans="1:17" ht="15.75" thickBot="1" x14ac:dyDescent="0.3">
      <c r="Q2080" s="46"/>
    </row>
    <row r="2081" spans="1:17" ht="32.25" thickBot="1" x14ac:dyDescent="0.3">
      <c r="A2081" s="20" t="s">
        <v>518</v>
      </c>
      <c r="B2081" s="19" t="s">
        <v>25</v>
      </c>
      <c r="C2081" s="18" t="s">
        <v>19</v>
      </c>
      <c r="Q2081" s="46"/>
    </row>
    <row r="2082" spans="1:17" ht="15.75" thickBot="1" x14ac:dyDescent="0.3">
      <c r="Q2082" s="46"/>
    </row>
    <row r="2083" spans="1:17" ht="16.5" thickBot="1" x14ac:dyDescent="0.3">
      <c r="A2083" s="62" t="s">
        <v>11</v>
      </c>
      <c r="B2083" s="63"/>
      <c r="C2083" s="63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6"/>
      <c r="P2083" s="17"/>
      <c r="Q2083" s="46"/>
    </row>
    <row r="2084" spans="1:17" x14ac:dyDescent="0.25">
      <c r="A2084" s="15"/>
      <c r="B2084" s="14" t="s">
        <v>24</v>
      </c>
      <c r="C2084" s="13" t="s">
        <v>23</v>
      </c>
      <c r="D2084" s="12"/>
      <c r="E2084" s="11"/>
      <c r="F2084" s="10"/>
      <c r="G2084" s="10">
        <f>+E2084*F2084</f>
        <v>0</v>
      </c>
      <c r="H2084" s="12"/>
      <c r="I2084" s="11">
        <v>1</v>
      </c>
      <c r="J2084" s="10">
        <v>2.14</v>
      </c>
      <c r="K2084" s="10">
        <f>+I2084*J2084</f>
        <v>2.14</v>
      </c>
      <c r="L2084" s="12"/>
      <c r="M2084" s="11"/>
      <c r="N2084" s="10"/>
      <c r="O2084" s="10">
        <f>+M2084*N2084</f>
        <v>0</v>
      </c>
      <c r="P2084" s="12"/>
      <c r="Q2084" s="56">
        <f>+I2084/$I$2088</f>
        <v>1.1674060238150829E-2</v>
      </c>
    </row>
    <row r="2085" spans="1:17" x14ac:dyDescent="0.25">
      <c r="A2085" s="15"/>
      <c r="B2085" s="14" t="s">
        <v>22</v>
      </c>
      <c r="C2085" s="13" t="s">
        <v>6</v>
      </c>
      <c r="D2085" s="12"/>
      <c r="E2085" s="11"/>
      <c r="F2085" s="10"/>
      <c r="G2085" s="10">
        <f>+E2085*F2085</f>
        <v>0</v>
      </c>
      <c r="H2085" s="12"/>
      <c r="I2085" s="11">
        <v>16</v>
      </c>
      <c r="J2085" s="10">
        <v>13</v>
      </c>
      <c r="K2085" s="10">
        <f>+I2085*J2085</f>
        <v>208</v>
      </c>
      <c r="L2085" s="12"/>
      <c r="M2085" s="11"/>
      <c r="N2085" s="10"/>
      <c r="O2085" s="10">
        <f>+M2085*N2085</f>
        <v>0</v>
      </c>
      <c r="P2085" s="12"/>
      <c r="Q2085" s="56">
        <f>+I2085/$I$2088</f>
        <v>0.18678496381041326</v>
      </c>
    </row>
    <row r="2086" spans="1:17" ht="15.75" thickBot="1" x14ac:dyDescent="0.3">
      <c r="A2086" s="15"/>
      <c r="B2086" s="14"/>
      <c r="C2086" s="13"/>
      <c r="D2086" s="12"/>
      <c r="E2086" s="11"/>
      <c r="F2086" s="10"/>
      <c r="G2086" s="10">
        <f>+E2086*F2086</f>
        <v>0</v>
      </c>
      <c r="H2086" s="12"/>
      <c r="I2086" s="11"/>
      <c r="J2086" s="10"/>
      <c r="K2086" s="10">
        <f>+I2086*J2086</f>
        <v>0</v>
      </c>
      <c r="L2086" s="12"/>
      <c r="M2086" s="11"/>
      <c r="N2086" s="10"/>
      <c r="O2086" s="10">
        <f>+M2086*N2086</f>
        <v>0</v>
      </c>
      <c r="P2086" s="12"/>
      <c r="Q2086" s="46"/>
    </row>
    <row r="2087" spans="1:17" ht="16.5" thickBot="1" x14ac:dyDescent="0.3">
      <c r="A2087" s="62" t="s">
        <v>5</v>
      </c>
      <c r="B2087" s="63"/>
      <c r="C2087" s="63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6"/>
      <c r="P2087" s="17"/>
      <c r="Q2087" s="46"/>
    </row>
    <row r="2088" spans="1:17" ht="15.6" customHeight="1" x14ac:dyDescent="0.25">
      <c r="A2088" s="15"/>
      <c r="B2088" s="14" t="s">
        <v>21</v>
      </c>
      <c r="C2088" s="13" t="s">
        <v>13</v>
      </c>
      <c r="D2088" s="12"/>
      <c r="E2088" s="11"/>
      <c r="F2088" s="10"/>
      <c r="G2088" s="10">
        <f>+E2088*F2088</f>
        <v>0</v>
      </c>
      <c r="H2088" s="12"/>
      <c r="I2088" s="11">
        <v>85.66</v>
      </c>
      <c r="J2088" s="10">
        <v>2</v>
      </c>
      <c r="K2088" s="10">
        <f>+I2088*J2088</f>
        <v>171.32</v>
      </c>
      <c r="L2088" s="12"/>
      <c r="M2088" s="11"/>
      <c r="N2088" s="10"/>
      <c r="O2088" s="10">
        <f>+M2088*N2088</f>
        <v>0</v>
      </c>
      <c r="P2088" s="12"/>
      <c r="Q2088" s="56">
        <f>+I2088/$I$2088</f>
        <v>1</v>
      </c>
    </row>
    <row r="2089" spans="1:17" ht="15.6" customHeight="1" thickBot="1" x14ac:dyDescent="0.3">
      <c r="A2089" s="15"/>
      <c r="B2089" s="14"/>
      <c r="C2089" s="13"/>
      <c r="D2089" s="12"/>
      <c r="E2089" s="11"/>
      <c r="F2089" s="10"/>
      <c r="G2089" s="10">
        <f>+E2089*F2089</f>
        <v>0</v>
      </c>
      <c r="H2089" s="12"/>
      <c r="I2089" s="11"/>
      <c r="J2089" s="10"/>
      <c r="K2089" s="10">
        <f>+I2089*J2089</f>
        <v>0</v>
      </c>
      <c r="L2089" s="12"/>
      <c r="M2089" s="11"/>
      <c r="N2089" s="10"/>
      <c r="O2089" s="10">
        <f>+M2089*N2089</f>
        <v>0</v>
      </c>
      <c r="P2089" s="12"/>
      <c r="Q2089" s="46"/>
    </row>
    <row r="2090" spans="1:17" ht="16.5" thickBot="1" x14ac:dyDescent="0.3">
      <c r="A2090" s="62" t="s">
        <v>2</v>
      </c>
      <c r="B2090" s="63"/>
      <c r="C2090" s="63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6"/>
      <c r="P2090" s="17"/>
      <c r="Q2090" s="46"/>
    </row>
    <row r="2091" spans="1:17" x14ac:dyDescent="0.25">
      <c r="A2091" s="15"/>
      <c r="B2091" s="14" t="s">
        <v>358</v>
      </c>
      <c r="C2091" s="13" t="s">
        <v>15</v>
      </c>
      <c r="D2091" s="12"/>
      <c r="E2091" s="11"/>
      <c r="F2091" s="10"/>
      <c r="G2091" s="10">
        <f>+E2091*F2091</f>
        <v>0</v>
      </c>
      <c r="H2091" s="12"/>
      <c r="I2091" s="11">
        <v>3</v>
      </c>
      <c r="J2091" s="10">
        <v>25</v>
      </c>
      <c r="K2091" s="10">
        <f>+I2091*J2091</f>
        <v>75</v>
      </c>
      <c r="L2091" s="12"/>
      <c r="M2091" s="11"/>
      <c r="N2091" s="10"/>
      <c r="O2091" s="10">
        <f>+M2091*N2091</f>
        <v>0</v>
      </c>
      <c r="P2091" s="12"/>
      <c r="Q2091" s="56">
        <f>+I2091/$I$2088</f>
        <v>3.502218071445249E-2</v>
      </c>
    </row>
    <row r="2092" spans="1:17" x14ac:dyDescent="0.25">
      <c r="A2092" s="15"/>
      <c r="B2092" s="14"/>
      <c r="C2092" s="13"/>
      <c r="D2092" s="12"/>
      <c r="E2092" s="11"/>
      <c r="F2092" s="10"/>
      <c r="G2092" s="10">
        <f>+E2092*F2092</f>
        <v>0</v>
      </c>
      <c r="H2092" s="12"/>
      <c r="I2092" s="11"/>
      <c r="J2092" s="10"/>
      <c r="K2092" s="10">
        <f>+I2092*J2092</f>
        <v>0</v>
      </c>
      <c r="L2092" s="12"/>
      <c r="M2092" s="11"/>
      <c r="N2092" s="10"/>
      <c r="O2092" s="10">
        <f>+M2092*N2092</f>
        <v>0</v>
      </c>
      <c r="P2092" s="12"/>
      <c r="Q2092" s="46"/>
    </row>
    <row r="2093" spans="1:17" ht="15.75" thickBot="1" x14ac:dyDescent="0.3">
      <c r="Q2093" s="46"/>
    </row>
    <row r="2094" spans="1:17" ht="21" thickBot="1" x14ac:dyDescent="0.3">
      <c r="A2094" s="64" t="s">
        <v>1</v>
      </c>
      <c r="B2094" s="65"/>
      <c r="C2094" s="66"/>
      <c r="D2094" s="5"/>
      <c r="E2094" s="9"/>
      <c r="F2094" s="8"/>
      <c r="G2094" s="7">
        <f>SUM(G2083:G2093)</f>
        <v>0</v>
      </c>
      <c r="H2094" s="5"/>
      <c r="I2094" s="9"/>
      <c r="J2094" s="8"/>
      <c r="K2094" s="7">
        <f>SUM(K2081:K2092)</f>
        <v>456.46</v>
      </c>
      <c r="L2094" s="5"/>
      <c r="M2094" s="9"/>
      <c r="N2094" s="8"/>
      <c r="O2094" s="7">
        <f>SUM(O2081:O2092)</f>
        <v>0</v>
      </c>
      <c r="P2094" s="5"/>
      <c r="Q2094" s="46"/>
    </row>
    <row r="2095" spans="1:17" ht="21" thickBot="1" x14ac:dyDescent="0.3">
      <c r="A2095" s="60" t="s">
        <v>0</v>
      </c>
      <c r="B2095" s="61"/>
      <c r="C2095" s="61"/>
      <c r="D2095" s="5"/>
      <c r="E2095" s="4"/>
      <c r="F2095" s="3"/>
      <c r="G2095" s="2" t="e">
        <f>+G2094/E2088</f>
        <v>#DIV/0!</v>
      </c>
      <c r="H2095" s="5"/>
      <c r="I2095" s="4"/>
      <c r="J2095" s="3"/>
      <c r="K2095" s="6">
        <f>+K2094/I2088</f>
        <v>5.3287415363063273</v>
      </c>
      <c r="L2095" s="5"/>
      <c r="M2095" s="4"/>
      <c r="N2095" s="3"/>
      <c r="O2095" s="2" t="e">
        <f>+O2094/M2088</f>
        <v>#DIV/0!</v>
      </c>
      <c r="P2095" s="5"/>
      <c r="Q2095" s="46"/>
    </row>
    <row r="2096" spans="1:17" x14ac:dyDescent="0.25">
      <c r="Q2096" s="46"/>
    </row>
    <row r="2097" spans="1:17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46"/>
    </row>
    <row r="2098" spans="1:17" ht="15.75" thickBot="1" x14ac:dyDescent="0.3">
      <c r="Q2098" s="46"/>
    </row>
    <row r="2099" spans="1:17" ht="19.5" thickBot="1" x14ac:dyDescent="0.3">
      <c r="A2099" s="20" t="s">
        <v>519</v>
      </c>
      <c r="B2099" s="19" t="s">
        <v>20</v>
      </c>
      <c r="C2099" s="18" t="s">
        <v>19</v>
      </c>
      <c r="Q2099" s="46"/>
    </row>
    <row r="2100" spans="1:17" ht="15.75" thickBot="1" x14ac:dyDescent="0.3">
      <c r="Q2100" s="46"/>
    </row>
    <row r="2101" spans="1:17" ht="16.5" thickBot="1" x14ac:dyDescent="0.3">
      <c r="A2101" s="62" t="s">
        <v>11</v>
      </c>
      <c r="B2101" s="63"/>
      <c r="C2101" s="63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6"/>
      <c r="P2101" s="17"/>
      <c r="Q2101" s="46"/>
    </row>
    <row r="2102" spans="1:17" ht="30" x14ac:dyDescent="0.25">
      <c r="A2102" s="15"/>
      <c r="B2102" s="14" t="s">
        <v>18</v>
      </c>
      <c r="C2102" s="13" t="s">
        <v>3</v>
      </c>
      <c r="D2102" s="12"/>
      <c r="E2102" s="11"/>
      <c r="F2102" s="10"/>
      <c r="G2102" s="10">
        <f t="shared" ref="G2102:G2107" si="123">+E2102*F2102</f>
        <v>0</v>
      </c>
      <c r="H2102" s="12"/>
      <c r="I2102" s="11">
        <v>18.14</v>
      </c>
      <c r="J2102" s="10">
        <v>15.56</v>
      </c>
      <c r="K2102" s="10">
        <f t="shared" ref="K2102:K2107" si="124">+I2102*J2102</f>
        <v>282.25839999999999</v>
      </c>
      <c r="L2102" s="12"/>
      <c r="M2102" s="11"/>
      <c r="N2102" s="10"/>
      <c r="O2102" s="10">
        <f t="shared" ref="O2102:O2107" si="125">+M2102*N2102</f>
        <v>0</v>
      </c>
      <c r="P2102" s="12"/>
      <c r="Q2102" s="46"/>
    </row>
    <row r="2103" spans="1:17" ht="30" x14ac:dyDescent="0.25">
      <c r="A2103" s="15"/>
      <c r="B2103" s="14" t="s">
        <v>533</v>
      </c>
      <c r="C2103" s="13" t="s">
        <v>3</v>
      </c>
      <c r="D2103" s="12"/>
      <c r="E2103" s="11"/>
      <c r="F2103" s="10"/>
      <c r="G2103" s="10">
        <f t="shared" si="123"/>
        <v>0</v>
      </c>
      <c r="H2103" s="12"/>
      <c r="I2103" s="11">
        <v>29.56</v>
      </c>
      <c r="J2103" s="10">
        <v>15.56</v>
      </c>
      <c r="K2103" s="10">
        <f t="shared" si="124"/>
        <v>459.95359999999999</v>
      </c>
      <c r="L2103" s="12"/>
      <c r="M2103" s="11"/>
      <c r="N2103" s="10"/>
      <c r="O2103" s="10">
        <f t="shared" si="125"/>
        <v>0</v>
      </c>
      <c r="P2103" s="12"/>
      <c r="Q2103" s="46"/>
    </row>
    <row r="2104" spans="1:17" ht="30" x14ac:dyDescent="0.25">
      <c r="A2104" s="15"/>
      <c r="B2104" s="14" t="s">
        <v>17</v>
      </c>
      <c r="C2104" s="13" t="s">
        <v>3</v>
      </c>
      <c r="D2104" s="12"/>
      <c r="E2104" s="11"/>
      <c r="F2104" s="10"/>
      <c r="G2104" s="10">
        <f t="shared" si="123"/>
        <v>0</v>
      </c>
      <c r="H2104" s="12"/>
      <c r="I2104" s="11">
        <v>40.590000000000003</v>
      </c>
      <c r="J2104" s="10">
        <v>15.56</v>
      </c>
      <c r="K2104" s="10">
        <f t="shared" si="124"/>
        <v>631.58040000000005</v>
      </c>
      <c r="L2104" s="12"/>
      <c r="M2104" s="11"/>
      <c r="N2104" s="10"/>
      <c r="O2104" s="10">
        <f t="shared" si="125"/>
        <v>0</v>
      </c>
      <c r="P2104" s="12"/>
      <c r="Q2104" s="46"/>
    </row>
    <row r="2105" spans="1:17" ht="30" x14ac:dyDescent="0.25">
      <c r="A2105" s="15"/>
      <c r="B2105" s="14" t="s">
        <v>16</v>
      </c>
      <c r="C2105" s="13" t="s">
        <v>15</v>
      </c>
      <c r="D2105" s="12"/>
      <c r="E2105" s="11"/>
      <c r="F2105" s="10"/>
      <c r="G2105" s="10">
        <f t="shared" si="123"/>
        <v>0</v>
      </c>
      <c r="H2105" s="12"/>
      <c r="I2105" s="11">
        <v>1</v>
      </c>
      <c r="J2105" s="10">
        <v>7.56</v>
      </c>
      <c r="K2105" s="10">
        <f t="shared" si="124"/>
        <v>7.56</v>
      </c>
      <c r="L2105" s="12"/>
      <c r="M2105" s="11"/>
      <c r="N2105" s="10"/>
      <c r="O2105" s="10">
        <f t="shared" si="125"/>
        <v>0</v>
      </c>
      <c r="P2105" s="12"/>
      <c r="Q2105" s="46"/>
    </row>
    <row r="2106" spans="1:17" x14ac:dyDescent="0.25">
      <c r="A2106" s="15"/>
      <c r="B2106" s="14" t="s">
        <v>7</v>
      </c>
      <c r="C2106" s="13" t="s">
        <v>6</v>
      </c>
      <c r="D2106" s="12"/>
      <c r="E2106" s="11"/>
      <c r="F2106" s="10"/>
      <c r="G2106" s="10">
        <f t="shared" si="123"/>
        <v>0</v>
      </c>
      <c r="H2106" s="12"/>
      <c r="I2106" s="11">
        <v>1.58</v>
      </c>
      <c r="J2106" s="10">
        <v>16.47</v>
      </c>
      <c r="K2106" s="10">
        <f t="shared" si="124"/>
        <v>26.022600000000001</v>
      </c>
      <c r="L2106" s="12"/>
      <c r="M2106" s="11"/>
      <c r="N2106" s="10"/>
      <c r="O2106" s="10">
        <f t="shared" si="125"/>
        <v>0</v>
      </c>
      <c r="P2106" s="12"/>
      <c r="Q2106" s="46"/>
    </row>
    <row r="2107" spans="1:17" ht="15.75" thickBot="1" x14ac:dyDescent="0.3">
      <c r="A2107" s="15"/>
      <c r="B2107" s="14"/>
      <c r="C2107" s="13"/>
      <c r="D2107" s="12"/>
      <c r="E2107" s="11"/>
      <c r="F2107" s="10"/>
      <c r="G2107" s="10">
        <f t="shared" si="123"/>
        <v>0</v>
      </c>
      <c r="H2107" s="12"/>
      <c r="I2107" s="11"/>
      <c r="J2107" s="10"/>
      <c r="K2107" s="10">
        <f t="shared" si="124"/>
        <v>0</v>
      </c>
      <c r="L2107" s="12"/>
      <c r="M2107" s="11"/>
      <c r="N2107" s="10"/>
      <c r="O2107" s="10">
        <f t="shared" si="125"/>
        <v>0</v>
      </c>
      <c r="P2107" s="12"/>
      <c r="Q2107" s="46"/>
    </row>
    <row r="2108" spans="1:17" ht="16.5" thickBot="1" x14ac:dyDescent="0.3">
      <c r="A2108" s="62" t="s">
        <v>5</v>
      </c>
      <c r="B2108" s="63"/>
      <c r="C2108" s="63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6"/>
      <c r="P2108" s="17"/>
      <c r="Q2108" s="46"/>
    </row>
    <row r="2109" spans="1:17" ht="18" x14ac:dyDescent="0.25">
      <c r="A2109" s="15"/>
      <c r="B2109" s="14" t="s">
        <v>14</v>
      </c>
      <c r="C2109" s="13" t="s">
        <v>13</v>
      </c>
      <c r="D2109" s="12"/>
      <c r="E2109" s="11"/>
      <c r="F2109" s="10"/>
      <c r="G2109" s="10">
        <f>+E2109*F2109</f>
        <v>0</v>
      </c>
      <c r="H2109" s="12"/>
      <c r="I2109" s="11">
        <v>90.97</v>
      </c>
      <c r="J2109" s="10">
        <v>2.8</v>
      </c>
      <c r="K2109" s="10">
        <f>+I2109*J2109</f>
        <v>254.71599999999998</v>
      </c>
      <c r="L2109" s="12"/>
      <c r="M2109" s="11"/>
      <c r="N2109" s="10"/>
      <c r="O2109" s="10">
        <f>+M2109*N2109</f>
        <v>0</v>
      </c>
      <c r="P2109" s="12"/>
      <c r="Q2109" s="46"/>
    </row>
    <row r="2110" spans="1:17" ht="15.75" thickBot="1" x14ac:dyDescent="0.3">
      <c r="A2110" s="15"/>
      <c r="B2110" s="14"/>
      <c r="C2110" s="13"/>
      <c r="D2110" s="12"/>
      <c r="E2110" s="11"/>
      <c r="F2110" s="10"/>
      <c r="G2110" s="10">
        <f>+E2110*F2110</f>
        <v>0</v>
      </c>
      <c r="H2110" s="12"/>
      <c r="I2110" s="11"/>
      <c r="J2110" s="10"/>
      <c r="K2110" s="10">
        <f>+I2110*J2110</f>
        <v>0</v>
      </c>
      <c r="L2110" s="12"/>
      <c r="M2110" s="11"/>
      <c r="N2110" s="10"/>
      <c r="O2110" s="10">
        <f>+M2110*N2110</f>
        <v>0</v>
      </c>
      <c r="P2110" s="12"/>
      <c r="Q2110" s="46"/>
    </row>
    <row r="2111" spans="1:17" ht="16.5" thickBot="1" x14ac:dyDescent="0.3">
      <c r="A2111" s="62" t="s">
        <v>2</v>
      </c>
      <c r="B2111" s="63"/>
      <c r="C2111" s="63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6"/>
      <c r="P2111" s="17"/>
      <c r="Q2111" s="46"/>
    </row>
    <row r="2112" spans="1:17" x14ac:dyDescent="0.25">
      <c r="A2112" s="15"/>
      <c r="B2112" s="14" t="s">
        <v>534</v>
      </c>
      <c r="C2112" s="13" t="s">
        <v>15</v>
      </c>
      <c r="D2112" s="12"/>
      <c r="E2112" s="11"/>
      <c r="F2112" s="10"/>
      <c r="G2112" s="10">
        <f>+E2112*F2112</f>
        <v>0</v>
      </c>
      <c r="H2112" s="12"/>
      <c r="I2112" s="11">
        <v>3.53</v>
      </c>
      <c r="J2112" s="10">
        <v>35</v>
      </c>
      <c r="K2112" s="10">
        <f>+I2112*J2112</f>
        <v>123.55</v>
      </c>
      <c r="L2112" s="12"/>
      <c r="M2112" s="11"/>
      <c r="N2112" s="10"/>
      <c r="O2112" s="10">
        <f>+M2112*N2112</f>
        <v>0</v>
      </c>
      <c r="P2112" s="12"/>
      <c r="Q2112" s="46"/>
    </row>
    <row r="2113" spans="1:17" x14ac:dyDescent="0.25">
      <c r="A2113" s="15"/>
      <c r="B2113" s="14"/>
      <c r="C2113" s="13"/>
      <c r="D2113" s="12"/>
      <c r="E2113" s="11"/>
      <c r="F2113" s="10"/>
      <c r="G2113" s="10">
        <f>+E2113*F2113</f>
        <v>0</v>
      </c>
      <c r="H2113" s="12"/>
      <c r="I2113" s="11"/>
      <c r="J2113" s="10"/>
      <c r="K2113" s="10">
        <f>+I2113*J2113</f>
        <v>0</v>
      </c>
      <c r="L2113" s="12"/>
      <c r="M2113" s="11"/>
      <c r="N2113" s="10"/>
      <c r="O2113" s="10">
        <f>+M2113*N2113</f>
        <v>0</v>
      </c>
      <c r="P2113" s="12"/>
      <c r="Q2113" s="46"/>
    </row>
    <row r="2114" spans="1:17" ht="15.75" thickBot="1" x14ac:dyDescent="0.3">
      <c r="Q2114" s="46"/>
    </row>
    <row r="2115" spans="1:17" ht="21" thickBot="1" x14ac:dyDescent="0.3">
      <c r="A2115" s="64" t="s">
        <v>1</v>
      </c>
      <c r="B2115" s="65"/>
      <c r="C2115" s="66"/>
      <c r="D2115" s="5"/>
      <c r="E2115" s="9"/>
      <c r="F2115" s="8"/>
      <c r="G2115" s="7">
        <f>SUM(G2101:G2114)</f>
        <v>0</v>
      </c>
      <c r="H2115" s="5"/>
      <c r="I2115" s="9"/>
      <c r="J2115" s="8"/>
      <c r="K2115" s="7">
        <f>SUM(K2099:K2113)</f>
        <v>1785.6409999999998</v>
      </c>
      <c r="L2115" s="5"/>
      <c r="M2115" s="9"/>
      <c r="N2115" s="8"/>
      <c r="O2115" s="7">
        <f>SUM(O2099:O2113)</f>
        <v>0</v>
      </c>
      <c r="P2115" s="5"/>
      <c r="Q2115" s="46"/>
    </row>
    <row r="2116" spans="1:17" ht="21" thickBot="1" x14ac:dyDescent="0.3">
      <c r="A2116" s="60" t="s">
        <v>0</v>
      </c>
      <c r="B2116" s="61"/>
      <c r="C2116" s="61"/>
      <c r="D2116" s="5"/>
      <c r="E2116" s="4"/>
      <c r="F2116" s="3"/>
      <c r="G2116" s="2" t="e">
        <f>+G2115/E2109</f>
        <v>#DIV/0!</v>
      </c>
      <c r="H2116" s="5"/>
      <c r="I2116" s="4"/>
      <c r="J2116" s="3"/>
      <c r="K2116" s="6">
        <f>+K2115/I2109</f>
        <v>19.628899637243045</v>
      </c>
      <c r="L2116" s="5"/>
      <c r="M2116" s="4"/>
      <c r="N2116" s="3"/>
      <c r="O2116" s="2" t="e">
        <f>+O2115/M2109</f>
        <v>#DIV/0!</v>
      </c>
      <c r="P2116" s="5"/>
      <c r="Q2116" s="46"/>
    </row>
    <row r="2117" spans="1:17" x14ac:dyDescent="0.25">
      <c r="Q2117" s="46"/>
    </row>
    <row r="2118" spans="1:17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46"/>
    </row>
    <row r="2119" spans="1:17" ht="15.75" thickBot="1" x14ac:dyDescent="0.3">
      <c r="Q2119" s="46"/>
    </row>
    <row r="2120" spans="1:17" ht="16.5" thickBot="1" x14ac:dyDescent="0.3">
      <c r="A2120" s="20" t="s">
        <v>520</v>
      </c>
      <c r="B2120" s="19" t="s">
        <v>12</v>
      </c>
      <c r="C2120" s="18" t="s">
        <v>3</v>
      </c>
      <c r="Q2120" s="46"/>
    </row>
    <row r="2121" spans="1:17" ht="15.75" thickBot="1" x14ac:dyDescent="0.3">
      <c r="Q2121" s="46"/>
    </row>
    <row r="2122" spans="1:17" ht="16.5" thickBot="1" x14ac:dyDescent="0.3">
      <c r="A2122" s="62" t="s">
        <v>11</v>
      </c>
      <c r="B2122" s="63"/>
      <c r="C2122" s="63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6"/>
      <c r="P2122" s="17"/>
      <c r="Q2122" s="46"/>
    </row>
    <row r="2123" spans="1:17" ht="30" x14ac:dyDescent="0.25">
      <c r="A2123" s="15"/>
      <c r="B2123" s="14" t="s">
        <v>10</v>
      </c>
      <c r="C2123" s="13" t="s">
        <v>3</v>
      </c>
      <c r="D2123" s="12"/>
      <c r="E2123" s="11"/>
      <c r="F2123" s="10"/>
      <c r="G2123" s="10">
        <f>+E2123*F2123</f>
        <v>0</v>
      </c>
      <c r="H2123" s="12"/>
      <c r="I2123" s="11">
        <v>36</v>
      </c>
      <c r="J2123" s="10">
        <v>6.79</v>
      </c>
      <c r="K2123" s="10">
        <f>+I2123*J2123</f>
        <v>244.44</v>
      </c>
      <c r="L2123" s="12"/>
      <c r="M2123" s="11"/>
      <c r="N2123" s="10"/>
      <c r="O2123" s="10">
        <f>+M2123*N2123</f>
        <v>0</v>
      </c>
      <c r="P2123" s="12"/>
      <c r="Q2123" s="46"/>
    </row>
    <row r="2124" spans="1:17" ht="30" x14ac:dyDescent="0.25">
      <c r="A2124" s="15"/>
      <c r="B2124" s="14" t="s">
        <v>9</v>
      </c>
      <c r="C2124" s="13" t="s">
        <v>8</v>
      </c>
      <c r="D2124" s="12"/>
      <c r="E2124" s="11"/>
      <c r="F2124" s="10"/>
      <c r="G2124" s="10">
        <f>+E2124*F2124</f>
        <v>0</v>
      </c>
      <c r="H2124" s="12"/>
      <c r="I2124" s="11">
        <v>8</v>
      </c>
      <c r="J2124" s="10">
        <v>6.73</v>
      </c>
      <c r="K2124" s="10">
        <f>+I2124*J2124</f>
        <v>53.84</v>
      </c>
      <c r="L2124" s="12"/>
      <c r="M2124" s="11"/>
      <c r="N2124" s="10"/>
      <c r="O2124" s="10">
        <f>+M2124*N2124</f>
        <v>0</v>
      </c>
      <c r="P2124" s="12"/>
      <c r="Q2124" s="56">
        <f>+I2124/$I$2128</f>
        <v>0.1234567901234568</v>
      </c>
    </row>
    <row r="2125" spans="1:17" x14ac:dyDescent="0.25">
      <c r="A2125" s="15"/>
      <c r="B2125" s="14" t="s">
        <v>7</v>
      </c>
      <c r="C2125" s="13" t="s">
        <v>6</v>
      </c>
      <c r="D2125" s="12"/>
      <c r="E2125" s="11"/>
      <c r="F2125" s="10"/>
      <c r="G2125" s="10">
        <f>+E2125*F2125</f>
        <v>0</v>
      </c>
      <c r="H2125" s="12"/>
      <c r="I2125" s="11">
        <v>1.28</v>
      </c>
      <c r="J2125" s="10">
        <v>16.48</v>
      </c>
      <c r="K2125" s="10">
        <f>+I2125*J2125</f>
        <v>21.0944</v>
      </c>
      <c r="L2125" s="12"/>
      <c r="M2125" s="11"/>
      <c r="N2125" s="10"/>
      <c r="O2125" s="10">
        <f>+M2125*N2125</f>
        <v>0</v>
      </c>
      <c r="P2125" s="12"/>
      <c r="Q2125" s="56">
        <f>+I2125/$I$2128</f>
        <v>1.9753086419753086E-2</v>
      </c>
    </row>
    <row r="2126" spans="1:17" ht="15.75" thickBot="1" x14ac:dyDescent="0.3">
      <c r="A2126" s="15"/>
      <c r="B2126" s="14"/>
      <c r="C2126" s="13"/>
      <c r="D2126" s="12"/>
      <c r="E2126" s="11"/>
      <c r="F2126" s="10"/>
      <c r="G2126" s="10">
        <f>+E2126*F2126</f>
        <v>0</v>
      </c>
      <c r="H2126" s="12"/>
      <c r="I2126" s="11"/>
      <c r="J2126" s="10"/>
      <c r="K2126" s="10">
        <f>+I2126*J2126</f>
        <v>0</v>
      </c>
      <c r="L2126" s="12"/>
      <c r="M2126" s="11"/>
      <c r="N2126" s="10"/>
      <c r="O2126" s="10">
        <f>+M2126*N2126</f>
        <v>0</v>
      </c>
      <c r="P2126" s="12"/>
      <c r="Q2126" s="46"/>
    </row>
    <row r="2127" spans="1:17" ht="16.5" thickBot="1" x14ac:dyDescent="0.3">
      <c r="A2127" s="62" t="s">
        <v>5</v>
      </c>
      <c r="B2127" s="63"/>
      <c r="C2127" s="63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6"/>
      <c r="P2127" s="17"/>
      <c r="Q2127" s="46"/>
    </row>
    <row r="2128" spans="1:17" x14ac:dyDescent="0.25">
      <c r="A2128" s="15"/>
      <c r="B2128" s="14" t="s">
        <v>4</v>
      </c>
      <c r="C2128" s="13" t="s">
        <v>3</v>
      </c>
      <c r="D2128" s="12"/>
      <c r="E2128" s="11"/>
      <c r="F2128" s="10"/>
      <c r="G2128" s="10">
        <f>+E2128*F2128</f>
        <v>0</v>
      </c>
      <c r="H2128" s="12"/>
      <c r="I2128" s="11">
        <v>64.8</v>
      </c>
      <c r="J2128" s="10">
        <v>2.6</v>
      </c>
      <c r="K2128" s="10">
        <f>+I2128*J2128</f>
        <v>168.48</v>
      </c>
      <c r="L2128" s="12"/>
      <c r="M2128" s="11"/>
      <c r="N2128" s="10"/>
      <c r="O2128" s="10">
        <f>+M2128*N2128</f>
        <v>0</v>
      </c>
      <c r="P2128" s="12"/>
      <c r="Q2128" s="46"/>
    </row>
    <row r="2129" spans="1:17" ht="15.75" thickBot="1" x14ac:dyDescent="0.3">
      <c r="A2129" s="15"/>
      <c r="B2129" s="14"/>
      <c r="C2129" s="13"/>
      <c r="D2129" s="12"/>
      <c r="E2129" s="11"/>
      <c r="F2129" s="10"/>
      <c r="G2129" s="10">
        <f>+E2129*F2129</f>
        <v>0</v>
      </c>
      <c r="H2129" s="12"/>
      <c r="I2129" s="11"/>
      <c r="J2129" s="10"/>
      <c r="K2129" s="10">
        <f>+I2129*J2129</f>
        <v>0</v>
      </c>
      <c r="L2129" s="12"/>
      <c r="M2129" s="11"/>
      <c r="N2129" s="10"/>
      <c r="O2129" s="10">
        <f>+M2129*N2129</f>
        <v>0</v>
      </c>
      <c r="P2129" s="12"/>
      <c r="Q2129" s="46"/>
    </row>
    <row r="2130" spans="1:17" ht="16.5" thickBot="1" x14ac:dyDescent="0.3">
      <c r="A2130" s="62" t="s">
        <v>2</v>
      </c>
      <c r="B2130" s="63"/>
      <c r="C2130" s="63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6"/>
      <c r="P2130" s="17"/>
      <c r="Q2130" s="46"/>
    </row>
    <row r="2131" spans="1:17" x14ac:dyDescent="0.25">
      <c r="A2131" s="15"/>
      <c r="B2131" s="14"/>
      <c r="C2131" s="13"/>
      <c r="D2131" s="12"/>
      <c r="E2131" s="11"/>
      <c r="F2131" s="10"/>
      <c r="G2131" s="10">
        <f>+E2131*F2131</f>
        <v>0</v>
      </c>
      <c r="H2131" s="12"/>
      <c r="I2131" s="11"/>
      <c r="J2131" s="10"/>
      <c r="K2131" s="10">
        <f>+I2131*J2131</f>
        <v>0</v>
      </c>
      <c r="L2131" s="12"/>
      <c r="M2131" s="11"/>
      <c r="N2131" s="10"/>
      <c r="O2131" s="10">
        <f>+M2131*N2131</f>
        <v>0</v>
      </c>
      <c r="P2131" s="12"/>
      <c r="Q2131" s="46"/>
    </row>
    <row r="2132" spans="1:17" ht="15.75" thickBot="1" x14ac:dyDescent="0.3">
      <c r="Q2132" s="46"/>
    </row>
    <row r="2133" spans="1:17" ht="21" thickBot="1" x14ac:dyDescent="0.3">
      <c r="A2133" s="64" t="s">
        <v>1</v>
      </c>
      <c r="B2133" s="65"/>
      <c r="C2133" s="66"/>
      <c r="D2133" s="5"/>
      <c r="E2133" s="9"/>
      <c r="F2133" s="8"/>
      <c r="G2133" s="7">
        <f>SUM(G2122:G2132)</f>
        <v>0</v>
      </c>
      <c r="H2133" s="5"/>
      <c r="I2133" s="9"/>
      <c r="J2133" s="8"/>
      <c r="K2133" s="7">
        <f>SUM(K2120:K2131)</f>
        <v>487.85439999999994</v>
      </c>
      <c r="L2133" s="5"/>
      <c r="M2133" s="9"/>
      <c r="N2133" s="8"/>
      <c r="O2133" s="7">
        <f>SUM(O2120:O2131)</f>
        <v>0</v>
      </c>
      <c r="P2133" s="5"/>
      <c r="Q2133" s="46"/>
    </row>
    <row r="2134" spans="1:17" ht="21" thickBot="1" x14ac:dyDescent="0.3">
      <c r="A2134" s="60" t="s">
        <v>0</v>
      </c>
      <c r="B2134" s="61"/>
      <c r="C2134" s="61"/>
      <c r="D2134" s="5"/>
      <c r="E2134" s="4"/>
      <c r="F2134" s="3"/>
      <c r="G2134" s="21" t="e">
        <f>+G2133/E2128</f>
        <v>#DIV/0!</v>
      </c>
      <c r="H2134" s="5"/>
      <c r="I2134" s="4"/>
      <c r="J2134" s="3"/>
      <c r="K2134" s="6">
        <f>+K2133/I2128</f>
        <v>7.5286172839506165</v>
      </c>
      <c r="L2134" s="5"/>
      <c r="M2134" s="4"/>
      <c r="N2134" s="3"/>
      <c r="O2134" s="21" t="e">
        <f>+O2133/M2128</f>
        <v>#DIV/0!</v>
      </c>
      <c r="P2134" s="5"/>
      <c r="Q2134" s="46"/>
    </row>
    <row r="2135" spans="1:17" x14ac:dyDescent="0.25">
      <c r="Q2135" s="46"/>
    </row>
    <row r="2136" spans="1:17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46"/>
    </row>
    <row r="2137" spans="1:17" ht="15.75" thickBot="1" x14ac:dyDescent="0.3">
      <c r="Q2137" s="46"/>
    </row>
    <row r="2138" spans="1:17" ht="16.5" thickBot="1" x14ac:dyDescent="0.3">
      <c r="A2138" s="20" t="s">
        <v>598</v>
      </c>
      <c r="B2138" s="19" t="s">
        <v>600</v>
      </c>
      <c r="C2138" s="18" t="s">
        <v>3</v>
      </c>
      <c r="Q2138" s="46"/>
    </row>
    <row r="2139" spans="1:17" ht="15.75" thickBot="1" x14ac:dyDescent="0.3">
      <c r="Q2139" s="46"/>
    </row>
    <row r="2140" spans="1:17" ht="16.5" thickBot="1" x14ac:dyDescent="0.3">
      <c r="A2140" s="62" t="s">
        <v>11</v>
      </c>
      <c r="B2140" s="63"/>
      <c r="C2140" s="63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6"/>
      <c r="P2140" s="17"/>
      <c r="Q2140" s="46"/>
    </row>
    <row r="2141" spans="1:17" x14ac:dyDescent="0.25">
      <c r="A2141" s="15"/>
      <c r="B2141" s="14" t="s">
        <v>601</v>
      </c>
      <c r="C2141" s="13" t="s">
        <v>8</v>
      </c>
      <c r="D2141" s="12"/>
      <c r="E2141" s="11">
        <v>8.5</v>
      </c>
      <c r="F2141" s="10"/>
      <c r="G2141" s="10">
        <f t="shared" ref="G2141:G2149" si="126">+E2141*F2141</f>
        <v>0</v>
      </c>
      <c r="H2141" s="12"/>
      <c r="I2141" s="11">
        <v>11</v>
      </c>
      <c r="J2141" s="10"/>
      <c r="K2141" s="10">
        <f t="shared" ref="K2141:K2149" si="127">+I2141*J2141</f>
        <v>0</v>
      </c>
      <c r="L2141" s="12"/>
      <c r="M2141" s="11"/>
      <c r="N2141" s="10"/>
      <c r="O2141" s="10">
        <f t="shared" ref="O2141:O2149" si="128">+M2141*N2141</f>
        <v>0</v>
      </c>
      <c r="P2141" s="12"/>
      <c r="Q2141" s="56">
        <f>+(E2141+I2141)/($E$2151+$I$2151)</f>
        <v>1.1926605504587156</v>
      </c>
    </row>
    <row r="2142" spans="1:17" x14ac:dyDescent="0.25">
      <c r="A2142" s="15"/>
      <c r="B2142" s="14" t="s">
        <v>607</v>
      </c>
      <c r="C2142" s="13" t="s">
        <v>608</v>
      </c>
      <c r="D2142" s="12"/>
      <c r="E2142" s="11">
        <v>0.5</v>
      </c>
      <c r="F2142" s="10"/>
      <c r="G2142" s="10">
        <f t="shared" si="126"/>
        <v>0</v>
      </c>
      <c r="H2142" s="12"/>
      <c r="I2142" s="11">
        <v>1.5</v>
      </c>
      <c r="J2142" s="10"/>
      <c r="K2142" s="10">
        <f t="shared" si="127"/>
        <v>0</v>
      </c>
      <c r="L2142" s="12"/>
      <c r="M2142" s="11"/>
      <c r="N2142" s="10"/>
      <c r="O2142" s="10">
        <f t="shared" si="128"/>
        <v>0</v>
      </c>
      <c r="P2142" s="12"/>
      <c r="Q2142" s="56">
        <f>+(E2142+I2142)/($E$2151+$I$2151)</f>
        <v>0.12232415902140671</v>
      </c>
    </row>
    <row r="2143" spans="1:17" x14ac:dyDescent="0.25">
      <c r="A2143" s="15"/>
      <c r="B2143" s="14" t="s">
        <v>609</v>
      </c>
      <c r="C2143" s="13" t="s">
        <v>605</v>
      </c>
      <c r="D2143" s="12">
        <v>1</v>
      </c>
      <c r="E2143" s="11">
        <v>1</v>
      </c>
      <c r="F2143" s="10"/>
      <c r="G2143" s="10">
        <f t="shared" si="126"/>
        <v>0</v>
      </c>
      <c r="H2143" s="12"/>
      <c r="I2143" s="11"/>
      <c r="J2143" s="10"/>
      <c r="K2143" s="10">
        <f t="shared" si="127"/>
        <v>0</v>
      </c>
      <c r="L2143" s="12"/>
      <c r="M2143" s="11"/>
      <c r="N2143" s="10"/>
      <c r="O2143" s="10">
        <f t="shared" si="128"/>
        <v>0</v>
      </c>
      <c r="P2143" s="12"/>
      <c r="Q2143" s="56">
        <f>+E2143/E2151</f>
        <v>0.19230769230769229</v>
      </c>
    </row>
    <row r="2144" spans="1:17" x14ac:dyDescent="0.25">
      <c r="A2144" s="15"/>
      <c r="B2144" s="14" t="s">
        <v>604</v>
      </c>
      <c r="C2144" s="13" t="s">
        <v>605</v>
      </c>
      <c r="D2144" s="12"/>
      <c r="E2144" s="11">
        <v>0.5</v>
      </c>
      <c r="F2144" s="10"/>
      <c r="G2144" s="10">
        <f t="shared" si="126"/>
        <v>0</v>
      </c>
      <c r="H2144" s="12"/>
      <c r="I2144" s="11">
        <v>0.5</v>
      </c>
      <c r="J2144" s="10"/>
      <c r="K2144" s="10">
        <f t="shared" si="127"/>
        <v>0</v>
      </c>
      <c r="L2144" s="12"/>
      <c r="M2144" s="11"/>
      <c r="N2144" s="10"/>
      <c r="O2144" s="10">
        <f t="shared" si="128"/>
        <v>0</v>
      </c>
      <c r="P2144" s="12"/>
      <c r="Q2144" s="56">
        <f>+(E2144+I2144)/($E$2151+$I$2151)</f>
        <v>6.1162079510703356E-2</v>
      </c>
    </row>
    <row r="2145" spans="1:17" x14ac:dyDescent="0.25">
      <c r="A2145" s="15"/>
      <c r="B2145" s="14" t="s">
        <v>610</v>
      </c>
      <c r="C2145" s="13" t="s">
        <v>605</v>
      </c>
      <c r="D2145" s="12"/>
      <c r="E2145" s="11"/>
      <c r="F2145" s="10"/>
      <c r="G2145" s="10">
        <f t="shared" si="126"/>
        <v>0</v>
      </c>
      <c r="H2145" s="12"/>
      <c r="I2145" s="11">
        <v>0.5</v>
      </c>
      <c r="J2145" s="10"/>
      <c r="K2145" s="10">
        <f t="shared" si="127"/>
        <v>0</v>
      </c>
      <c r="L2145" s="12"/>
      <c r="M2145" s="11"/>
      <c r="N2145" s="10"/>
      <c r="O2145" s="10">
        <f t="shared" si="128"/>
        <v>0</v>
      </c>
      <c r="P2145" s="12"/>
      <c r="Q2145" s="56">
        <f>+I2145/I2151</f>
        <v>4.4843049327354258E-2</v>
      </c>
    </row>
    <row r="2146" spans="1:17" x14ac:dyDescent="0.25">
      <c r="A2146" s="15"/>
      <c r="B2146" s="14" t="s">
        <v>603</v>
      </c>
      <c r="C2146" s="13" t="s">
        <v>6</v>
      </c>
      <c r="D2146" s="12"/>
      <c r="E2146" s="11">
        <v>0.21</v>
      </c>
      <c r="F2146" s="10"/>
      <c r="G2146" s="10">
        <f t="shared" si="126"/>
        <v>0</v>
      </c>
      <c r="H2146" s="12"/>
      <c r="I2146" s="11">
        <f>0.48+0.24+0.68</f>
        <v>1.4</v>
      </c>
      <c r="J2146" s="10"/>
      <c r="K2146" s="10">
        <f t="shared" si="127"/>
        <v>0</v>
      </c>
      <c r="L2146" s="12"/>
      <c r="M2146" s="11"/>
      <c r="N2146" s="10"/>
      <c r="O2146" s="10">
        <f t="shared" si="128"/>
        <v>0</v>
      </c>
      <c r="P2146" s="12"/>
      <c r="Q2146" s="56">
        <f>+(E2146+I2146)/($E$2151+$I$2151)</f>
        <v>9.8470948012232398E-2</v>
      </c>
    </row>
    <row r="2147" spans="1:17" x14ac:dyDescent="0.25">
      <c r="A2147" s="15"/>
      <c r="B2147" s="14" t="s">
        <v>602</v>
      </c>
      <c r="C2147" s="13" t="s">
        <v>6</v>
      </c>
      <c r="D2147" s="12"/>
      <c r="E2147" s="11">
        <v>0.17</v>
      </c>
      <c r="F2147" s="10"/>
      <c r="G2147" s="10">
        <f t="shared" si="126"/>
        <v>0</v>
      </c>
      <c r="H2147" s="12"/>
      <c r="I2147" s="11">
        <v>0.08</v>
      </c>
      <c r="J2147" s="10"/>
      <c r="K2147" s="10">
        <f t="shared" si="127"/>
        <v>0</v>
      </c>
      <c r="L2147" s="12"/>
      <c r="M2147" s="11"/>
      <c r="N2147" s="10"/>
      <c r="O2147" s="10">
        <f t="shared" si="128"/>
        <v>0</v>
      </c>
      <c r="P2147" s="12"/>
      <c r="Q2147" s="56">
        <f>+(E2147+I2147)/($E$2151+$I$2151)</f>
        <v>1.5290519877675839E-2</v>
      </c>
    </row>
    <row r="2148" spans="1:17" x14ac:dyDescent="0.25">
      <c r="A2148" s="15"/>
      <c r="B2148" s="14" t="s">
        <v>606</v>
      </c>
      <c r="C2148" s="13" t="s">
        <v>605</v>
      </c>
      <c r="D2148" s="12"/>
      <c r="E2148" s="11">
        <v>2</v>
      </c>
      <c r="F2148" s="10"/>
      <c r="G2148" s="10">
        <f t="shared" si="126"/>
        <v>0</v>
      </c>
      <c r="H2148" s="12"/>
      <c r="I2148" s="11">
        <v>0.5</v>
      </c>
      <c r="J2148" s="10"/>
      <c r="K2148" s="10">
        <f t="shared" si="127"/>
        <v>0</v>
      </c>
      <c r="L2148" s="12"/>
      <c r="M2148" s="11"/>
      <c r="N2148" s="10"/>
      <c r="O2148" s="10">
        <f t="shared" si="128"/>
        <v>0</v>
      </c>
      <c r="P2148" s="12"/>
      <c r="Q2148" s="56">
        <f>+(E2148+I2148)/($E$2151+$I$2151)</f>
        <v>0.1529051987767584</v>
      </c>
    </row>
    <row r="2149" spans="1:17" ht="15.75" thickBot="1" x14ac:dyDescent="0.3">
      <c r="A2149" s="15"/>
      <c r="B2149" s="14"/>
      <c r="C2149" s="13"/>
      <c r="D2149" s="12"/>
      <c r="E2149" s="11"/>
      <c r="F2149" s="10"/>
      <c r="G2149" s="10">
        <f t="shared" si="126"/>
        <v>0</v>
      </c>
      <c r="H2149" s="12"/>
      <c r="I2149" s="11"/>
      <c r="J2149" s="10"/>
      <c r="K2149" s="10">
        <f t="shared" si="127"/>
        <v>0</v>
      </c>
      <c r="L2149" s="12"/>
      <c r="M2149" s="11"/>
      <c r="N2149" s="10"/>
      <c r="O2149" s="10">
        <f t="shared" si="128"/>
        <v>0</v>
      </c>
      <c r="P2149" s="12"/>
      <c r="Q2149" s="46"/>
    </row>
    <row r="2150" spans="1:17" ht="16.5" thickBot="1" x14ac:dyDescent="0.3">
      <c r="A2150" s="62" t="s">
        <v>5</v>
      </c>
      <c r="B2150" s="63"/>
      <c r="C2150" s="63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6"/>
      <c r="P2150" s="17"/>
      <c r="Q2150" s="46"/>
    </row>
    <row r="2151" spans="1:17" x14ac:dyDescent="0.25">
      <c r="A2151" s="15"/>
      <c r="B2151" s="14" t="s">
        <v>599</v>
      </c>
      <c r="C2151" s="13" t="s">
        <v>3</v>
      </c>
      <c r="D2151" s="12"/>
      <c r="E2151" s="11">
        <v>5.2</v>
      </c>
      <c r="F2151" s="10">
        <v>15.8</v>
      </c>
      <c r="G2151" s="10">
        <f>+E2151*F2151</f>
        <v>82.160000000000011</v>
      </c>
      <c r="H2151" s="12"/>
      <c r="I2151" s="11">
        <f>4.9+3.15+3.1</f>
        <v>11.15</v>
      </c>
      <c r="J2151" s="10">
        <v>15.8</v>
      </c>
      <c r="K2151" s="10">
        <f>+I2151*J2151</f>
        <v>176.17000000000002</v>
      </c>
      <c r="L2151" s="12"/>
      <c r="M2151" s="11"/>
      <c r="N2151" s="10"/>
      <c r="O2151" s="10">
        <f>+M2151*N2151</f>
        <v>0</v>
      </c>
      <c r="P2151" s="12"/>
      <c r="Q2151" s="46"/>
    </row>
    <row r="2152" spans="1:17" ht="15.75" thickBot="1" x14ac:dyDescent="0.3">
      <c r="A2152" s="15"/>
      <c r="B2152" s="14"/>
      <c r="C2152" s="13"/>
      <c r="D2152" s="12"/>
      <c r="E2152" s="11"/>
      <c r="F2152" s="10"/>
      <c r="G2152" s="10">
        <f>+E2152*F2152</f>
        <v>0</v>
      </c>
      <c r="H2152" s="12"/>
      <c r="I2152" s="11"/>
      <c r="J2152" s="10"/>
      <c r="K2152" s="10">
        <f>+I2152*J2152</f>
        <v>0</v>
      </c>
      <c r="L2152" s="12"/>
      <c r="M2152" s="11"/>
      <c r="N2152" s="10"/>
      <c r="O2152" s="10">
        <f>+M2152*N2152</f>
        <v>0</v>
      </c>
      <c r="P2152" s="12"/>
      <c r="Q2152" s="46"/>
    </row>
    <row r="2153" spans="1:17" ht="16.5" thickBot="1" x14ac:dyDescent="0.3">
      <c r="A2153" s="62" t="s">
        <v>2</v>
      </c>
      <c r="B2153" s="63"/>
      <c r="C2153" s="63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6"/>
      <c r="P2153" s="17"/>
      <c r="Q2153" s="46"/>
    </row>
    <row r="2154" spans="1:17" x14ac:dyDescent="0.25">
      <c r="A2154" s="15"/>
      <c r="B2154" s="14"/>
      <c r="C2154" s="13"/>
      <c r="D2154" s="12"/>
      <c r="E2154" s="11"/>
      <c r="F2154" s="10"/>
      <c r="G2154" s="10">
        <f>+E2154*F2154</f>
        <v>0</v>
      </c>
      <c r="H2154" s="12"/>
      <c r="I2154" s="11"/>
      <c r="J2154" s="10"/>
      <c r="K2154" s="10">
        <f>+I2154*J2154</f>
        <v>0</v>
      </c>
      <c r="L2154" s="12"/>
      <c r="M2154" s="11"/>
      <c r="N2154" s="10"/>
      <c r="O2154" s="10">
        <f>+M2154*N2154</f>
        <v>0</v>
      </c>
      <c r="P2154" s="12"/>
      <c r="Q2154" s="46"/>
    </row>
    <row r="2155" spans="1:17" ht="15.75" thickBot="1" x14ac:dyDescent="0.3">
      <c r="Q2155" s="46"/>
    </row>
    <row r="2156" spans="1:17" ht="21" thickBot="1" x14ac:dyDescent="0.3">
      <c r="A2156" s="64" t="s">
        <v>1</v>
      </c>
      <c r="B2156" s="65"/>
      <c r="C2156" s="66"/>
      <c r="D2156" s="5"/>
      <c r="E2156" s="9"/>
      <c r="F2156" s="8"/>
      <c r="G2156" s="7">
        <f>SUM(G2140:G2155)</f>
        <v>82.160000000000011</v>
      </c>
      <c r="H2156" s="5"/>
      <c r="I2156" s="9"/>
      <c r="J2156" s="8"/>
      <c r="K2156" s="7">
        <f>SUM(K2138:K2154)</f>
        <v>176.17000000000002</v>
      </c>
      <c r="L2156" s="5"/>
      <c r="M2156" s="9"/>
      <c r="N2156" s="8"/>
      <c r="O2156" s="7">
        <f>SUM(O2138:O2154)</f>
        <v>0</v>
      </c>
      <c r="P2156" s="5"/>
      <c r="Q2156" s="46"/>
    </row>
    <row r="2157" spans="1:17" ht="21" thickBot="1" x14ac:dyDescent="0.3">
      <c r="A2157" s="60" t="s">
        <v>0</v>
      </c>
      <c r="B2157" s="61"/>
      <c r="C2157" s="61"/>
      <c r="D2157" s="5"/>
      <c r="E2157" s="4"/>
      <c r="F2157" s="3"/>
      <c r="G2157" s="21">
        <f>+G2156/E2151</f>
        <v>15.8</v>
      </c>
      <c r="H2157" s="5"/>
      <c r="I2157" s="4"/>
      <c r="J2157" s="3"/>
      <c r="K2157" s="6">
        <f>+K2156/I2151</f>
        <v>15.8</v>
      </c>
      <c r="L2157" s="5"/>
      <c r="M2157" s="4"/>
      <c r="N2157" s="3"/>
      <c r="O2157" s="21" t="e">
        <f>+O2156/M2151</f>
        <v>#DIV/0!</v>
      </c>
      <c r="P2157" s="5"/>
      <c r="Q2157" s="46"/>
    </row>
    <row r="2158" spans="1:17" x14ac:dyDescent="0.25">
      <c r="Q2158" s="46"/>
    </row>
    <row r="2159" spans="1:17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46"/>
    </row>
    <row r="2160" spans="1:17" ht="15.75" thickBot="1" x14ac:dyDescent="0.3">
      <c r="Q2160" s="46"/>
    </row>
    <row r="2161" spans="1:17" ht="24" thickBot="1" x14ac:dyDescent="0.3">
      <c r="A2161" s="22" t="s">
        <v>536</v>
      </c>
      <c r="B2161" s="22"/>
      <c r="C2161" s="22"/>
      <c r="D2161" s="22"/>
      <c r="E2161" s="22"/>
      <c r="F2161" s="22"/>
      <c r="G2161" s="22"/>
      <c r="H2161" s="22"/>
      <c r="I2161" s="22"/>
      <c r="J2161" s="23"/>
      <c r="K2161" s="22"/>
      <c r="L2161" s="22"/>
      <c r="M2161" s="22"/>
      <c r="N2161" s="22"/>
      <c r="O2161" s="22"/>
      <c r="P2161" s="22"/>
      <c r="Q2161" s="46"/>
    </row>
    <row r="2162" spans="1:17" ht="15.75" thickBot="1" x14ac:dyDescent="0.3">
      <c r="Q2162" s="46"/>
    </row>
    <row r="2163" spans="1:17" ht="32.25" thickBot="1" x14ac:dyDescent="0.3">
      <c r="A2163" s="20" t="s">
        <v>537</v>
      </c>
      <c r="B2163" s="19" t="s">
        <v>538</v>
      </c>
      <c r="C2163" s="18" t="s">
        <v>19</v>
      </c>
      <c r="Q2163" s="46"/>
    </row>
    <row r="2164" spans="1:17" ht="15.75" thickBot="1" x14ac:dyDescent="0.3">
      <c r="Q2164" s="46"/>
    </row>
    <row r="2165" spans="1:17" ht="16.5" thickBot="1" x14ac:dyDescent="0.3">
      <c r="A2165" s="62" t="s">
        <v>11</v>
      </c>
      <c r="B2165" s="63"/>
      <c r="C2165" s="63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6"/>
      <c r="P2165" s="17"/>
      <c r="Q2165" s="46"/>
    </row>
    <row r="2166" spans="1:17" x14ac:dyDescent="0.25">
      <c r="A2166" s="15"/>
      <c r="B2166" s="14" t="s">
        <v>261</v>
      </c>
      <c r="C2166" s="13" t="s">
        <v>6</v>
      </c>
      <c r="D2166" s="12"/>
      <c r="E2166" s="11"/>
      <c r="F2166" s="10"/>
      <c r="G2166" s="10">
        <f>+E2166*F2166</f>
        <v>0</v>
      </c>
      <c r="H2166" s="12"/>
      <c r="I2166" s="11">
        <v>6.88</v>
      </c>
      <c r="J2166" s="10">
        <v>16.309593023255815</v>
      </c>
      <c r="K2166" s="10">
        <f>+I2166*J2166</f>
        <v>112.21000000000001</v>
      </c>
      <c r="L2166" s="12"/>
      <c r="M2166" s="11"/>
      <c r="N2166" s="10"/>
      <c r="O2166" s="10">
        <f>+M2166*N2166</f>
        <v>0</v>
      </c>
      <c r="P2166" s="12"/>
      <c r="Q2166" s="56">
        <f>+I2166/$I$2175</f>
        <v>3.8279641684749351E-2</v>
      </c>
    </row>
    <row r="2167" spans="1:17" x14ac:dyDescent="0.25">
      <c r="A2167" s="15"/>
      <c r="B2167" s="14" t="s">
        <v>176</v>
      </c>
      <c r="C2167" s="13" t="s">
        <v>6</v>
      </c>
      <c r="D2167" s="12"/>
      <c r="E2167" s="11"/>
      <c r="F2167" s="10"/>
      <c r="G2167" s="10">
        <f t="shared" ref="G2167:G2173" si="129">+E2167*F2167</f>
        <v>0</v>
      </c>
      <c r="H2167" s="12"/>
      <c r="I2167" s="11">
        <v>3.36</v>
      </c>
      <c r="J2167" s="10">
        <v>12.163690476190476</v>
      </c>
      <c r="K2167" s="10">
        <f t="shared" ref="K2167:K2173" si="130">+I2167*J2167</f>
        <v>40.869999999999997</v>
      </c>
      <c r="L2167" s="12"/>
      <c r="M2167" s="11"/>
      <c r="N2167" s="10"/>
      <c r="O2167" s="10">
        <f t="shared" ref="O2167:O2173" si="131">+M2167*N2167</f>
        <v>0</v>
      </c>
      <c r="P2167" s="12"/>
      <c r="Q2167" s="56">
        <f t="shared" ref="Q2167:Q2172" si="132">+I2167/$I$2175</f>
        <v>1.8694708729761308E-2</v>
      </c>
    </row>
    <row r="2168" spans="1:17" x14ac:dyDescent="0.25">
      <c r="A2168" s="15"/>
      <c r="B2168" s="14" t="s">
        <v>539</v>
      </c>
      <c r="C2168" s="13" t="s">
        <v>15</v>
      </c>
      <c r="D2168" s="12"/>
      <c r="E2168" s="11"/>
      <c r="F2168" s="10"/>
      <c r="G2168" s="10">
        <f t="shared" si="129"/>
        <v>0</v>
      </c>
      <c r="H2168" s="12"/>
      <c r="I2168" s="11">
        <v>4</v>
      </c>
      <c r="J2168" s="10">
        <v>11.4725</v>
      </c>
      <c r="K2168" s="10">
        <f t="shared" si="130"/>
        <v>45.89</v>
      </c>
      <c r="L2168" s="12"/>
      <c r="M2168" s="11"/>
      <c r="N2168" s="10"/>
      <c r="O2168" s="10">
        <f t="shared" si="131"/>
        <v>0</v>
      </c>
      <c r="P2168" s="12"/>
      <c r="Q2168" s="56">
        <f t="shared" si="132"/>
        <v>2.2255605630668227E-2</v>
      </c>
    </row>
    <row r="2169" spans="1:17" ht="30" x14ac:dyDescent="0.25">
      <c r="A2169" s="15"/>
      <c r="B2169" s="14" t="s">
        <v>9</v>
      </c>
      <c r="C2169" s="13" t="s">
        <v>8</v>
      </c>
      <c r="D2169" s="12"/>
      <c r="E2169" s="11"/>
      <c r="F2169" s="10"/>
      <c r="G2169" s="10">
        <f t="shared" si="129"/>
        <v>0</v>
      </c>
      <c r="H2169" s="12"/>
      <c r="I2169" s="11">
        <v>60</v>
      </c>
      <c r="J2169" s="10">
        <v>6.7736666666666663</v>
      </c>
      <c r="K2169" s="10">
        <f t="shared" si="130"/>
        <v>406.41999999999996</v>
      </c>
      <c r="L2169" s="12"/>
      <c r="M2169" s="11"/>
      <c r="N2169" s="10"/>
      <c r="O2169" s="10">
        <f t="shared" si="131"/>
        <v>0</v>
      </c>
      <c r="P2169" s="12"/>
      <c r="Q2169" s="56">
        <f t="shared" si="132"/>
        <v>0.33383408446002338</v>
      </c>
    </row>
    <row r="2170" spans="1:17" x14ac:dyDescent="0.25">
      <c r="A2170" s="15"/>
      <c r="B2170" s="14" t="s">
        <v>540</v>
      </c>
      <c r="C2170" s="13" t="s">
        <v>15</v>
      </c>
      <c r="D2170" s="12"/>
      <c r="E2170" s="11"/>
      <c r="F2170" s="10"/>
      <c r="G2170" s="10">
        <f t="shared" si="129"/>
        <v>0</v>
      </c>
      <c r="H2170" s="12"/>
      <c r="I2170" s="11">
        <v>3615</v>
      </c>
      <c r="J2170" s="10">
        <v>0.33612448132780082</v>
      </c>
      <c r="K2170" s="10">
        <f t="shared" si="130"/>
        <v>1215.0899999999999</v>
      </c>
      <c r="L2170" s="12"/>
      <c r="M2170" s="11"/>
      <c r="N2170" s="10"/>
      <c r="O2170" s="10">
        <f t="shared" si="131"/>
        <v>0</v>
      </c>
      <c r="P2170" s="12"/>
      <c r="Q2170" s="56">
        <f t="shared" si="132"/>
        <v>20.113503588716409</v>
      </c>
    </row>
    <row r="2171" spans="1:17" x14ac:dyDescent="0.25">
      <c r="A2171" s="15"/>
      <c r="B2171" s="14" t="s">
        <v>541</v>
      </c>
      <c r="C2171" s="13" t="s">
        <v>15</v>
      </c>
      <c r="D2171" s="12"/>
      <c r="E2171" s="11"/>
      <c r="F2171" s="10"/>
      <c r="G2171" s="10">
        <f t="shared" si="129"/>
        <v>0</v>
      </c>
      <c r="H2171" s="12"/>
      <c r="I2171" s="11">
        <v>15</v>
      </c>
      <c r="J2171" s="10">
        <v>0.498</v>
      </c>
      <c r="K2171" s="10">
        <f t="shared" si="130"/>
        <v>7.47</v>
      </c>
      <c r="L2171" s="12"/>
      <c r="M2171" s="11"/>
      <c r="N2171" s="10"/>
      <c r="O2171" s="10">
        <f t="shared" si="131"/>
        <v>0</v>
      </c>
      <c r="P2171" s="12"/>
      <c r="Q2171" s="56">
        <f t="shared" si="132"/>
        <v>8.3458521115005846E-2</v>
      </c>
    </row>
    <row r="2172" spans="1:17" x14ac:dyDescent="0.25">
      <c r="A2172" s="15"/>
      <c r="B2172" s="14" t="s">
        <v>542</v>
      </c>
      <c r="C2172" s="13" t="s">
        <v>15</v>
      </c>
      <c r="D2172" s="12"/>
      <c r="E2172" s="11"/>
      <c r="F2172" s="10"/>
      <c r="G2172" s="10">
        <f t="shared" si="129"/>
        <v>0</v>
      </c>
      <c r="H2172" s="12"/>
      <c r="I2172" s="11">
        <v>4</v>
      </c>
      <c r="J2172" s="10">
        <v>88.56</v>
      </c>
      <c r="K2172" s="10">
        <f t="shared" si="130"/>
        <v>354.24</v>
      </c>
      <c r="L2172" s="12"/>
      <c r="M2172" s="11"/>
      <c r="N2172" s="10"/>
      <c r="O2172" s="10">
        <f t="shared" si="131"/>
        <v>0</v>
      </c>
      <c r="P2172" s="12"/>
      <c r="Q2172" s="56">
        <f t="shared" si="132"/>
        <v>2.2255605630668227E-2</v>
      </c>
    </row>
    <row r="2173" spans="1:17" ht="15.75" thickBot="1" x14ac:dyDescent="0.3">
      <c r="A2173" s="15"/>
      <c r="B2173" s="14"/>
      <c r="C2173" s="13"/>
      <c r="D2173" s="12"/>
      <c r="E2173" s="11"/>
      <c r="F2173" s="10"/>
      <c r="G2173" s="10">
        <f t="shared" si="129"/>
        <v>0</v>
      </c>
      <c r="H2173" s="12"/>
      <c r="I2173" s="11"/>
      <c r="J2173" s="10"/>
      <c r="K2173" s="10">
        <f t="shared" si="130"/>
        <v>0</v>
      </c>
      <c r="L2173" s="12"/>
      <c r="M2173" s="11"/>
      <c r="N2173" s="10"/>
      <c r="O2173" s="10">
        <f t="shared" si="131"/>
        <v>0</v>
      </c>
      <c r="P2173" s="12"/>
      <c r="Q2173" s="59"/>
    </row>
    <row r="2174" spans="1:17" ht="16.5" thickBot="1" x14ac:dyDescent="0.3">
      <c r="A2174" s="62" t="s">
        <v>5</v>
      </c>
      <c r="B2174" s="63"/>
      <c r="C2174" s="63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6"/>
      <c r="P2174" s="17"/>
      <c r="Q2174" s="59"/>
    </row>
    <row r="2175" spans="1:17" ht="30" x14ac:dyDescent="0.25">
      <c r="A2175" s="15"/>
      <c r="B2175" s="14" t="s">
        <v>590</v>
      </c>
      <c r="C2175" s="13" t="s">
        <v>13</v>
      </c>
      <c r="D2175" s="12"/>
      <c r="E2175" s="11"/>
      <c r="F2175" s="42">
        <v>17.27</v>
      </c>
      <c r="G2175" s="10">
        <f>+E2175*F2175</f>
        <v>0</v>
      </c>
      <c r="H2175" s="12"/>
      <c r="I2175" s="11">
        <v>179.73</v>
      </c>
      <c r="J2175" s="10">
        <v>15</v>
      </c>
      <c r="K2175" s="10">
        <f>+I2175*J2175</f>
        <v>2695.95</v>
      </c>
      <c r="L2175" s="12"/>
      <c r="M2175" s="11"/>
      <c r="N2175" s="10"/>
      <c r="O2175" s="10">
        <f>+M2175*N2175</f>
        <v>0</v>
      </c>
      <c r="P2175" s="12"/>
      <c r="Q2175" s="59"/>
    </row>
    <row r="2176" spans="1:17" ht="15.75" thickBot="1" x14ac:dyDescent="0.3">
      <c r="A2176" s="15"/>
      <c r="B2176" s="14"/>
      <c r="C2176" s="13"/>
      <c r="D2176" s="12"/>
      <c r="E2176" s="11"/>
      <c r="F2176" s="10"/>
      <c r="G2176" s="10">
        <f>+E2176*F2176</f>
        <v>0</v>
      </c>
      <c r="H2176" s="12"/>
      <c r="I2176" s="11"/>
      <c r="J2176" s="10"/>
      <c r="K2176" s="10">
        <f>+I2176*J2176</f>
        <v>0</v>
      </c>
      <c r="L2176" s="12"/>
      <c r="M2176" s="11"/>
      <c r="N2176" s="10"/>
      <c r="O2176" s="10">
        <f>+M2176*N2176</f>
        <v>0</v>
      </c>
      <c r="P2176" s="12"/>
      <c r="Q2176" s="59"/>
    </row>
    <row r="2177" spans="1:17" ht="16.5" thickBot="1" x14ac:dyDescent="0.3">
      <c r="A2177" s="62" t="s">
        <v>2</v>
      </c>
      <c r="B2177" s="63"/>
      <c r="C2177" s="63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6"/>
      <c r="P2177" s="17"/>
      <c r="Q2177" s="59"/>
    </row>
    <row r="2178" spans="1:17" x14ac:dyDescent="0.25">
      <c r="A2178" s="15"/>
      <c r="B2178" s="14" t="s">
        <v>521</v>
      </c>
      <c r="C2178" s="13" t="s">
        <v>15</v>
      </c>
      <c r="D2178" s="12"/>
      <c r="E2178" s="11"/>
      <c r="F2178" s="10"/>
      <c r="G2178" s="10">
        <f>+E2178*F2178</f>
        <v>0</v>
      </c>
      <c r="H2178" s="12"/>
      <c r="I2178" s="11">
        <v>306</v>
      </c>
      <c r="J2178" s="10">
        <v>0.36</v>
      </c>
      <c r="K2178" s="10">
        <f>+I2178*J2178</f>
        <v>110.16</v>
      </c>
      <c r="L2178" s="12"/>
      <c r="M2178" s="11"/>
      <c r="N2178" s="10"/>
      <c r="O2178" s="10">
        <f>+M2178*N2178</f>
        <v>0</v>
      </c>
      <c r="P2178" s="12"/>
      <c r="Q2178" s="56">
        <f>+I2178/$I$2175</f>
        <v>1.7025538307461192</v>
      </c>
    </row>
    <row r="2179" spans="1:17" x14ac:dyDescent="0.25">
      <c r="A2179" s="15"/>
      <c r="B2179" s="14" t="s">
        <v>233</v>
      </c>
      <c r="C2179" s="13" t="s">
        <v>15</v>
      </c>
      <c r="D2179" s="12"/>
      <c r="E2179" s="11"/>
      <c r="F2179" s="10"/>
      <c r="G2179" s="10">
        <f>+E2179*F2179</f>
        <v>0</v>
      </c>
      <c r="H2179" s="12"/>
      <c r="I2179" s="11">
        <v>306</v>
      </c>
      <c r="J2179" s="10">
        <v>0.09</v>
      </c>
      <c r="K2179" s="10">
        <f>+I2179*J2179</f>
        <v>27.54</v>
      </c>
      <c r="L2179" s="12"/>
      <c r="M2179" s="11"/>
      <c r="N2179" s="10"/>
      <c r="O2179" s="10">
        <f>+M2179*N2179</f>
        <v>0</v>
      </c>
      <c r="P2179" s="12"/>
      <c r="Q2179" s="56">
        <f>+I2179/$I$2175</f>
        <v>1.7025538307461192</v>
      </c>
    </row>
    <row r="2180" spans="1:17" ht="15.75" thickBot="1" x14ac:dyDescent="0.3">
      <c r="Q2180" s="46"/>
    </row>
    <row r="2181" spans="1:17" ht="21" thickBot="1" x14ac:dyDescent="0.3">
      <c r="A2181" s="64" t="s">
        <v>1</v>
      </c>
      <c r="B2181" s="65"/>
      <c r="C2181" s="66"/>
      <c r="D2181" s="5"/>
      <c r="E2181" s="9"/>
      <c r="F2181" s="8"/>
      <c r="G2181" s="7">
        <f>SUM(G2165:G2180)</f>
        <v>0</v>
      </c>
      <c r="H2181" s="5"/>
      <c r="I2181" s="9"/>
      <c r="J2181" s="8"/>
      <c r="K2181" s="7">
        <f>SUM(K2165:K2179)</f>
        <v>5015.8399999999992</v>
      </c>
      <c r="L2181" s="5"/>
      <c r="M2181" s="9"/>
      <c r="N2181" s="8"/>
      <c r="O2181" s="7">
        <f>SUM(O2163:O2179)</f>
        <v>0</v>
      </c>
      <c r="P2181" s="5"/>
      <c r="Q2181" s="46"/>
    </row>
    <row r="2182" spans="1:17" ht="21" thickBot="1" x14ac:dyDescent="0.3">
      <c r="A2182" s="60" t="s">
        <v>0</v>
      </c>
      <c r="B2182" s="61"/>
      <c r="C2182" s="61"/>
      <c r="D2182" s="5"/>
      <c r="E2182" s="4"/>
      <c r="F2182" s="3"/>
      <c r="G2182" s="6" t="e">
        <f>+G2181/E2175</f>
        <v>#DIV/0!</v>
      </c>
      <c r="H2182" s="5"/>
      <c r="I2182" s="4"/>
      <c r="J2182" s="3"/>
      <c r="K2182" s="6">
        <f>+K2181/I2175</f>
        <v>27.907639236632725</v>
      </c>
      <c r="L2182" s="5"/>
      <c r="M2182" s="4"/>
      <c r="N2182" s="3"/>
      <c r="O2182" s="6" t="e">
        <f>+O2181/M2175</f>
        <v>#DIV/0!</v>
      </c>
      <c r="P2182" s="5"/>
      <c r="Q2182" s="46"/>
    </row>
    <row r="2183" spans="1:17" x14ac:dyDescent="0.25">
      <c r="Q2183" s="46"/>
    </row>
    <row r="2184" spans="1:17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46"/>
    </row>
    <row r="2185" spans="1:17" ht="15.75" thickBot="1" x14ac:dyDescent="0.3">
      <c r="Q2185" s="46"/>
    </row>
    <row r="2186" spans="1:17" ht="16.5" thickBot="1" x14ac:dyDescent="0.3">
      <c r="A2186" s="20" t="s">
        <v>576</v>
      </c>
      <c r="B2186" s="19" t="s">
        <v>577</v>
      </c>
      <c r="C2186" s="18" t="s">
        <v>88</v>
      </c>
      <c r="Q2186" s="46"/>
    </row>
    <row r="2187" spans="1:17" ht="15.75" thickBot="1" x14ac:dyDescent="0.3">
      <c r="Q2187" s="46"/>
    </row>
    <row r="2188" spans="1:17" ht="16.5" thickBot="1" x14ac:dyDescent="0.3">
      <c r="A2188" s="62" t="s">
        <v>11</v>
      </c>
      <c r="B2188" s="63"/>
      <c r="C2188" s="63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6"/>
      <c r="P2188" s="17"/>
      <c r="Q2188" s="46"/>
    </row>
    <row r="2189" spans="1:17" ht="30" x14ac:dyDescent="0.25">
      <c r="A2189" s="15"/>
      <c r="B2189" s="14" t="s">
        <v>543</v>
      </c>
      <c r="C2189" s="13" t="s">
        <v>105</v>
      </c>
      <c r="D2189" s="12"/>
      <c r="E2189" s="11"/>
      <c r="F2189" s="10"/>
      <c r="G2189" s="10">
        <f>+E2189*F2189</f>
        <v>0</v>
      </c>
      <c r="H2189" s="12"/>
      <c r="I2189" s="11"/>
      <c r="J2189" s="10"/>
      <c r="K2189" s="10">
        <f>+I2189*J2189</f>
        <v>0</v>
      </c>
      <c r="L2189" s="12"/>
      <c r="M2189" s="11">
        <v>1</v>
      </c>
      <c r="N2189" s="10">
        <v>30.96</v>
      </c>
      <c r="O2189" s="10">
        <f>+M2189*N2189</f>
        <v>30.96</v>
      </c>
      <c r="P2189" s="12"/>
      <c r="Q2189" s="46"/>
    </row>
    <row r="2190" spans="1:17" x14ac:dyDescent="0.25">
      <c r="A2190" s="15"/>
      <c r="B2190" s="14" t="s">
        <v>176</v>
      </c>
      <c r="C2190" s="13" t="s">
        <v>6</v>
      </c>
      <c r="D2190" s="12"/>
      <c r="E2190" s="11"/>
      <c r="F2190" s="10"/>
      <c r="G2190" s="10">
        <f t="shared" ref="G2190:G2200" si="133">+E2190*F2190</f>
        <v>0</v>
      </c>
      <c r="H2190" s="12"/>
      <c r="I2190" s="11"/>
      <c r="J2190" s="10"/>
      <c r="K2190" s="10">
        <f t="shared" ref="K2190:K2200" si="134">+I2190*J2190</f>
        <v>0</v>
      </c>
      <c r="L2190" s="12"/>
      <c r="M2190" s="11">
        <v>1.28</v>
      </c>
      <c r="N2190" s="10">
        <v>14.000000000000002</v>
      </c>
      <c r="O2190" s="10">
        <f t="shared" ref="O2190:O2200" si="135">+M2190*N2190</f>
        <v>17.920000000000002</v>
      </c>
      <c r="P2190" s="12"/>
      <c r="Q2190" s="46"/>
    </row>
    <row r="2191" spans="1:17" ht="30" x14ac:dyDescent="0.25">
      <c r="A2191" s="15"/>
      <c r="B2191" s="14" t="s">
        <v>9</v>
      </c>
      <c r="C2191" s="13" t="s">
        <v>8</v>
      </c>
      <c r="D2191" s="12"/>
      <c r="E2191" s="11"/>
      <c r="F2191" s="10"/>
      <c r="G2191" s="10">
        <f t="shared" si="133"/>
        <v>0</v>
      </c>
      <c r="H2191" s="12"/>
      <c r="I2191" s="11"/>
      <c r="J2191" s="10"/>
      <c r="K2191" s="10">
        <f t="shared" si="134"/>
        <v>0</v>
      </c>
      <c r="L2191" s="12"/>
      <c r="M2191" s="11">
        <v>12</v>
      </c>
      <c r="N2191" s="10">
        <v>6.732499999999999</v>
      </c>
      <c r="O2191" s="10">
        <f t="shared" si="135"/>
        <v>80.789999999999992</v>
      </c>
      <c r="P2191" s="12"/>
      <c r="Q2191" s="46"/>
    </row>
    <row r="2192" spans="1:17" ht="30" x14ac:dyDescent="0.25">
      <c r="A2192" s="15"/>
      <c r="B2192" s="14" t="s">
        <v>47</v>
      </c>
      <c r="C2192" s="13" t="s">
        <v>6</v>
      </c>
      <c r="D2192" s="12"/>
      <c r="E2192" s="11"/>
      <c r="F2192" s="10"/>
      <c r="G2192" s="10">
        <f t="shared" si="133"/>
        <v>0</v>
      </c>
      <c r="H2192" s="12"/>
      <c r="I2192" s="11"/>
      <c r="J2192" s="10"/>
      <c r="K2192" s="10">
        <f t="shared" si="134"/>
        <v>0</v>
      </c>
      <c r="L2192" s="12"/>
      <c r="M2192" s="11">
        <v>14.5</v>
      </c>
      <c r="N2192" s="10">
        <v>71</v>
      </c>
      <c r="O2192" s="10">
        <f t="shared" si="135"/>
        <v>1029.5</v>
      </c>
      <c r="P2192" s="12"/>
      <c r="Q2192" s="46"/>
    </row>
    <row r="2193" spans="1:17" ht="30" x14ac:dyDescent="0.25">
      <c r="A2193" s="15"/>
      <c r="B2193" s="14" t="s">
        <v>370</v>
      </c>
      <c r="C2193" s="13" t="s">
        <v>144</v>
      </c>
      <c r="D2193" s="12"/>
      <c r="E2193" s="11"/>
      <c r="F2193" s="10"/>
      <c r="G2193" s="10">
        <f t="shared" si="133"/>
        <v>0</v>
      </c>
      <c r="H2193" s="12"/>
      <c r="I2193" s="11"/>
      <c r="J2193" s="10"/>
      <c r="K2193" s="10">
        <f t="shared" si="134"/>
        <v>0</v>
      </c>
      <c r="L2193" s="12"/>
      <c r="M2193" s="11">
        <v>0.08</v>
      </c>
      <c r="N2193" s="10">
        <v>67.75</v>
      </c>
      <c r="O2193" s="10">
        <f t="shared" si="135"/>
        <v>5.42</v>
      </c>
      <c r="P2193" s="12"/>
      <c r="Q2193" s="46"/>
    </row>
    <row r="2194" spans="1:17" x14ac:dyDescent="0.25">
      <c r="A2194" s="15"/>
      <c r="B2194" s="14" t="s">
        <v>7</v>
      </c>
      <c r="C2194" s="13" t="s">
        <v>6</v>
      </c>
      <c r="D2194" s="12"/>
      <c r="E2194" s="11"/>
      <c r="F2194" s="10"/>
      <c r="G2194" s="10">
        <f t="shared" si="133"/>
        <v>0</v>
      </c>
      <c r="H2194" s="12"/>
      <c r="I2194" s="11"/>
      <c r="J2194" s="10"/>
      <c r="K2194" s="10">
        <f t="shared" si="134"/>
        <v>0</v>
      </c>
      <c r="L2194" s="12"/>
      <c r="M2194" s="11">
        <v>0.44</v>
      </c>
      <c r="N2194" s="10">
        <v>16.136363636363637</v>
      </c>
      <c r="O2194" s="10">
        <f t="shared" si="135"/>
        <v>7.1000000000000005</v>
      </c>
      <c r="P2194" s="12"/>
      <c r="Q2194" s="46"/>
    </row>
    <row r="2195" spans="1:17" x14ac:dyDescent="0.25">
      <c r="A2195" s="15"/>
      <c r="B2195" s="14" t="s">
        <v>44</v>
      </c>
      <c r="C2195" s="13" t="s">
        <v>6</v>
      </c>
      <c r="D2195" s="12"/>
      <c r="E2195" s="11"/>
      <c r="F2195" s="10"/>
      <c r="G2195" s="10">
        <f>+E2195*F2195</f>
        <v>0</v>
      </c>
      <c r="H2195" s="12"/>
      <c r="I2195" s="11"/>
      <c r="J2195" s="10"/>
      <c r="K2195" s="10">
        <f>+I2195*J2195</f>
        <v>0</v>
      </c>
      <c r="L2195" s="12"/>
      <c r="M2195" s="11">
        <v>4.5</v>
      </c>
      <c r="N2195" s="10">
        <v>10</v>
      </c>
      <c r="O2195" s="10">
        <f>+M2195*N2195</f>
        <v>45</v>
      </c>
      <c r="P2195" s="12"/>
      <c r="Q2195" s="46"/>
    </row>
    <row r="2196" spans="1:17" x14ac:dyDescent="0.25">
      <c r="A2196" s="15"/>
      <c r="B2196" s="14" t="s">
        <v>212</v>
      </c>
      <c r="C2196" s="13" t="s">
        <v>6</v>
      </c>
      <c r="D2196" s="12"/>
      <c r="E2196" s="11"/>
      <c r="F2196" s="10"/>
      <c r="G2196" s="10">
        <f>+E2196*F2196</f>
        <v>0</v>
      </c>
      <c r="H2196" s="12"/>
      <c r="I2196" s="11"/>
      <c r="J2196" s="10"/>
      <c r="K2196" s="10">
        <f>+I2196*J2196</f>
        <v>0</v>
      </c>
      <c r="L2196" s="12"/>
      <c r="M2196" s="11">
        <v>0.56000000000000005</v>
      </c>
      <c r="N2196" s="10">
        <v>16.660714285714288</v>
      </c>
      <c r="O2196" s="10">
        <f>+M2196*N2196</f>
        <v>9.3300000000000018</v>
      </c>
      <c r="P2196" s="12"/>
      <c r="Q2196" s="46"/>
    </row>
    <row r="2197" spans="1:17" ht="30" x14ac:dyDescent="0.25">
      <c r="A2197" s="15"/>
      <c r="B2197" s="14" t="s">
        <v>580</v>
      </c>
      <c r="C2197" s="13" t="s">
        <v>15</v>
      </c>
      <c r="D2197" s="12"/>
      <c r="E2197" s="11"/>
      <c r="F2197" s="10"/>
      <c r="G2197" s="10">
        <f>+E2197*F2197</f>
        <v>0</v>
      </c>
      <c r="H2197" s="12"/>
      <c r="I2197" s="11"/>
      <c r="J2197" s="10"/>
      <c r="K2197" s="10">
        <f>+I2197*J2197</f>
        <v>0</v>
      </c>
      <c r="L2197" s="12"/>
      <c r="M2197" s="11">
        <v>1</v>
      </c>
      <c r="N2197" s="10">
        <v>2.9</v>
      </c>
      <c r="O2197" s="10">
        <f>+M2197*N2197</f>
        <v>2.9</v>
      </c>
      <c r="P2197" s="12"/>
      <c r="Q2197" s="46"/>
    </row>
    <row r="2198" spans="1:17" x14ac:dyDescent="0.25">
      <c r="A2198" s="15"/>
      <c r="B2198" s="14" t="s">
        <v>238</v>
      </c>
      <c r="C2198" s="13" t="s">
        <v>15</v>
      </c>
      <c r="D2198" s="12"/>
      <c r="E2198" s="11"/>
      <c r="F2198" s="10"/>
      <c r="G2198" s="10">
        <f>+E2198*F2198</f>
        <v>0</v>
      </c>
      <c r="H2198" s="12"/>
      <c r="I2198" s="11"/>
      <c r="J2198" s="10"/>
      <c r="K2198" s="10">
        <f>+I2198*J2198</f>
        <v>0</v>
      </c>
      <c r="L2198" s="12"/>
      <c r="M2198" s="11">
        <v>2</v>
      </c>
      <c r="N2198" s="10">
        <v>0.11</v>
      </c>
      <c r="O2198" s="10">
        <f>+M2198*N2198</f>
        <v>0.22</v>
      </c>
      <c r="P2198" s="12"/>
      <c r="Q2198" s="46"/>
    </row>
    <row r="2199" spans="1:17" ht="30" x14ac:dyDescent="0.25">
      <c r="A2199" s="15"/>
      <c r="B2199" s="14" t="s">
        <v>237</v>
      </c>
      <c r="C2199" s="13" t="s">
        <v>236</v>
      </c>
      <c r="D2199" s="12"/>
      <c r="E2199" s="11"/>
      <c r="F2199" s="10"/>
      <c r="G2199" s="10">
        <f>+E2199*F2199</f>
        <v>0</v>
      </c>
      <c r="H2199" s="12"/>
      <c r="I2199" s="11"/>
      <c r="J2199" s="10"/>
      <c r="K2199" s="10">
        <f>+I2199*J2199</f>
        <v>0</v>
      </c>
      <c r="L2199" s="12"/>
      <c r="M2199" s="11">
        <v>104</v>
      </c>
      <c r="N2199" s="10">
        <v>12.039711538461539</v>
      </c>
      <c r="O2199" s="10">
        <f>+M2199*N2199</f>
        <v>1252.1300000000001</v>
      </c>
      <c r="P2199" s="12"/>
      <c r="Q2199" s="46"/>
    </row>
    <row r="2200" spans="1:17" ht="15.75" thickBot="1" x14ac:dyDescent="0.3">
      <c r="A2200" s="15"/>
      <c r="B2200" s="14"/>
      <c r="C2200" s="13"/>
      <c r="D2200" s="12"/>
      <c r="E2200" s="11"/>
      <c r="F2200" s="10"/>
      <c r="G2200" s="10">
        <f t="shared" si="133"/>
        <v>0</v>
      </c>
      <c r="H2200" s="12"/>
      <c r="I2200" s="11"/>
      <c r="J2200" s="10"/>
      <c r="K2200" s="10">
        <f t="shared" si="134"/>
        <v>0</v>
      </c>
      <c r="L2200" s="12"/>
      <c r="M2200" s="11"/>
      <c r="N2200" s="10"/>
      <c r="O2200" s="10">
        <f t="shared" si="135"/>
        <v>0</v>
      </c>
      <c r="P2200" s="12"/>
      <c r="Q2200" s="46"/>
    </row>
    <row r="2201" spans="1:17" ht="16.5" thickBot="1" x14ac:dyDescent="0.3">
      <c r="A2201" s="62" t="s">
        <v>5</v>
      </c>
      <c r="B2201" s="63"/>
      <c r="C2201" s="63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6"/>
      <c r="P2201" s="17"/>
      <c r="Q2201" s="46"/>
    </row>
    <row r="2202" spans="1:17" x14ac:dyDescent="0.25">
      <c r="A2202" s="15"/>
      <c r="B2202" s="14" t="s">
        <v>578</v>
      </c>
      <c r="C2202" s="13" t="s">
        <v>579</v>
      </c>
      <c r="D2202" s="12"/>
      <c r="E2202" s="11"/>
      <c r="F2202" s="10"/>
      <c r="G2202" s="10">
        <f>+E2202*F2202</f>
        <v>0</v>
      </c>
      <c r="H2202" s="12"/>
      <c r="I2202" s="11"/>
      <c r="J2202" s="10"/>
      <c r="K2202" s="10">
        <f>+I2202*J2202</f>
        <v>0</v>
      </c>
      <c r="L2202" s="12"/>
      <c r="M2202" s="11">
        <v>1</v>
      </c>
      <c r="N2202" s="10"/>
      <c r="O2202" s="10">
        <f>+M2202*N2202</f>
        <v>0</v>
      </c>
      <c r="P2202" s="12"/>
      <c r="Q2202" s="46"/>
    </row>
    <row r="2203" spans="1:17" ht="15.75" thickBot="1" x14ac:dyDescent="0.3">
      <c r="A2203" s="15"/>
      <c r="B2203" s="14"/>
      <c r="C2203" s="13"/>
      <c r="D2203" s="12"/>
      <c r="E2203" s="11"/>
      <c r="F2203" s="10"/>
      <c r="G2203" s="10">
        <f>+E2203*F2203</f>
        <v>0</v>
      </c>
      <c r="H2203" s="12"/>
      <c r="I2203" s="11"/>
      <c r="J2203" s="10"/>
      <c r="K2203" s="10">
        <f>+I2203*J2203</f>
        <v>0</v>
      </c>
      <c r="L2203" s="12"/>
      <c r="M2203" s="11"/>
      <c r="N2203" s="10"/>
      <c r="O2203" s="10">
        <f>+M2203*N2203</f>
        <v>0</v>
      </c>
      <c r="P2203" s="12"/>
      <c r="Q2203" s="46"/>
    </row>
    <row r="2204" spans="1:17" ht="16.5" thickBot="1" x14ac:dyDescent="0.3">
      <c r="A2204" s="62" t="s">
        <v>2</v>
      </c>
      <c r="B2204" s="63"/>
      <c r="C2204" s="63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6"/>
      <c r="P2204" s="17"/>
      <c r="Q2204" s="46"/>
    </row>
    <row r="2205" spans="1:17" ht="30" x14ac:dyDescent="0.25">
      <c r="A2205" s="15"/>
      <c r="B2205" s="14" t="s">
        <v>328</v>
      </c>
      <c r="C2205" s="13" t="s">
        <v>78</v>
      </c>
      <c r="D2205" s="12"/>
      <c r="E2205" s="11"/>
      <c r="F2205" s="10"/>
      <c r="G2205" s="10">
        <f>+E2205*F2205</f>
        <v>0</v>
      </c>
      <c r="H2205" s="12"/>
      <c r="I2205" s="11"/>
      <c r="J2205" s="10"/>
      <c r="K2205" s="10">
        <f>+I2205*J2205</f>
        <v>0</v>
      </c>
      <c r="L2205" s="12"/>
      <c r="M2205" s="11">
        <v>10</v>
      </c>
      <c r="N2205" s="10">
        <v>22</v>
      </c>
      <c r="O2205" s="10">
        <f>+M2205*N2205</f>
        <v>220</v>
      </c>
      <c r="P2205" s="12"/>
      <c r="Q2205" s="46"/>
    </row>
    <row r="2206" spans="1:17" x14ac:dyDescent="0.25">
      <c r="A2206" s="15"/>
      <c r="B2206" s="14" t="s">
        <v>41</v>
      </c>
      <c r="C2206" s="13" t="s">
        <v>15</v>
      </c>
      <c r="D2206" s="12"/>
      <c r="E2206" s="11"/>
      <c r="F2206" s="10"/>
      <c r="G2206" s="10">
        <f>+E2206*F2206</f>
        <v>0</v>
      </c>
      <c r="H2206" s="12"/>
      <c r="I2206" s="11"/>
      <c r="J2206" s="10"/>
      <c r="K2206" s="10">
        <f>+I2206*J2206</f>
        <v>0</v>
      </c>
      <c r="L2206" s="12"/>
      <c r="M2206" s="11">
        <v>1</v>
      </c>
      <c r="N2206" s="10">
        <v>17.86</v>
      </c>
      <c r="O2206" s="10">
        <f>+M2206*N2206</f>
        <v>17.86</v>
      </c>
      <c r="P2206" s="12"/>
      <c r="Q2206" s="46"/>
    </row>
    <row r="2207" spans="1:17" x14ac:dyDescent="0.25">
      <c r="A2207" s="15"/>
      <c r="B2207" s="14" t="s">
        <v>315</v>
      </c>
      <c r="C2207" s="13" t="s">
        <v>6</v>
      </c>
      <c r="D2207" s="12"/>
      <c r="E2207" s="11"/>
      <c r="F2207" s="10"/>
      <c r="G2207" s="10">
        <f>+E2207*F2207</f>
        <v>0</v>
      </c>
      <c r="H2207" s="12"/>
      <c r="I2207" s="11"/>
      <c r="J2207" s="10"/>
      <c r="K2207" s="10">
        <f>+I2207*J2207</f>
        <v>0</v>
      </c>
      <c r="L2207" s="12"/>
      <c r="M2207" s="11">
        <v>12</v>
      </c>
      <c r="N2207" s="10">
        <v>8</v>
      </c>
      <c r="O2207" s="10">
        <f>+M2207*N2207</f>
        <v>96</v>
      </c>
      <c r="P2207" s="12"/>
      <c r="Q2207" s="46"/>
    </row>
    <row r="2208" spans="1:17" x14ac:dyDescent="0.25">
      <c r="A2208" s="15"/>
      <c r="B2208" s="41" t="s">
        <v>563</v>
      </c>
      <c r="C2208" s="13" t="s">
        <v>564</v>
      </c>
      <c r="D2208" s="12"/>
      <c r="E2208" s="11"/>
      <c r="F2208" s="10"/>
      <c r="G2208" s="10">
        <f>+E2208*F2208</f>
        <v>0</v>
      </c>
      <c r="H2208" s="12"/>
      <c r="I2208" s="11"/>
      <c r="J2208" s="10"/>
      <c r="K2208" s="10">
        <f>+I2208*J2208</f>
        <v>0</v>
      </c>
      <c r="L2208" s="12"/>
      <c r="M2208" s="11">
        <v>3</v>
      </c>
      <c r="N2208" s="10">
        <v>35</v>
      </c>
      <c r="O2208" s="10">
        <f>+M2208*N2208</f>
        <v>105</v>
      </c>
      <c r="P2208" s="12"/>
      <c r="Q2208" s="46"/>
    </row>
    <row r="2209" spans="1:17" x14ac:dyDescent="0.25">
      <c r="A2209" s="15"/>
      <c r="B2209" s="14"/>
      <c r="C2209" s="13"/>
      <c r="D2209" s="12"/>
      <c r="E2209" s="11"/>
      <c r="F2209" s="10"/>
      <c r="G2209" s="10">
        <f>+E2209*F2209</f>
        <v>0</v>
      </c>
      <c r="H2209" s="12"/>
      <c r="I2209" s="11"/>
      <c r="J2209" s="10"/>
      <c r="K2209" s="10">
        <f>+I2209*J2209</f>
        <v>0</v>
      </c>
      <c r="L2209" s="12"/>
      <c r="M2209" s="11"/>
      <c r="N2209" s="10"/>
      <c r="O2209" s="10">
        <f>+M2209*N2209</f>
        <v>0</v>
      </c>
      <c r="P2209" s="12"/>
      <c r="Q2209" s="46"/>
    </row>
    <row r="2210" spans="1:17" ht="15.75" thickBot="1" x14ac:dyDescent="0.3">
      <c r="Q2210" s="46"/>
    </row>
    <row r="2211" spans="1:17" ht="21" thickBot="1" x14ac:dyDescent="0.3">
      <c r="A2211" s="64" t="s">
        <v>1</v>
      </c>
      <c r="B2211" s="65"/>
      <c r="C2211" s="66"/>
      <c r="D2211" s="5"/>
      <c r="E2211" s="9"/>
      <c r="F2211" s="8"/>
      <c r="G2211" s="7">
        <f>SUM(G2188:G2210)</f>
        <v>0</v>
      </c>
      <c r="H2211" s="5"/>
      <c r="I2211" s="9"/>
      <c r="J2211" s="8"/>
      <c r="K2211" s="7">
        <f>SUM(K2188:K2209)</f>
        <v>0</v>
      </c>
      <c r="L2211" s="5"/>
      <c r="M2211" s="9"/>
      <c r="N2211" s="8"/>
      <c r="O2211" s="7">
        <f>SUM(O2186:O2209)</f>
        <v>2920.1300000000006</v>
      </c>
      <c r="P2211" s="5"/>
      <c r="Q2211" s="46"/>
    </row>
    <row r="2212" spans="1:17" ht="21" thickBot="1" x14ac:dyDescent="0.3">
      <c r="A2212" s="60" t="s">
        <v>0</v>
      </c>
      <c r="B2212" s="61"/>
      <c r="C2212" s="61"/>
      <c r="D2212" s="5"/>
      <c r="E2212" s="4"/>
      <c r="F2212" s="3"/>
      <c r="G2212" s="6" t="e">
        <f>+G2211/E2202</f>
        <v>#DIV/0!</v>
      </c>
      <c r="H2212" s="5"/>
      <c r="I2212" s="4"/>
      <c r="J2212" s="3"/>
      <c r="K2212" s="6" t="e">
        <f>+K2211/I2202</f>
        <v>#DIV/0!</v>
      </c>
      <c r="L2212" s="5"/>
      <c r="M2212" s="4"/>
      <c r="N2212" s="3"/>
      <c r="O2212" s="6">
        <f>+O2211/M2202</f>
        <v>2920.1300000000006</v>
      </c>
      <c r="P2212" s="5"/>
      <c r="Q2212" s="46"/>
    </row>
    <row r="2213" spans="1:17" x14ac:dyDescent="0.25">
      <c r="Q2213" s="46"/>
    </row>
    <row r="2214" spans="1:17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46"/>
    </row>
    <row r="2215" spans="1:17" ht="15.75" thickBot="1" x14ac:dyDescent="0.3">
      <c r="Q2215" s="46"/>
    </row>
    <row r="2216" spans="1:17" ht="16.5" thickBot="1" x14ac:dyDescent="0.3">
      <c r="A2216" s="20" t="s">
        <v>576</v>
      </c>
      <c r="B2216" s="19" t="s">
        <v>581</v>
      </c>
      <c r="C2216" s="18" t="s">
        <v>88</v>
      </c>
      <c r="Q2216" s="46"/>
    </row>
    <row r="2217" spans="1:17" ht="15.75" thickBot="1" x14ac:dyDescent="0.3">
      <c r="Q2217" s="46"/>
    </row>
    <row r="2218" spans="1:17" ht="16.5" thickBot="1" x14ac:dyDescent="0.3">
      <c r="A2218" s="62" t="s">
        <v>11</v>
      </c>
      <c r="B2218" s="63"/>
      <c r="C2218" s="63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6"/>
      <c r="P2218" s="17"/>
      <c r="Q2218" s="46"/>
    </row>
    <row r="2219" spans="1:17" ht="30" x14ac:dyDescent="0.25">
      <c r="A2219" s="15"/>
      <c r="B2219" s="14" t="s">
        <v>543</v>
      </c>
      <c r="C2219" s="13" t="s">
        <v>105</v>
      </c>
      <c r="D2219" s="12"/>
      <c r="E2219" s="11"/>
      <c r="F2219" s="10"/>
      <c r="G2219" s="10">
        <f t="shared" ref="G2219:G2230" si="136">+E2219*F2219</f>
        <v>0</v>
      </c>
      <c r="H2219" s="12"/>
      <c r="I2219" s="11"/>
      <c r="J2219" s="10"/>
      <c r="K2219" s="10">
        <f t="shared" ref="K2219:K2230" si="137">+I2219*J2219</f>
        <v>0</v>
      </c>
      <c r="L2219" s="12"/>
      <c r="M2219" s="11">
        <v>2</v>
      </c>
      <c r="N2219" s="10">
        <v>31.380000000000003</v>
      </c>
      <c r="O2219" s="10">
        <f t="shared" ref="O2219:O2230" si="138">+M2219*N2219</f>
        <v>62.760000000000005</v>
      </c>
      <c r="P2219" s="12"/>
      <c r="Q2219" s="46"/>
    </row>
    <row r="2220" spans="1:17" x14ac:dyDescent="0.25">
      <c r="A2220" s="15"/>
      <c r="B2220" s="14" t="s">
        <v>261</v>
      </c>
      <c r="C2220" s="13" t="s">
        <v>6</v>
      </c>
      <c r="D2220" s="12"/>
      <c r="E2220" s="11"/>
      <c r="F2220" s="10"/>
      <c r="G2220" s="10">
        <f t="shared" si="136"/>
        <v>0</v>
      </c>
      <c r="H2220" s="12"/>
      <c r="I2220" s="11"/>
      <c r="J2220" s="10"/>
      <c r="K2220" s="10">
        <f t="shared" si="137"/>
        <v>0</v>
      </c>
      <c r="L2220" s="12"/>
      <c r="M2220" s="11">
        <v>3.12</v>
      </c>
      <c r="N2220" s="10">
        <v>12.275641025641024</v>
      </c>
      <c r="O2220" s="10">
        <f t="shared" si="138"/>
        <v>38.299999999999997</v>
      </c>
      <c r="P2220" s="12"/>
      <c r="Q2220" s="46"/>
    </row>
    <row r="2221" spans="1:17" x14ac:dyDescent="0.25">
      <c r="A2221" s="15"/>
      <c r="B2221" s="14" t="s">
        <v>176</v>
      </c>
      <c r="C2221" s="13" t="s">
        <v>6</v>
      </c>
      <c r="D2221" s="12"/>
      <c r="E2221" s="11"/>
      <c r="F2221" s="10"/>
      <c r="G2221" s="10">
        <f t="shared" si="136"/>
        <v>0</v>
      </c>
      <c r="H2221" s="12"/>
      <c r="I2221" s="11"/>
      <c r="J2221" s="10"/>
      <c r="K2221" s="10">
        <f t="shared" si="137"/>
        <v>0</v>
      </c>
      <c r="L2221" s="12"/>
      <c r="M2221" s="11">
        <v>1.92</v>
      </c>
      <c r="N2221" s="10">
        <v>14</v>
      </c>
      <c r="O2221" s="10">
        <f t="shared" si="138"/>
        <v>26.88</v>
      </c>
      <c r="P2221" s="12"/>
      <c r="Q2221" s="46"/>
    </row>
    <row r="2222" spans="1:17" ht="30" x14ac:dyDescent="0.25">
      <c r="A2222" s="15"/>
      <c r="B2222" s="14" t="s">
        <v>269</v>
      </c>
      <c r="C2222" s="13" t="s">
        <v>15</v>
      </c>
      <c r="D2222" s="12"/>
      <c r="E2222" s="11"/>
      <c r="F2222" s="10"/>
      <c r="G2222" s="10">
        <f t="shared" si="136"/>
        <v>0</v>
      </c>
      <c r="H2222" s="12"/>
      <c r="I2222" s="11"/>
      <c r="J2222" s="10"/>
      <c r="K2222" s="10">
        <f t="shared" si="137"/>
        <v>0</v>
      </c>
      <c r="L2222" s="12"/>
      <c r="M2222" s="11">
        <v>40</v>
      </c>
      <c r="N2222" s="10">
        <v>0.44974999999999998</v>
      </c>
      <c r="O2222" s="10">
        <f t="shared" si="138"/>
        <v>17.989999999999998</v>
      </c>
      <c r="P2222" s="12"/>
      <c r="Q2222" s="46"/>
    </row>
    <row r="2223" spans="1:17" x14ac:dyDescent="0.25">
      <c r="A2223" s="15"/>
      <c r="B2223" s="14" t="s">
        <v>582</v>
      </c>
      <c r="C2223" s="13" t="s">
        <v>15</v>
      </c>
      <c r="D2223" s="12"/>
      <c r="E2223" s="11"/>
      <c r="F2223" s="10"/>
      <c r="G2223" s="10">
        <f t="shared" si="136"/>
        <v>0</v>
      </c>
      <c r="H2223" s="12"/>
      <c r="I2223" s="11"/>
      <c r="J2223" s="10"/>
      <c r="K2223" s="10">
        <f t="shared" si="137"/>
        <v>0</v>
      </c>
      <c r="L2223" s="12"/>
      <c r="M2223" s="11">
        <v>2</v>
      </c>
      <c r="N2223" s="10">
        <v>4.17</v>
      </c>
      <c r="O2223" s="10">
        <f t="shared" si="138"/>
        <v>8.34</v>
      </c>
      <c r="P2223" s="12"/>
      <c r="Q2223" s="46"/>
    </row>
    <row r="2224" spans="1:17" ht="30" x14ac:dyDescent="0.25">
      <c r="A2224" s="15"/>
      <c r="B2224" s="14" t="s">
        <v>9</v>
      </c>
      <c r="C2224" s="13" t="s">
        <v>8</v>
      </c>
      <c r="D2224" s="12"/>
      <c r="E2224" s="11"/>
      <c r="F2224" s="10"/>
      <c r="G2224" s="10">
        <f t="shared" si="136"/>
        <v>0</v>
      </c>
      <c r="H2224" s="12"/>
      <c r="I2224" s="11"/>
      <c r="J2224" s="10"/>
      <c r="K2224" s="10">
        <f t="shared" si="137"/>
        <v>0</v>
      </c>
      <c r="L2224" s="12"/>
      <c r="M2224" s="11">
        <v>69</v>
      </c>
      <c r="N2224" s="10">
        <v>6.7528985507246375</v>
      </c>
      <c r="O2224" s="10">
        <f t="shared" si="138"/>
        <v>465.95</v>
      </c>
      <c r="P2224" s="12"/>
      <c r="Q2224" s="46"/>
    </row>
    <row r="2225" spans="1:17" x14ac:dyDescent="0.25">
      <c r="A2225" s="15"/>
      <c r="B2225" s="14" t="s">
        <v>157</v>
      </c>
      <c r="C2225" s="13" t="s">
        <v>15</v>
      </c>
      <c r="D2225" s="12"/>
      <c r="E2225" s="11"/>
      <c r="F2225" s="10"/>
      <c r="G2225" s="10">
        <f t="shared" si="136"/>
        <v>0</v>
      </c>
      <c r="H2225" s="12"/>
      <c r="I2225" s="11"/>
      <c r="J2225" s="10"/>
      <c r="K2225" s="10">
        <f t="shared" si="137"/>
        <v>0</v>
      </c>
      <c r="L2225" s="12"/>
      <c r="M2225" s="11">
        <v>14</v>
      </c>
      <c r="N2225" s="10">
        <v>7.253571428571429</v>
      </c>
      <c r="O2225" s="10">
        <f t="shared" si="138"/>
        <v>101.55000000000001</v>
      </c>
      <c r="P2225" s="12"/>
      <c r="Q2225" s="46"/>
    </row>
    <row r="2226" spans="1:17" ht="30" x14ac:dyDescent="0.25">
      <c r="A2226" s="15"/>
      <c r="B2226" s="14" t="s">
        <v>583</v>
      </c>
      <c r="C2226" s="13" t="s">
        <v>30</v>
      </c>
      <c r="D2226" s="12"/>
      <c r="E2226" s="11"/>
      <c r="F2226" s="10"/>
      <c r="G2226" s="10">
        <f t="shared" si="136"/>
        <v>0</v>
      </c>
      <c r="H2226" s="12"/>
      <c r="I2226" s="11"/>
      <c r="J2226" s="10"/>
      <c r="K2226" s="10">
        <f t="shared" si="137"/>
        <v>0</v>
      </c>
      <c r="L2226" s="12"/>
      <c r="M2226" s="11">
        <v>1</v>
      </c>
      <c r="N2226" s="10">
        <v>8.82</v>
      </c>
      <c r="O2226" s="10">
        <f t="shared" si="138"/>
        <v>8.82</v>
      </c>
      <c r="P2226" s="12"/>
      <c r="Q2226" s="46"/>
    </row>
    <row r="2227" spans="1:17" x14ac:dyDescent="0.25">
      <c r="A2227" s="15"/>
      <c r="B2227" s="14" t="s">
        <v>32</v>
      </c>
      <c r="C2227" s="13" t="s">
        <v>30</v>
      </c>
      <c r="D2227" s="12"/>
      <c r="E2227" s="11"/>
      <c r="F2227" s="10"/>
      <c r="G2227" s="10">
        <f t="shared" si="136"/>
        <v>0</v>
      </c>
      <c r="H2227" s="12"/>
      <c r="I2227" s="11"/>
      <c r="J2227" s="10"/>
      <c r="K2227" s="10">
        <f t="shared" si="137"/>
        <v>0</v>
      </c>
      <c r="L2227" s="12"/>
      <c r="M2227" s="11">
        <v>2</v>
      </c>
      <c r="N2227" s="10">
        <v>1.615</v>
      </c>
      <c r="O2227" s="10">
        <f t="shared" si="138"/>
        <v>3.23</v>
      </c>
      <c r="P2227" s="12"/>
      <c r="Q2227" s="46"/>
    </row>
    <row r="2228" spans="1:17" x14ac:dyDescent="0.25">
      <c r="A2228" s="15"/>
      <c r="B2228" s="14" t="s">
        <v>31</v>
      </c>
      <c r="C2228" s="13" t="s">
        <v>30</v>
      </c>
      <c r="D2228" s="12"/>
      <c r="E2228" s="11"/>
      <c r="F2228" s="10"/>
      <c r="G2228" s="10">
        <f t="shared" si="136"/>
        <v>0</v>
      </c>
      <c r="H2228" s="12"/>
      <c r="I2228" s="11"/>
      <c r="J2228" s="10"/>
      <c r="K2228" s="10">
        <f t="shared" si="137"/>
        <v>0</v>
      </c>
      <c r="L2228" s="12"/>
      <c r="M2228" s="11">
        <v>3</v>
      </c>
      <c r="N2228" s="10">
        <v>1.8366666666666667</v>
      </c>
      <c r="O2228" s="10">
        <f t="shared" si="138"/>
        <v>5.51</v>
      </c>
      <c r="P2228" s="12"/>
      <c r="Q2228" s="46"/>
    </row>
    <row r="2229" spans="1:17" ht="30" x14ac:dyDescent="0.25">
      <c r="A2229" s="15"/>
      <c r="B2229" s="14" t="s">
        <v>407</v>
      </c>
      <c r="C2229" s="13" t="s">
        <v>15</v>
      </c>
      <c r="D2229" s="12"/>
      <c r="E2229" s="11"/>
      <c r="F2229" s="10"/>
      <c r="G2229" s="10">
        <f t="shared" si="136"/>
        <v>0</v>
      </c>
      <c r="H2229" s="12"/>
      <c r="I2229" s="11"/>
      <c r="J2229" s="10"/>
      <c r="K2229" s="10">
        <f t="shared" si="137"/>
        <v>0</v>
      </c>
      <c r="L2229" s="12"/>
      <c r="M2229" s="11">
        <v>12</v>
      </c>
      <c r="N2229" s="10">
        <v>2.5383333333333336</v>
      </c>
      <c r="O2229" s="10">
        <f t="shared" si="138"/>
        <v>30.46</v>
      </c>
      <c r="P2229" s="12"/>
      <c r="Q2229" s="46"/>
    </row>
    <row r="2230" spans="1:17" x14ac:dyDescent="0.25">
      <c r="A2230" s="15"/>
      <c r="B2230" s="14" t="s">
        <v>24</v>
      </c>
      <c r="C2230" s="13" t="s">
        <v>23</v>
      </c>
      <c r="D2230" s="12"/>
      <c r="E2230" s="11"/>
      <c r="F2230" s="10"/>
      <c r="G2230" s="10">
        <f t="shared" si="136"/>
        <v>0</v>
      </c>
      <c r="H2230" s="12"/>
      <c r="I2230" s="11"/>
      <c r="J2230" s="10"/>
      <c r="K2230" s="10">
        <f t="shared" si="137"/>
        <v>0</v>
      </c>
      <c r="L2230" s="12"/>
      <c r="M2230" s="11">
        <v>2.08</v>
      </c>
      <c r="N2230" s="10">
        <v>2.1442307692307692</v>
      </c>
      <c r="O2230" s="10">
        <f t="shared" si="138"/>
        <v>4.46</v>
      </c>
      <c r="P2230" s="12"/>
      <c r="Q2230" s="46"/>
    </row>
    <row r="2231" spans="1:17" ht="30" x14ac:dyDescent="0.25">
      <c r="A2231" s="15"/>
      <c r="B2231" s="14" t="s">
        <v>47</v>
      </c>
      <c r="C2231" s="13" t="s">
        <v>6</v>
      </c>
      <c r="D2231" s="12"/>
      <c r="E2231" s="11"/>
      <c r="F2231" s="10"/>
      <c r="G2231" s="10">
        <f t="shared" ref="G2231:G2240" si="139">+E2231*F2231</f>
        <v>0</v>
      </c>
      <c r="H2231" s="12"/>
      <c r="I2231" s="11"/>
      <c r="J2231" s="10"/>
      <c r="K2231" s="10">
        <f t="shared" ref="K2231:K2240" si="140">+I2231*J2231</f>
        <v>0</v>
      </c>
      <c r="L2231" s="12"/>
      <c r="M2231" s="11">
        <v>72.5</v>
      </c>
      <c r="N2231" s="10">
        <v>71.001517241379318</v>
      </c>
      <c r="O2231" s="10">
        <f t="shared" ref="O2231:O2240" si="141">+M2231*N2231</f>
        <v>5147.6100000000006</v>
      </c>
      <c r="P2231" s="12"/>
      <c r="Q2231" s="46"/>
    </row>
    <row r="2232" spans="1:17" ht="30" x14ac:dyDescent="0.25">
      <c r="A2232" s="15"/>
      <c r="B2232" s="14" t="s">
        <v>572</v>
      </c>
      <c r="C2232" s="13" t="s">
        <v>15</v>
      </c>
      <c r="D2232" s="12"/>
      <c r="E2232" s="11"/>
      <c r="F2232" s="10"/>
      <c r="G2232" s="10">
        <f t="shared" si="139"/>
        <v>0</v>
      </c>
      <c r="H2232" s="12"/>
      <c r="I2232" s="11"/>
      <c r="J2232" s="10"/>
      <c r="K2232" s="10">
        <f t="shared" si="140"/>
        <v>0</v>
      </c>
      <c r="L2232" s="12"/>
      <c r="M2232" s="11">
        <v>1</v>
      </c>
      <c r="N2232" s="10">
        <v>50.76</v>
      </c>
      <c r="O2232" s="10">
        <f t="shared" si="141"/>
        <v>50.76</v>
      </c>
      <c r="P2232" s="12"/>
      <c r="Q2232" s="46"/>
    </row>
    <row r="2233" spans="1:17" ht="30" x14ac:dyDescent="0.25">
      <c r="A2233" s="15"/>
      <c r="B2233" s="14" t="s">
        <v>64</v>
      </c>
      <c r="C2233" s="13" t="s">
        <v>15</v>
      </c>
      <c r="D2233" s="12"/>
      <c r="E2233" s="11"/>
      <c r="F2233" s="10"/>
      <c r="G2233" s="10">
        <f t="shared" si="139"/>
        <v>0</v>
      </c>
      <c r="H2233" s="12"/>
      <c r="I2233" s="11"/>
      <c r="J2233" s="10"/>
      <c r="K2233" s="10">
        <f t="shared" si="140"/>
        <v>0</v>
      </c>
      <c r="L2233" s="12"/>
      <c r="M2233" s="11">
        <v>24</v>
      </c>
      <c r="N2233" s="10">
        <v>48.292916666666663</v>
      </c>
      <c r="O2233" s="10">
        <f t="shared" si="141"/>
        <v>1159.03</v>
      </c>
      <c r="P2233" s="12"/>
      <c r="Q2233" s="46"/>
    </row>
    <row r="2234" spans="1:17" x14ac:dyDescent="0.25">
      <c r="A2234" s="15"/>
      <c r="B2234" s="14" t="s">
        <v>584</v>
      </c>
      <c r="C2234" s="13" t="s">
        <v>15</v>
      </c>
      <c r="D2234" s="12"/>
      <c r="E2234" s="11"/>
      <c r="F2234" s="10"/>
      <c r="G2234" s="10">
        <f t="shared" si="139"/>
        <v>0</v>
      </c>
      <c r="H2234" s="12"/>
      <c r="I2234" s="11"/>
      <c r="J2234" s="10"/>
      <c r="K2234" s="10">
        <f t="shared" si="140"/>
        <v>0</v>
      </c>
      <c r="L2234" s="12"/>
      <c r="M2234" s="11">
        <v>1</v>
      </c>
      <c r="N2234" s="10">
        <v>24</v>
      </c>
      <c r="O2234" s="10">
        <f t="shared" si="141"/>
        <v>24</v>
      </c>
      <c r="P2234" s="12"/>
      <c r="Q2234" s="46"/>
    </row>
    <row r="2235" spans="1:17" x14ac:dyDescent="0.25">
      <c r="A2235" s="15"/>
      <c r="B2235" s="14" t="s">
        <v>154</v>
      </c>
      <c r="C2235" s="13" t="s">
        <v>15</v>
      </c>
      <c r="D2235" s="12"/>
      <c r="E2235" s="11"/>
      <c r="F2235" s="10"/>
      <c r="G2235" s="10">
        <f t="shared" si="139"/>
        <v>0</v>
      </c>
      <c r="H2235" s="12"/>
      <c r="I2235" s="11"/>
      <c r="J2235" s="10"/>
      <c r="K2235" s="10">
        <f t="shared" si="140"/>
        <v>0</v>
      </c>
      <c r="L2235" s="12"/>
      <c r="M2235" s="11">
        <v>1</v>
      </c>
      <c r="N2235" s="10">
        <v>103.82</v>
      </c>
      <c r="O2235" s="10">
        <f t="shared" si="141"/>
        <v>103.82</v>
      </c>
      <c r="P2235" s="12"/>
      <c r="Q2235" s="46"/>
    </row>
    <row r="2236" spans="1:17" x14ac:dyDescent="0.25">
      <c r="A2236" s="15"/>
      <c r="B2236" s="14" t="s">
        <v>585</v>
      </c>
      <c r="C2236" s="13" t="s">
        <v>6</v>
      </c>
      <c r="D2236" s="12"/>
      <c r="E2236" s="11"/>
      <c r="F2236" s="10"/>
      <c r="G2236" s="10">
        <f t="shared" si="139"/>
        <v>0</v>
      </c>
      <c r="H2236" s="12"/>
      <c r="I2236" s="11"/>
      <c r="J2236" s="10"/>
      <c r="K2236" s="10">
        <f t="shared" si="140"/>
        <v>0</v>
      </c>
      <c r="L2236" s="12"/>
      <c r="M2236" s="11">
        <v>12</v>
      </c>
      <c r="N2236" s="10">
        <v>14.333333333333334</v>
      </c>
      <c r="O2236" s="10">
        <f t="shared" si="141"/>
        <v>172</v>
      </c>
      <c r="P2236" s="12"/>
      <c r="Q2236" s="46"/>
    </row>
    <row r="2237" spans="1:17" ht="30" x14ac:dyDescent="0.25">
      <c r="A2237" s="15"/>
      <c r="B2237" s="14" t="s">
        <v>370</v>
      </c>
      <c r="C2237" s="13" t="s">
        <v>144</v>
      </c>
      <c r="D2237" s="12"/>
      <c r="E2237" s="11"/>
      <c r="F2237" s="10"/>
      <c r="G2237" s="10">
        <f t="shared" si="139"/>
        <v>0</v>
      </c>
      <c r="H2237" s="12"/>
      <c r="I2237" s="11"/>
      <c r="J2237" s="10"/>
      <c r="K2237" s="10">
        <f t="shared" si="140"/>
        <v>0</v>
      </c>
      <c r="L2237" s="12"/>
      <c r="M2237" s="11">
        <v>0.22</v>
      </c>
      <c r="N2237" s="10">
        <v>67.727272727272734</v>
      </c>
      <c r="O2237" s="10">
        <f t="shared" si="141"/>
        <v>14.900000000000002</v>
      </c>
      <c r="P2237" s="12"/>
      <c r="Q2237" s="46"/>
    </row>
    <row r="2238" spans="1:17" x14ac:dyDescent="0.25">
      <c r="A2238" s="15"/>
      <c r="B2238" s="14" t="s">
        <v>7</v>
      </c>
      <c r="C2238" s="13" t="s">
        <v>6</v>
      </c>
      <c r="D2238" s="12"/>
      <c r="E2238" s="11"/>
      <c r="F2238" s="10"/>
      <c r="G2238" s="10">
        <f t="shared" si="139"/>
        <v>0</v>
      </c>
      <c r="H2238" s="12"/>
      <c r="I2238" s="11"/>
      <c r="J2238" s="10"/>
      <c r="K2238" s="10">
        <f t="shared" si="140"/>
        <v>0</v>
      </c>
      <c r="L2238" s="12"/>
      <c r="M2238" s="11">
        <v>1.1200000000000001</v>
      </c>
      <c r="N2238" s="10">
        <v>15.830357142857142</v>
      </c>
      <c r="O2238" s="10">
        <f t="shared" si="141"/>
        <v>17.73</v>
      </c>
      <c r="P2238" s="12"/>
      <c r="Q2238" s="46"/>
    </row>
    <row r="2239" spans="1:17" x14ac:dyDescent="0.25">
      <c r="A2239" s="15"/>
      <c r="B2239" s="14" t="s">
        <v>44</v>
      </c>
      <c r="C2239" s="13" t="s">
        <v>6</v>
      </c>
      <c r="D2239" s="12"/>
      <c r="E2239" s="11"/>
      <c r="F2239" s="10"/>
      <c r="G2239" s="10">
        <f t="shared" si="139"/>
        <v>0</v>
      </c>
      <c r="H2239" s="12"/>
      <c r="I2239" s="11"/>
      <c r="J2239" s="10"/>
      <c r="K2239" s="10">
        <f t="shared" si="140"/>
        <v>0</v>
      </c>
      <c r="L2239" s="12"/>
      <c r="M2239" s="11">
        <v>7.5</v>
      </c>
      <c r="N2239" s="10">
        <v>10</v>
      </c>
      <c r="O2239" s="10">
        <f t="shared" si="141"/>
        <v>75</v>
      </c>
      <c r="P2239" s="12"/>
      <c r="Q2239" s="46"/>
    </row>
    <row r="2240" spans="1:17" ht="30" x14ac:dyDescent="0.25">
      <c r="A2240" s="15"/>
      <c r="B2240" s="14" t="s">
        <v>586</v>
      </c>
      <c r="C2240" s="13" t="s">
        <v>15</v>
      </c>
      <c r="D2240" s="12"/>
      <c r="E2240" s="11"/>
      <c r="F2240" s="10"/>
      <c r="G2240" s="10">
        <f t="shared" si="139"/>
        <v>0</v>
      </c>
      <c r="H2240" s="12"/>
      <c r="I2240" s="11"/>
      <c r="J2240" s="10"/>
      <c r="K2240" s="10">
        <f t="shared" si="140"/>
        <v>0</v>
      </c>
      <c r="L2240" s="12"/>
      <c r="M2240" s="11">
        <v>2</v>
      </c>
      <c r="N2240" s="10">
        <v>0.84</v>
      </c>
      <c r="O2240" s="10">
        <f t="shared" si="141"/>
        <v>1.68</v>
      </c>
      <c r="P2240" s="12"/>
      <c r="Q2240" s="46"/>
    </row>
    <row r="2241" spans="1:17" ht="30" x14ac:dyDescent="0.25">
      <c r="A2241" s="15"/>
      <c r="B2241" s="14" t="s">
        <v>259</v>
      </c>
      <c r="C2241" s="13" t="s">
        <v>15</v>
      </c>
      <c r="D2241" s="12"/>
      <c r="E2241" s="11"/>
      <c r="F2241" s="10"/>
      <c r="G2241" s="10">
        <f>+E2241*F2241</f>
        <v>0</v>
      </c>
      <c r="H2241" s="12"/>
      <c r="I2241" s="11"/>
      <c r="J2241" s="10"/>
      <c r="K2241" s="10">
        <f>+I2241*J2241</f>
        <v>0</v>
      </c>
      <c r="L2241" s="12"/>
      <c r="M2241" s="11">
        <v>2</v>
      </c>
      <c r="N2241" s="10">
        <v>1.1950000000000001</v>
      </c>
      <c r="O2241" s="10">
        <f>+M2241*N2241</f>
        <v>2.39</v>
      </c>
      <c r="P2241" s="12"/>
      <c r="Q2241" s="46"/>
    </row>
    <row r="2242" spans="1:17" x14ac:dyDescent="0.25">
      <c r="A2242" s="15"/>
      <c r="B2242" s="14" t="s">
        <v>212</v>
      </c>
      <c r="C2242" s="13" t="s">
        <v>6</v>
      </c>
      <c r="D2242" s="12"/>
      <c r="E2242" s="11"/>
      <c r="F2242" s="10"/>
      <c r="G2242" s="10">
        <f t="shared" ref="G2242:G2249" si="142">+E2242*F2242</f>
        <v>0</v>
      </c>
      <c r="H2242" s="12"/>
      <c r="I2242" s="11"/>
      <c r="J2242" s="10"/>
      <c r="K2242" s="10">
        <f t="shared" ref="K2242:K2249" si="143">+I2242*J2242</f>
        <v>0</v>
      </c>
      <c r="L2242" s="12"/>
      <c r="M2242" s="11">
        <v>2.38</v>
      </c>
      <c r="N2242" s="10">
        <v>15.563025210084033</v>
      </c>
      <c r="O2242" s="10">
        <f t="shared" ref="O2242:O2249" si="144">+M2242*N2242</f>
        <v>37.04</v>
      </c>
      <c r="P2242" s="12"/>
      <c r="Q2242" s="46"/>
    </row>
    <row r="2243" spans="1:17" ht="30" x14ac:dyDescent="0.25">
      <c r="A2243" s="15"/>
      <c r="B2243" s="14" t="s">
        <v>580</v>
      </c>
      <c r="C2243" s="13" t="s">
        <v>15</v>
      </c>
      <c r="D2243" s="12"/>
      <c r="E2243" s="11"/>
      <c r="F2243" s="10"/>
      <c r="G2243" s="10">
        <f t="shared" si="142"/>
        <v>0</v>
      </c>
      <c r="H2243" s="12"/>
      <c r="I2243" s="11"/>
      <c r="J2243" s="10"/>
      <c r="K2243" s="10">
        <f t="shared" si="143"/>
        <v>0</v>
      </c>
      <c r="L2243" s="12"/>
      <c r="M2243" s="11">
        <v>1</v>
      </c>
      <c r="N2243" s="10">
        <v>2.9</v>
      </c>
      <c r="O2243" s="10">
        <f t="shared" si="144"/>
        <v>2.9</v>
      </c>
      <c r="P2243" s="12"/>
      <c r="Q2243" s="46"/>
    </row>
    <row r="2244" spans="1:17" ht="30" x14ac:dyDescent="0.25">
      <c r="A2244" s="15"/>
      <c r="B2244" s="14" t="s">
        <v>587</v>
      </c>
      <c r="C2244" s="13" t="s">
        <v>15</v>
      </c>
      <c r="D2244" s="12"/>
      <c r="E2244" s="11"/>
      <c r="F2244" s="10"/>
      <c r="G2244" s="10">
        <f t="shared" si="142"/>
        <v>0</v>
      </c>
      <c r="H2244" s="12"/>
      <c r="I2244" s="11"/>
      <c r="J2244" s="10"/>
      <c r="K2244" s="10">
        <f t="shared" si="143"/>
        <v>0</v>
      </c>
      <c r="L2244" s="12"/>
      <c r="M2244" s="11">
        <v>2</v>
      </c>
      <c r="N2244" s="10">
        <v>9.0250000000000004</v>
      </c>
      <c r="O2244" s="10">
        <f t="shared" si="144"/>
        <v>18.05</v>
      </c>
      <c r="P2244" s="12"/>
      <c r="Q2244" s="46"/>
    </row>
    <row r="2245" spans="1:17" x14ac:dyDescent="0.25">
      <c r="A2245" s="15"/>
      <c r="B2245" s="14" t="s">
        <v>360</v>
      </c>
      <c r="C2245" s="13" t="s">
        <v>15</v>
      </c>
      <c r="D2245" s="12"/>
      <c r="E2245" s="11"/>
      <c r="F2245" s="10"/>
      <c r="G2245" s="10">
        <f t="shared" si="142"/>
        <v>0</v>
      </c>
      <c r="H2245" s="12"/>
      <c r="I2245" s="11"/>
      <c r="J2245" s="10"/>
      <c r="K2245" s="10">
        <f t="shared" si="143"/>
        <v>0</v>
      </c>
      <c r="L2245" s="12"/>
      <c r="M2245" s="11">
        <v>1</v>
      </c>
      <c r="N2245" s="10">
        <v>69.349999999999994</v>
      </c>
      <c r="O2245" s="10">
        <f t="shared" si="144"/>
        <v>69.349999999999994</v>
      </c>
      <c r="P2245" s="12"/>
      <c r="Q2245" s="46"/>
    </row>
    <row r="2246" spans="1:17" x14ac:dyDescent="0.25">
      <c r="A2246" s="15"/>
      <c r="B2246" s="14" t="s">
        <v>238</v>
      </c>
      <c r="C2246" s="13" t="s">
        <v>15</v>
      </c>
      <c r="D2246" s="12"/>
      <c r="E2246" s="11"/>
      <c r="F2246" s="10"/>
      <c r="G2246" s="10">
        <f t="shared" si="142"/>
        <v>0</v>
      </c>
      <c r="H2246" s="12"/>
      <c r="I2246" s="11"/>
      <c r="J2246" s="10"/>
      <c r="K2246" s="10">
        <f t="shared" si="143"/>
        <v>0</v>
      </c>
      <c r="L2246" s="12"/>
      <c r="M2246" s="11">
        <v>10</v>
      </c>
      <c r="N2246" s="10">
        <v>0.11100000000000002</v>
      </c>
      <c r="O2246" s="10">
        <f t="shared" si="144"/>
        <v>1.1100000000000001</v>
      </c>
      <c r="P2246" s="12"/>
      <c r="Q2246" s="46"/>
    </row>
    <row r="2247" spans="1:17" ht="30" x14ac:dyDescent="0.25">
      <c r="A2247" s="15"/>
      <c r="B2247" s="14" t="s">
        <v>63</v>
      </c>
      <c r="C2247" s="13" t="s">
        <v>62</v>
      </c>
      <c r="D2247" s="12"/>
      <c r="E2247" s="11"/>
      <c r="F2247" s="10"/>
      <c r="G2247" s="10">
        <f t="shared" si="142"/>
        <v>0</v>
      </c>
      <c r="H2247" s="12"/>
      <c r="I2247" s="11"/>
      <c r="J2247" s="10"/>
      <c r="K2247" s="10">
        <f t="shared" si="143"/>
        <v>0</v>
      </c>
      <c r="L2247" s="12"/>
      <c r="M2247" s="11">
        <v>35</v>
      </c>
      <c r="N2247" s="10">
        <v>8.3562857142857148</v>
      </c>
      <c r="O2247" s="10">
        <f t="shared" si="144"/>
        <v>292.47000000000003</v>
      </c>
      <c r="P2247" s="12"/>
      <c r="Q2247" s="46"/>
    </row>
    <row r="2248" spans="1:17" ht="30" x14ac:dyDescent="0.25">
      <c r="A2248" s="15"/>
      <c r="B2248" s="14" t="s">
        <v>237</v>
      </c>
      <c r="C2248" s="13" t="s">
        <v>236</v>
      </c>
      <c r="D2248" s="12"/>
      <c r="E2248" s="11"/>
      <c r="F2248" s="10"/>
      <c r="G2248" s="10">
        <f t="shared" si="142"/>
        <v>0</v>
      </c>
      <c r="H2248" s="12"/>
      <c r="I2248" s="11"/>
      <c r="J2248" s="10"/>
      <c r="K2248" s="10">
        <f t="shared" si="143"/>
        <v>0</v>
      </c>
      <c r="L2248" s="12"/>
      <c r="M2248" s="11">
        <v>180</v>
      </c>
      <c r="N2248" s="10">
        <v>12.014611111111112</v>
      </c>
      <c r="O2248" s="10">
        <f t="shared" si="144"/>
        <v>2162.63</v>
      </c>
      <c r="P2248" s="12"/>
      <c r="Q2248" s="46"/>
    </row>
    <row r="2249" spans="1:17" ht="30" x14ac:dyDescent="0.25">
      <c r="A2249" s="15"/>
      <c r="B2249" s="14" t="s">
        <v>72</v>
      </c>
      <c r="C2249" s="13" t="s">
        <v>71</v>
      </c>
      <c r="D2249" s="12"/>
      <c r="E2249" s="11"/>
      <c r="F2249" s="10"/>
      <c r="G2249" s="10">
        <f t="shared" si="142"/>
        <v>0</v>
      </c>
      <c r="H2249" s="12"/>
      <c r="I2249" s="11"/>
      <c r="J2249" s="10"/>
      <c r="K2249" s="10">
        <f t="shared" si="143"/>
        <v>0</v>
      </c>
      <c r="L2249" s="12"/>
      <c r="M2249" s="11">
        <v>46</v>
      </c>
      <c r="N2249" s="10">
        <v>16.339347826086957</v>
      </c>
      <c r="O2249" s="10">
        <f t="shared" si="144"/>
        <v>751.61</v>
      </c>
      <c r="P2249" s="12"/>
      <c r="Q2249" s="46"/>
    </row>
    <row r="2250" spans="1:17" ht="15.75" thickBot="1" x14ac:dyDescent="0.3">
      <c r="A2250" s="15"/>
      <c r="B2250" s="14"/>
      <c r="C2250" s="13"/>
      <c r="D2250" s="12"/>
      <c r="E2250" s="11"/>
      <c r="F2250" s="10"/>
      <c r="G2250" s="10">
        <f>+E2250*F2250</f>
        <v>0</v>
      </c>
      <c r="H2250" s="12"/>
      <c r="I2250" s="11"/>
      <c r="J2250" s="10"/>
      <c r="K2250" s="10">
        <f>+I2250*J2250</f>
        <v>0</v>
      </c>
      <c r="L2250" s="12"/>
      <c r="M2250" s="11"/>
      <c r="N2250" s="10"/>
      <c r="O2250" s="10">
        <f>+M2250*N2250</f>
        <v>0</v>
      </c>
      <c r="P2250" s="12"/>
      <c r="Q2250" s="46"/>
    </row>
    <row r="2251" spans="1:17" ht="16.5" thickBot="1" x14ac:dyDescent="0.3">
      <c r="A2251" s="62" t="s">
        <v>5</v>
      </c>
      <c r="B2251" s="63"/>
      <c r="C2251" s="63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6"/>
      <c r="P2251" s="17"/>
      <c r="Q2251" s="46"/>
    </row>
    <row r="2252" spans="1:17" x14ac:dyDescent="0.25">
      <c r="A2252" s="15"/>
      <c r="B2252" s="14" t="s">
        <v>588</v>
      </c>
      <c r="C2252" s="13" t="s">
        <v>579</v>
      </c>
      <c r="D2252" s="12"/>
      <c r="E2252" s="11"/>
      <c r="F2252" s="10"/>
      <c r="G2252" s="10">
        <f>+E2252*F2252</f>
        <v>0</v>
      </c>
      <c r="H2252" s="12"/>
      <c r="I2252" s="11"/>
      <c r="J2252" s="10"/>
      <c r="K2252" s="10">
        <f>+I2252*J2252</f>
        <v>0</v>
      </c>
      <c r="L2252" s="12"/>
      <c r="M2252" s="11">
        <v>1</v>
      </c>
      <c r="N2252" s="10"/>
      <c r="O2252" s="10">
        <f>+M2252*N2252</f>
        <v>0</v>
      </c>
      <c r="P2252" s="12"/>
      <c r="Q2252" s="46"/>
    </row>
    <row r="2253" spans="1:17" ht="15.75" thickBot="1" x14ac:dyDescent="0.3">
      <c r="A2253" s="15"/>
      <c r="B2253" s="14"/>
      <c r="C2253" s="13"/>
      <c r="D2253" s="12"/>
      <c r="E2253" s="11"/>
      <c r="F2253" s="10"/>
      <c r="G2253" s="10">
        <f>+E2253*F2253</f>
        <v>0</v>
      </c>
      <c r="H2253" s="12"/>
      <c r="I2253" s="11"/>
      <c r="J2253" s="10"/>
      <c r="K2253" s="10">
        <f>+I2253*J2253</f>
        <v>0</v>
      </c>
      <c r="L2253" s="12"/>
      <c r="M2253" s="11"/>
      <c r="N2253" s="10"/>
      <c r="O2253" s="10">
        <f>+M2253*N2253</f>
        <v>0</v>
      </c>
      <c r="P2253" s="12"/>
      <c r="Q2253" s="46"/>
    </row>
    <row r="2254" spans="1:17" ht="16.5" thickBot="1" x14ac:dyDescent="0.3">
      <c r="A2254" s="62" t="s">
        <v>2</v>
      </c>
      <c r="B2254" s="63"/>
      <c r="C2254" s="63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6"/>
      <c r="P2254" s="17"/>
      <c r="Q2254" s="46"/>
    </row>
    <row r="2255" spans="1:17" ht="30" x14ac:dyDescent="0.25">
      <c r="A2255" s="15"/>
      <c r="B2255" s="14" t="s">
        <v>328</v>
      </c>
      <c r="C2255" s="13" t="s">
        <v>78</v>
      </c>
      <c r="D2255" s="12"/>
      <c r="E2255" s="11"/>
      <c r="F2255" s="10"/>
      <c r="G2255" s="10">
        <f>+E2255*F2255</f>
        <v>0</v>
      </c>
      <c r="H2255" s="12"/>
      <c r="I2255" s="11"/>
      <c r="J2255" s="10"/>
      <c r="K2255" s="10">
        <f>+I2255*J2255</f>
        <v>0</v>
      </c>
      <c r="L2255" s="12"/>
      <c r="M2255" s="11">
        <v>58.5</v>
      </c>
      <c r="N2255" s="10">
        <v>22</v>
      </c>
      <c r="O2255" s="10">
        <f>+M2255*N2255</f>
        <v>1287</v>
      </c>
      <c r="P2255" s="12"/>
      <c r="Q2255" s="46"/>
    </row>
    <row r="2256" spans="1:17" x14ac:dyDescent="0.25">
      <c r="A2256" s="15"/>
      <c r="B2256" s="14" t="s">
        <v>41</v>
      </c>
      <c r="C2256" s="13" t="s">
        <v>15</v>
      </c>
      <c r="D2256" s="12"/>
      <c r="E2256" s="11"/>
      <c r="F2256" s="10"/>
      <c r="G2256" s="10">
        <f>+E2256*F2256</f>
        <v>0</v>
      </c>
      <c r="H2256" s="12"/>
      <c r="I2256" s="11"/>
      <c r="J2256" s="10"/>
      <c r="K2256" s="10">
        <f>+I2256*J2256</f>
        <v>0</v>
      </c>
      <c r="L2256" s="12"/>
      <c r="M2256" s="11">
        <v>3</v>
      </c>
      <c r="N2256" s="10">
        <v>17.86</v>
      </c>
      <c r="O2256" s="10">
        <f>+M2256*N2256</f>
        <v>53.58</v>
      </c>
      <c r="P2256" s="12"/>
      <c r="Q2256" s="46"/>
    </row>
    <row r="2257" spans="1:17" x14ac:dyDescent="0.25">
      <c r="A2257" s="15"/>
      <c r="B2257" s="14" t="s">
        <v>315</v>
      </c>
      <c r="C2257" s="13" t="s">
        <v>6</v>
      </c>
      <c r="D2257" s="12"/>
      <c r="E2257" s="11"/>
      <c r="F2257" s="10"/>
      <c r="G2257" s="10">
        <f>+E2257*F2257</f>
        <v>0</v>
      </c>
      <c r="H2257" s="12"/>
      <c r="I2257" s="11"/>
      <c r="J2257" s="10"/>
      <c r="K2257" s="10">
        <f>+I2257*J2257</f>
        <v>0</v>
      </c>
      <c r="L2257" s="12"/>
      <c r="M2257" s="11">
        <v>86</v>
      </c>
      <c r="N2257" s="10">
        <v>8</v>
      </c>
      <c r="O2257" s="10">
        <f>+M2257*N2257</f>
        <v>688</v>
      </c>
      <c r="P2257" s="12"/>
      <c r="Q2257" s="46"/>
    </row>
    <row r="2258" spans="1:17" x14ac:dyDescent="0.25">
      <c r="A2258" s="15"/>
      <c r="B2258" s="14"/>
      <c r="C2258" s="13"/>
      <c r="D2258" s="12"/>
      <c r="E2258" s="11"/>
      <c r="F2258" s="10"/>
      <c r="G2258" s="10">
        <f>+E2258*F2258</f>
        <v>0</v>
      </c>
      <c r="H2258" s="12"/>
      <c r="I2258" s="11"/>
      <c r="J2258" s="10"/>
      <c r="K2258" s="10">
        <f>+I2258*J2258</f>
        <v>0</v>
      </c>
      <c r="L2258" s="12"/>
      <c r="M2258" s="11"/>
      <c r="N2258" s="10"/>
      <c r="O2258" s="10">
        <f>+M2258*N2258</f>
        <v>0</v>
      </c>
      <c r="P2258" s="12"/>
      <c r="Q2258" s="46"/>
    </row>
    <row r="2259" spans="1:17" ht="15.75" thickBot="1" x14ac:dyDescent="0.3">
      <c r="Q2259" s="46"/>
    </row>
    <row r="2260" spans="1:17" ht="21" thickBot="1" x14ac:dyDescent="0.3">
      <c r="A2260" s="64" t="s">
        <v>1</v>
      </c>
      <c r="B2260" s="65"/>
      <c r="C2260" s="66"/>
      <c r="D2260" s="5"/>
      <c r="E2260" s="9"/>
      <c r="F2260" s="8"/>
      <c r="G2260" s="7">
        <f>SUM(G2218:G2259)</f>
        <v>0</v>
      </c>
      <c r="H2260" s="5"/>
      <c r="I2260" s="9"/>
      <c r="J2260" s="8"/>
      <c r="K2260" s="7">
        <f>SUM(K2218:K2258)</f>
        <v>0</v>
      </c>
      <c r="L2260" s="5"/>
      <c r="M2260" s="9"/>
      <c r="N2260" s="8"/>
      <c r="O2260" s="7">
        <f>SUM(O2216:O2258)</f>
        <v>12906.910000000002</v>
      </c>
      <c r="P2260" s="5"/>
      <c r="Q2260" s="46"/>
    </row>
    <row r="2261" spans="1:17" ht="21" thickBot="1" x14ac:dyDescent="0.3">
      <c r="A2261" s="60" t="s">
        <v>0</v>
      </c>
      <c r="B2261" s="61"/>
      <c r="C2261" s="61"/>
      <c r="D2261" s="5"/>
      <c r="E2261" s="4"/>
      <c r="F2261" s="3"/>
      <c r="G2261" s="6" t="e">
        <f>+G2260/E2252</f>
        <v>#DIV/0!</v>
      </c>
      <c r="H2261" s="5"/>
      <c r="I2261" s="4"/>
      <c r="J2261" s="3"/>
      <c r="K2261" s="6" t="e">
        <f>+K2260/I2252</f>
        <v>#DIV/0!</v>
      </c>
      <c r="L2261" s="5"/>
      <c r="M2261" s="4"/>
      <c r="N2261" s="3"/>
      <c r="O2261" s="6">
        <f>+O2260/M2252</f>
        <v>12906.910000000002</v>
      </c>
      <c r="P2261" s="5"/>
      <c r="Q2261" s="46"/>
    </row>
    <row r="2263" spans="1:17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</sheetData>
  <mergeCells count="533">
    <mergeCell ref="A2156:C2156"/>
    <mergeCell ref="A2157:C2157"/>
    <mergeCell ref="A1826:C1826"/>
    <mergeCell ref="A1830:C1830"/>
    <mergeCell ref="A1831:C1831"/>
    <mergeCell ref="A1837:C1837"/>
    <mergeCell ref="A1840:C1840"/>
    <mergeCell ref="A2095:C2095"/>
    <mergeCell ref="A2122:C2122"/>
    <mergeCell ref="A2070:C2070"/>
    <mergeCell ref="A2073:C2073"/>
    <mergeCell ref="A2076:C2076"/>
    <mergeCell ref="A2030:C2030"/>
    <mergeCell ref="A2037:C2037"/>
    <mergeCell ref="A2040:C2040"/>
    <mergeCell ref="A2044:C2044"/>
    <mergeCell ref="A2045:C2045"/>
    <mergeCell ref="A1983:C1983"/>
    <mergeCell ref="A1986:C1986"/>
    <mergeCell ref="A1973:C1973"/>
    <mergeCell ref="A1980:C1980"/>
    <mergeCell ref="A1793:C1793"/>
    <mergeCell ref="A1794:C1794"/>
    <mergeCell ref="A2140:C2140"/>
    <mergeCell ref="A2150:C2150"/>
    <mergeCell ref="A2153:C2153"/>
    <mergeCell ref="A2134:C2134"/>
    <mergeCell ref="A2101:C2101"/>
    <mergeCell ref="A2108:C2108"/>
    <mergeCell ref="A2111:C2111"/>
    <mergeCell ref="A2115:C2115"/>
    <mergeCell ref="A2116:C2116"/>
    <mergeCell ref="A2077:C2077"/>
    <mergeCell ref="A2051:C2051"/>
    <mergeCell ref="A2055:C2055"/>
    <mergeCell ref="A2058:C2058"/>
    <mergeCell ref="A2061:C2061"/>
    <mergeCell ref="A2062:C2062"/>
    <mergeCell ref="A2127:C2127"/>
    <mergeCell ref="A2130:C2130"/>
    <mergeCell ref="A2133:C2133"/>
    <mergeCell ref="A2068:C2068"/>
    <mergeCell ref="A2083:C2083"/>
    <mergeCell ref="A2087:C2087"/>
    <mergeCell ref="A2090:C2090"/>
    <mergeCell ref="A2094:C2094"/>
    <mergeCell ref="A2023:C2023"/>
    <mergeCell ref="A2024:C2024"/>
    <mergeCell ref="A2009:C2009"/>
    <mergeCell ref="A1987:C1987"/>
    <mergeCell ref="A1993:C1993"/>
    <mergeCell ref="A2001:C2001"/>
    <mergeCell ref="A2004:C2004"/>
    <mergeCell ref="A2008:C2008"/>
    <mergeCell ref="A2015:C2015"/>
    <mergeCell ref="A2017:C2017"/>
    <mergeCell ref="A2020:C2020"/>
    <mergeCell ref="A1966:C1966"/>
    <mergeCell ref="A1963:C1963"/>
    <mergeCell ref="A1967:C1967"/>
    <mergeCell ref="A1949:C1949"/>
    <mergeCell ref="A1888:C1888"/>
    <mergeCell ref="A1895:C1895"/>
    <mergeCell ref="A1898:C1898"/>
    <mergeCell ref="A1901:C1901"/>
    <mergeCell ref="A1902:C1902"/>
    <mergeCell ref="A1935:C1935"/>
    <mergeCell ref="A1942:C1942"/>
    <mergeCell ref="A1945:C1945"/>
    <mergeCell ref="A1948:C1948"/>
    <mergeCell ref="A1960:C1960"/>
    <mergeCell ref="A1553:C1553"/>
    <mergeCell ref="A1566:C1566"/>
    <mergeCell ref="A1866:C1866"/>
    <mergeCell ref="A1702:C1702"/>
    <mergeCell ref="A1872:C1872"/>
    <mergeCell ref="A1875:C1875"/>
    <mergeCell ref="A1878:C1878"/>
    <mergeCell ref="A1881:C1881"/>
    <mergeCell ref="A1882:C1882"/>
    <mergeCell ref="A1856:C1856"/>
    <mergeCell ref="A1858:C1858"/>
    <mergeCell ref="A1861:C1861"/>
    <mergeCell ref="A1865:C1865"/>
    <mergeCell ref="A1642:C1642"/>
    <mergeCell ref="A1708:C1708"/>
    <mergeCell ref="A1736:C1736"/>
    <mergeCell ref="A1568:C1568"/>
    <mergeCell ref="A1573:C1573"/>
    <mergeCell ref="A1574:C1574"/>
    <mergeCell ref="A1648:C1648"/>
    <mergeCell ref="A1651:C1651"/>
    <mergeCell ref="A1654:C1654"/>
    <mergeCell ref="A1659:C1659"/>
    <mergeCell ref="A1660:C1660"/>
    <mergeCell ref="A1530:C1530"/>
    <mergeCell ref="A1955:C1955"/>
    <mergeCell ref="A1908:C1908"/>
    <mergeCell ref="A1922:C1922"/>
    <mergeCell ref="A1925:C1925"/>
    <mergeCell ref="A1928:C1928"/>
    <mergeCell ref="A1929:C1929"/>
    <mergeCell ref="A1738:C1738"/>
    <mergeCell ref="A1742:C1742"/>
    <mergeCell ref="A1743:C1743"/>
    <mergeCell ref="A1759:C1759"/>
    <mergeCell ref="A1760:C1760"/>
    <mergeCell ref="A1766:C1766"/>
    <mergeCell ref="A1769:C1769"/>
    <mergeCell ref="A1772:C1772"/>
    <mergeCell ref="A1776:C1776"/>
    <mergeCell ref="A1777:C1777"/>
    <mergeCell ref="A1633:C1633"/>
    <mergeCell ref="A1636:C1636"/>
    <mergeCell ref="A1641:C1641"/>
    <mergeCell ref="A1582:C1582"/>
    <mergeCell ref="A1592:C1592"/>
    <mergeCell ref="A1594:C1594"/>
    <mergeCell ref="A1598:C1598"/>
    <mergeCell ref="A1607:C1607"/>
    <mergeCell ref="A1813:C1813"/>
    <mergeCell ref="A1819:C1819"/>
    <mergeCell ref="A1843:C1843"/>
    <mergeCell ref="A1847:C1847"/>
    <mergeCell ref="A1848:C1848"/>
    <mergeCell ref="A1599:C1599"/>
    <mergeCell ref="A1666:C1666"/>
    <mergeCell ref="A1671:C1671"/>
    <mergeCell ref="A1674:C1674"/>
    <mergeCell ref="A1679:C1679"/>
    <mergeCell ref="A1680:C1680"/>
    <mergeCell ref="A1823:C1823"/>
    <mergeCell ref="A1802:C1802"/>
    <mergeCell ref="A1805:C1805"/>
    <mergeCell ref="A1808:C1808"/>
    <mergeCell ref="A1812:C1812"/>
    <mergeCell ref="A1686:C1686"/>
    <mergeCell ref="A1689:C1689"/>
    <mergeCell ref="A1691:C1691"/>
    <mergeCell ref="A1701:C1701"/>
    <mergeCell ref="A1783:C1783"/>
    <mergeCell ref="A1786:C1786"/>
    <mergeCell ref="A1789:C1789"/>
    <mergeCell ref="A1545:C1545"/>
    <mergeCell ref="A1506:C1506"/>
    <mergeCell ref="A1508:C1508"/>
    <mergeCell ref="A1511:C1511"/>
    <mergeCell ref="A1514:C1514"/>
    <mergeCell ref="A1515:C1515"/>
    <mergeCell ref="A1521:C1521"/>
    <mergeCell ref="A1523:C1523"/>
    <mergeCell ref="A1455:C1455"/>
    <mergeCell ref="A1466:C1466"/>
    <mergeCell ref="A1469:C1469"/>
    <mergeCell ref="A1472:C1472"/>
    <mergeCell ref="A1473:C1473"/>
    <mergeCell ref="A1479:C1479"/>
    <mergeCell ref="A1493:C1493"/>
    <mergeCell ref="A1496:C1496"/>
    <mergeCell ref="A1499:C1499"/>
    <mergeCell ref="A1500:C1500"/>
    <mergeCell ref="A1536:C1536"/>
    <mergeCell ref="A1538:C1538"/>
    <mergeCell ref="A1541:C1541"/>
    <mergeCell ref="A1544:C1544"/>
    <mergeCell ref="A1526:C1526"/>
    <mergeCell ref="A1529:C1529"/>
    <mergeCell ref="A1425:C1425"/>
    <mergeCell ref="A1404:C1404"/>
    <mergeCell ref="A1389:C1389"/>
    <mergeCell ref="A1395:C1395"/>
    <mergeCell ref="A1397:C1397"/>
    <mergeCell ref="A1400:C1400"/>
    <mergeCell ref="A1403:C1403"/>
    <mergeCell ref="A1418:C1418"/>
    <mergeCell ref="A1410:C1410"/>
    <mergeCell ref="A1412:C1412"/>
    <mergeCell ref="A1415:C1415"/>
    <mergeCell ref="A1419:C1419"/>
    <mergeCell ref="A1318:C1318"/>
    <mergeCell ref="A1365:C1365"/>
    <mergeCell ref="A1367:C1367"/>
    <mergeCell ref="A1370:C1370"/>
    <mergeCell ref="A1373:C1373"/>
    <mergeCell ref="A1341:C1341"/>
    <mergeCell ref="A1350:C1350"/>
    <mergeCell ref="A1353:C1353"/>
    <mergeCell ref="A1356:C1356"/>
    <mergeCell ref="A1357:C1357"/>
    <mergeCell ref="A1301:C1301"/>
    <mergeCell ref="A1307:C1307"/>
    <mergeCell ref="A1311:C1311"/>
    <mergeCell ref="A1314:C1314"/>
    <mergeCell ref="A1317:C1317"/>
    <mergeCell ref="A1280:C1280"/>
    <mergeCell ref="A1286:C1286"/>
    <mergeCell ref="A1294:C1294"/>
    <mergeCell ref="A1297:C1297"/>
    <mergeCell ref="A1300:C1300"/>
    <mergeCell ref="A1243:C1243"/>
    <mergeCell ref="A1264:C1264"/>
    <mergeCell ref="A1273:C1273"/>
    <mergeCell ref="A1276:C1276"/>
    <mergeCell ref="A1279:C1279"/>
    <mergeCell ref="A1249:C1249"/>
    <mergeCell ref="A1251:C1251"/>
    <mergeCell ref="A1254:C1254"/>
    <mergeCell ref="A1257:C1257"/>
    <mergeCell ref="A1258:C1258"/>
    <mergeCell ref="A1217:C1217"/>
    <mergeCell ref="A1235:C1235"/>
    <mergeCell ref="A1238:C1238"/>
    <mergeCell ref="A1242:C1242"/>
    <mergeCell ref="A1211:C1211"/>
    <mergeCell ref="A1172:C1172"/>
    <mergeCell ref="A1202:C1202"/>
    <mergeCell ref="A1205:C1205"/>
    <mergeCell ref="A1210:C1210"/>
    <mergeCell ref="A1159:C1159"/>
    <mergeCell ref="A1165:C1165"/>
    <mergeCell ref="A1122:C1122"/>
    <mergeCell ref="A1099:C1099"/>
    <mergeCell ref="A1105:C1105"/>
    <mergeCell ref="A1114:C1114"/>
    <mergeCell ref="A1117:C1117"/>
    <mergeCell ref="A1121:C1121"/>
    <mergeCell ref="A1166:C1166"/>
    <mergeCell ref="A1098:C1098"/>
    <mergeCell ref="A1073:C1073"/>
    <mergeCell ref="A1046:C1046"/>
    <mergeCell ref="A1054:C1054"/>
    <mergeCell ref="A1064:C1064"/>
    <mergeCell ref="A1067:C1067"/>
    <mergeCell ref="A1072:C1072"/>
    <mergeCell ref="A1128:C1128"/>
    <mergeCell ref="A1156:C1156"/>
    <mergeCell ref="A1045:C1045"/>
    <mergeCell ref="A1007:C1007"/>
    <mergeCell ref="A1013:C1013"/>
    <mergeCell ref="A1016:C1016"/>
    <mergeCell ref="A1019:C1019"/>
    <mergeCell ref="A1023:C1023"/>
    <mergeCell ref="A1079:C1079"/>
    <mergeCell ref="A1090:C1090"/>
    <mergeCell ref="A1093:C1093"/>
    <mergeCell ref="A1024:C1024"/>
    <mergeCell ref="A990:C990"/>
    <mergeCell ref="A996:C996"/>
    <mergeCell ref="A999:C999"/>
    <mergeCell ref="A1002:C1002"/>
    <mergeCell ref="A1006:C1006"/>
    <mergeCell ref="A1030:C1030"/>
    <mergeCell ref="A1038:C1038"/>
    <mergeCell ref="A1041:C1041"/>
    <mergeCell ref="A956:C956"/>
    <mergeCell ref="A979:C979"/>
    <mergeCell ref="A982:C982"/>
    <mergeCell ref="A985:C985"/>
    <mergeCell ref="A989:C989"/>
    <mergeCell ref="A946:C946"/>
    <mergeCell ref="A948:C948"/>
    <mergeCell ref="A951:C951"/>
    <mergeCell ref="A955:C955"/>
    <mergeCell ref="A962:C962"/>
    <mergeCell ref="A965:C965"/>
    <mergeCell ref="A968:C968"/>
    <mergeCell ref="A972:C972"/>
    <mergeCell ref="A973:C973"/>
    <mergeCell ref="A940:C940"/>
    <mergeCell ref="A869:C869"/>
    <mergeCell ref="A912:C912"/>
    <mergeCell ref="A915:C915"/>
    <mergeCell ref="A918:C918"/>
    <mergeCell ref="A922:C922"/>
    <mergeCell ref="A875:C875"/>
    <mergeCell ref="A880:C880"/>
    <mergeCell ref="A883:C883"/>
    <mergeCell ref="A887:C887"/>
    <mergeCell ref="A888:C888"/>
    <mergeCell ref="A923:C923"/>
    <mergeCell ref="A929:C929"/>
    <mergeCell ref="A932:C932"/>
    <mergeCell ref="A935:C935"/>
    <mergeCell ref="A939:C939"/>
    <mergeCell ref="A894:C894"/>
    <mergeCell ref="A896:C896"/>
    <mergeCell ref="A899:C899"/>
    <mergeCell ref="A903:C903"/>
    <mergeCell ref="A904:C904"/>
    <mergeCell ref="A798:C798"/>
    <mergeCell ref="A804:C804"/>
    <mergeCell ref="A811:C811"/>
    <mergeCell ref="A822:C822"/>
    <mergeCell ref="A805:C805"/>
    <mergeCell ref="A868:C868"/>
    <mergeCell ref="A860:C860"/>
    <mergeCell ref="A862:C862"/>
    <mergeCell ref="A865:C865"/>
    <mergeCell ref="A838:C838"/>
    <mergeCell ref="A845:C845"/>
    <mergeCell ref="A848:C848"/>
    <mergeCell ref="A853:C853"/>
    <mergeCell ref="A854:C854"/>
    <mergeCell ref="A147:C147"/>
    <mergeCell ref="A151:C151"/>
    <mergeCell ref="A132:C132"/>
    <mergeCell ref="A68:C68"/>
    <mergeCell ref="A84:C84"/>
    <mergeCell ref="A126:C126"/>
    <mergeCell ref="A90:C90"/>
    <mergeCell ref="A168:C168"/>
    <mergeCell ref="A169:C169"/>
    <mergeCell ref="A77:C77"/>
    <mergeCell ref="A80:C80"/>
    <mergeCell ref="A83:C83"/>
    <mergeCell ref="A161:C161"/>
    <mergeCell ref="A164:C164"/>
    <mergeCell ref="A14:C14"/>
    <mergeCell ref="A46:C46"/>
    <mergeCell ref="A50:C50"/>
    <mergeCell ref="A57:C57"/>
    <mergeCell ref="A51:C51"/>
    <mergeCell ref="M1:O1"/>
    <mergeCell ref="E1:G1"/>
    <mergeCell ref="I1:K1"/>
    <mergeCell ref="A158:C158"/>
    <mergeCell ref="A60:C60"/>
    <mergeCell ref="A63:C63"/>
    <mergeCell ref="A67:C67"/>
    <mergeCell ref="A144:C144"/>
    <mergeCell ref="A11:C11"/>
    <mergeCell ref="A8:C8"/>
    <mergeCell ref="A18:C18"/>
    <mergeCell ref="A25:C25"/>
    <mergeCell ref="A42:C42"/>
    <mergeCell ref="A19:C19"/>
    <mergeCell ref="A118:C118"/>
    <mergeCell ref="A121:C121"/>
    <mergeCell ref="A125:C125"/>
    <mergeCell ref="A74:C74"/>
    <mergeCell ref="A152:C152"/>
    <mergeCell ref="A195:C195"/>
    <mergeCell ref="A198:C198"/>
    <mergeCell ref="A178:C178"/>
    <mergeCell ref="A181:C181"/>
    <mergeCell ref="A184:C184"/>
    <mergeCell ref="A188:C188"/>
    <mergeCell ref="A227:C227"/>
    <mergeCell ref="A212:C212"/>
    <mergeCell ref="A214:C214"/>
    <mergeCell ref="A217:C217"/>
    <mergeCell ref="A220:C220"/>
    <mergeCell ref="A189:C189"/>
    <mergeCell ref="A201:C201"/>
    <mergeCell ref="A205:C205"/>
    <mergeCell ref="A206:C206"/>
    <mergeCell ref="A257:C257"/>
    <mergeCell ref="A263:C263"/>
    <mergeCell ref="A266:C266"/>
    <mergeCell ref="A239:C239"/>
    <mergeCell ref="A245:C245"/>
    <mergeCell ref="A230:C230"/>
    <mergeCell ref="A233:C233"/>
    <mergeCell ref="A238:C238"/>
    <mergeCell ref="A221:C221"/>
    <mergeCell ref="A248:C248"/>
    <mergeCell ref="A252:C252"/>
    <mergeCell ref="A256:C256"/>
    <mergeCell ref="A293:C293"/>
    <mergeCell ref="A281:C281"/>
    <mergeCell ref="A284:C284"/>
    <mergeCell ref="A287:C287"/>
    <mergeCell ref="A292:C292"/>
    <mergeCell ref="A312:C312"/>
    <mergeCell ref="A269:C269"/>
    <mergeCell ref="A274:C274"/>
    <mergeCell ref="A275:C275"/>
    <mergeCell ref="A301:C301"/>
    <mergeCell ref="A304:C304"/>
    <mergeCell ref="A307:C307"/>
    <mergeCell ref="A311:C311"/>
    <mergeCell ref="A375:C375"/>
    <mergeCell ref="A379:C379"/>
    <mergeCell ref="A380:C380"/>
    <mergeCell ref="A318:C318"/>
    <mergeCell ref="A321:C321"/>
    <mergeCell ref="A324:C324"/>
    <mergeCell ref="A328:C328"/>
    <mergeCell ref="A329:C329"/>
    <mergeCell ref="A346:C346"/>
    <mergeCell ref="A352:C352"/>
    <mergeCell ref="A363:C363"/>
    <mergeCell ref="A369:C369"/>
    <mergeCell ref="A372:C372"/>
    <mergeCell ref="A355:C355"/>
    <mergeCell ref="A358:C358"/>
    <mergeCell ref="A362:C362"/>
    <mergeCell ref="A335:C335"/>
    <mergeCell ref="A338:C338"/>
    <mergeCell ref="A341:C341"/>
    <mergeCell ref="A345:C345"/>
    <mergeCell ref="A427:C427"/>
    <mergeCell ref="A430:C430"/>
    <mergeCell ref="A408:C408"/>
    <mergeCell ref="A413:C413"/>
    <mergeCell ref="A416:C416"/>
    <mergeCell ref="A420:C420"/>
    <mergeCell ref="A399:C399"/>
    <mergeCell ref="A386:C386"/>
    <mergeCell ref="A391:C391"/>
    <mergeCell ref="A394:C394"/>
    <mergeCell ref="A398:C398"/>
    <mergeCell ref="A421:C421"/>
    <mergeCell ref="A433:C433"/>
    <mergeCell ref="A437:C437"/>
    <mergeCell ref="A438:C438"/>
    <mergeCell ref="A460:C460"/>
    <mergeCell ref="A466:C466"/>
    <mergeCell ref="A444:C444"/>
    <mergeCell ref="A451:C451"/>
    <mergeCell ref="A454:C454"/>
    <mergeCell ref="A459:C459"/>
    <mergeCell ref="A619:C619"/>
    <mergeCell ref="A620:C620"/>
    <mergeCell ref="A473:C473"/>
    <mergeCell ref="A476:C476"/>
    <mergeCell ref="A481:C481"/>
    <mergeCell ref="A498:C498"/>
    <mergeCell ref="A502:C502"/>
    <mergeCell ref="A503:C503"/>
    <mergeCell ref="A534:C534"/>
    <mergeCell ref="A537:C537"/>
    <mergeCell ref="A541:C541"/>
    <mergeCell ref="A482:C482"/>
    <mergeCell ref="A488:C488"/>
    <mergeCell ref="A495:C495"/>
    <mergeCell ref="A525:C525"/>
    <mergeCell ref="A509:C509"/>
    <mergeCell ref="A517:C517"/>
    <mergeCell ref="A520:C520"/>
    <mergeCell ref="A524:C524"/>
    <mergeCell ref="A531:C531"/>
    <mergeCell ref="A653:C653"/>
    <mergeCell ref="A658:C658"/>
    <mergeCell ref="A659:C659"/>
    <mergeCell ref="A542:C542"/>
    <mergeCell ref="A565:C565"/>
    <mergeCell ref="A571:C571"/>
    <mergeCell ref="A550:C550"/>
    <mergeCell ref="A557:C557"/>
    <mergeCell ref="A560:C560"/>
    <mergeCell ref="A564:C564"/>
    <mergeCell ref="A641:C641"/>
    <mergeCell ref="A633:C633"/>
    <mergeCell ref="A636:C636"/>
    <mergeCell ref="A640:C640"/>
    <mergeCell ref="A647:C647"/>
    <mergeCell ref="A650:C650"/>
    <mergeCell ref="A603:C603"/>
    <mergeCell ref="A628:C628"/>
    <mergeCell ref="A589:C589"/>
    <mergeCell ref="A592:C592"/>
    <mergeCell ref="A602:C602"/>
    <mergeCell ref="A609:C609"/>
    <mergeCell ref="A612:C612"/>
    <mergeCell ref="A615:C615"/>
    <mergeCell ref="A678:C678"/>
    <mergeCell ref="A684:C684"/>
    <mergeCell ref="A692:C692"/>
    <mergeCell ref="A665:C665"/>
    <mergeCell ref="A670:C670"/>
    <mergeCell ref="A673:C673"/>
    <mergeCell ref="A677:C677"/>
    <mergeCell ref="A695:C695"/>
    <mergeCell ref="A701:C701"/>
    <mergeCell ref="A702:C702"/>
    <mergeCell ref="A725:C725"/>
    <mergeCell ref="A708:C708"/>
    <mergeCell ref="A715:C715"/>
    <mergeCell ref="A718:C718"/>
    <mergeCell ref="A724:C724"/>
    <mergeCell ref="A1749:C1749"/>
    <mergeCell ref="A1752:C1752"/>
    <mergeCell ref="A1755:C1755"/>
    <mergeCell ref="A756:C756"/>
    <mergeCell ref="A769:C769"/>
    <mergeCell ref="A772:C772"/>
    <mergeCell ref="A779:C779"/>
    <mergeCell ref="A780:C780"/>
    <mergeCell ref="A731:C731"/>
    <mergeCell ref="A739:C739"/>
    <mergeCell ref="A742:C742"/>
    <mergeCell ref="A749:C749"/>
    <mergeCell ref="A750:C750"/>
    <mergeCell ref="A825:C825"/>
    <mergeCell ref="A831:C831"/>
    <mergeCell ref="A832:C832"/>
    <mergeCell ref="A786:C786"/>
    <mergeCell ref="A795:C795"/>
    <mergeCell ref="A2165:C2165"/>
    <mergeCell ref="A2174:C2174"/>
    <mergeCell ref="A2177:C2177"/>
    <mergeCell ref="A2181:C2181"/>
    <mergeCell ref="A2182:C2182"/>
    <mergeCell ref="A1324:C1324"/>
    <mergeCell ref="A1328:C1328"/>
    <mergeCell ref="A1331:C1331"/>
    <mergeCell ref="A1334:C1334"/>
    <mergeCell ref="A1335:C1335"/>
    <mergeCell ref="A1374:C1374"/>
    <mergeCell ref="A1380:C1380"/>
    <mergeCell ref="A1382:C1382"/>
    <mergeCell ref="A1385:C1385"/>
    <mergeCell ref="A1388:C1388"/>
    <mergeCell ref="A1440:C1440"/>
    <mergeCell ref="A1442:C1442"/>
    <mergeCell ref="A1445:C1445"/>
    <mergeCell ref="A1448:C1448"/>
    <mergeCell ref="A1449:C1449"/>
    <mergeCell ref="A1427:C1427"/>
    <mergeCell ref="A1430:C1430"/>
    <mergeCell ref="A1433:C1433"/>
    <mergeCell ref="A1434:C1434"/>
    <mergeCell ref="A2261:C2261"/>
    <mergeCell ref="A2188:C2188"/>
    <mergeCell ref="A2201:C2201"/>
    <mergeCell ref="A2204:C2204"/>
    <mergeCell ref="A2211:C2211"/>
    <mergeCell ref="A2212:C2212"/>
    <mergeCell ref="A2218:C2218"/>
    <mergeCell ref="A2251:C2251"/>
    <mergeCell ref="A2254:C2254"/>
    <mergeCell ref="A2260:C2260"/>
  </mergeCells>
  <conditionalFormatting sqref="E9:E10 E26:E41 I26:I41 M26:M41 E58 I58 M58 E387:E390 I387:I390 M387:M390 E554:E555 I554:I555 M554:M555 E572:E588 I572:I588 M572:M588 E685:E691 I685:I691 M685:M691 E709:E714 I709:I714 M709:M714 E719:E722 M719:M722 I732:I738 E812:E821 I812:I821 M812:M821 E1068:E1070 I1068:I1070 M1068:M1070 E1554:E1565 I1554:I1565 M1554:M1565 E1583:E1591 I1583:I1591 M1583:M1591 E1611:E1612 I1611:I1612 M1611:M1612 E1622 I1622 M1622 E1709:E1735 I1709:I1735 M1709:M1735 E2141:E2149 I2141:I2149 M2141:M2149 E2166:E2173 I2166:I2173 M2166:M2173 E2189:E2200 I2189:I2200 M2189:M2200 E2219:E2250 I2219:I2250 M2219:M2250 E75:E76 I75:I76 M75:M76 E91:E117 I91:I117 M91:M117 E12:E13 E133:E143 I133:I143 M133:M143 E445:E450 I445:I450 M445:M450 E2031:E2036 I2031:I2036 M2031:M2036 E2052:E2054 I2052:I2054 M2052:M2054 E2056:E2057 I2056:I2057 M2056:M2057 E2059 I2059 M2059 E2123:E2126 I2123:I2126 M2123:M2126 E2131 I2131 M2131">
    <cfRule type="cellIs" dxfId="1628" priority="2059" stopIfTrue="1" operator="lessThan">
      <formula>0</formula>
    </cfRule>
  </conditionalFormatting>
  <conditionalFormatting sqref="E9:E10 E36 I36 M36 E685:E691 I685:I691 M685:M691 I709:I714 E711:E714 M711:M714 I736:I738 E813:E821 I813:I821 M813:M821 E1068:E1070 I1068:I1070 M1068:M1070 E2166:E2173 I2166:I2173 M2166:M2173 E2189:E2200 I2189:I2200 M2189:M2200 E2219:E2250 I2219:I2250 M2219:M2250 E58:E59 I58:I59 M58:M59 E213 I213 M213 E387:E390 I387:I390 M387:M390 E409:E412 I409:I412 M409:M412 E467:E472 I467:I472 M467:M472 E489:E494 I489:I494 M489:M494 E551:E556 I551:I556 M551:M556 E572:E588 I572:I588 M572:M588 E648:E649 I648:I649 M648:M649 E719:E722 I719:I722 M719:M722 E732:E738 M732:M738 E947 I947 M947 E1031:E1037 I1031:I1037 M1031:M1037 E1055:E1063 I1055:I1063 M1055:M1063 E1080:E1089 I1080:I1089 M1080:M1089 E1106:E1113 I1106:I1113 M1106:M1113 E1129:E1155 I1129:I1155 M1129:M1155 E1173:E1201 I1173:I1201 M1173:M1201 E1218:E1234 I1218:I1234 M1218:M1234 E1456:E1465 I1456:I1465 M1456:M1465 E1480:E1492 I1480:I1492 M1480:M1492 E1554:E1565 I1554:I1565 M1554:M1565 E1583:E1591 I1583:I1591 M1583:M1591 E1608:E1632 I1608:I1632 M1608:M1632 E1709:E1735 I1709:I1735 M1709:M1735 E2141:E2149 I2141:I2149 M2141:M2149">
    <cfRule type="cellIs" dxfId="1627" priority="2052" stopIfTrue="1" operator="greaterThan">
      <formula>0</formula>
    </cfRule>
  </conditionalFormatting>
  <conditionalFormatting sqref="E12:E13 E26:E41 I26:I41 M26:M41 E58 I58 M58 E91:E117 I91:I117 M91:M117 E133:E143 I133:I143 M133:M143 E387:E390 I387:I390 M387:M390 E445:E450 I445:I450 M445:M450 E554:E555 I554:I555 M554:M555 E572:E588 I572:I588 M572:M588 E719:E722 M719:M722 E1554:E1565 I1554:I1565 M1554:M1565 E1583:E1591 I1583:I1591 M1583:M1591 E1611:E1612 I1611:I1612 M1611:M1612 E1709:E1735 I1709:I1735 M1709:M1735 E2031:E2036 I2031:I2036 M2031:M2036 E2052:E2054 I2052:I2054 M2052:M2054 E2056:E2057 I2056:I2057 M2056:M2057 E2059 I2059 M2059 E2123:E2126 I2123:I2126 M2123:M2126 E2131 I2131 M2131 E2141:E2149 I2141:I2149 M2141:M2149">
    <cfRule type="cellIs" dxfId="1626" priority="2060" stopIfTrue="1" operator="equal">
      <formula>0</formula>
    </cfRule>
  </conditionalFormatting>
  <conditionalFormatting sqref="E12:E13 E26:E41 I26:I41 M26:M41 E133:E143 I133:I143 M133:M143 E445:E450 I445:I450 M445:M450 E554:E555 I554:I555 M554:M555 E2031:E2036 I2031:I2036 M2031:M2036 E2052:E2054 I2052:I2054 M2052:M2054 E2056:E2057 I2056:I2057 M2056:M2057 E2059 I2059 M2059 E2123:E2126 I2123:I2126 M2123:M2126 E2131 I2131 M2131">
    <cfRule type="cellIs" dxfId="1625" priority="2061" stopIfTrue="1" operator="greaterThan">
      <formula>0</formula>
    </cfRule>
  </conditionalFormatting>
  <conditionalFormatting sqref="E15:E16 E696:E699 I696:I699 M696:M699 E732:E738 M732:M738 E740:E741 I740:I741 M740:M741 E863:E864 I863:I864 M863:M864 E884:E885 I884:I885 M884:M885">
    <cfRule type="cellIs" dxfId="1624" priority="2081" stopIfTrue="1" operator="equal">
      <formula>0</formula>
    </cfRule>
  </conditionalFormatting>
  <conditionalFormatting sqref="E15:E16 E696:E699 I696:I699 M696:M699 E740:E741 I740:I741 M740:M741 E863:E864 I863:I864 M863:M864 E884:E885 I884:I885 M884:M885">
    <cfRule type="cellIs" dxfId="1623" priority="2082" stopIfTrue="1" operator="greaterThan">
      <formula>0</formula>
    </cfRule>
  </conditionalFormatting>
  <conditionalFormatting sqref="E47:E48 E218 I218 M218 E270:E272 I270:I272 M270:M272 E359:E360 I359:I360 M359:M360 E370:E371 I370:I371 M370:M371 E455:E457 I455:I457 M455:M457 E839:E844 I839:I844 M839:M844 E1342:E1349 I1342:I1349 M1342:M1349">
    <cfRule type="cellIs" dxfId="1622" priority="2068" stopIfTrue="1" operator="lessThan">
      <formula>0</formula>
    </cfRule>
    <cfRule type="cellIs" dxfId="1621" priority="2069" stopIfTrue="1" operator="equal">
      <formula>0</formula>
    </cfRule>
    <cfRule type="cellIs" dxfId="1620" priority="2070" stopIfTrue="1" operator="greaterThan">
      <formula>0</formula>
    </cfRule>
  </conditionalFormatting>
  <conditionalFormatting sqref="E58:E59 I58:I59 M58:M59 E213 I213 M213 E409:E412 I409:I412 M409:M412 E467:E472 I467:I472 M467:M472 E489:E494 I489:I494 M489:M494 E551:E556 I551:I556 M551:M556 E648:E649 I648:I649 M648:M649 I719:I722 E947 I947 M947 E1031:E1037 I1031:I1037 M1031:M1037 E1055:E1063 I1055:I1063 M1055:M1063 E1080:E1089 I1080:I1089 M1080:M1089 E1106:E1113 I1106:I1113 M1106:M1113 E1129:E1155 I1129:I1155 M1129:M1155 E1173:E1201 I1173:I1201 M1173:M1201 E1218:E1234 I1218:I1234 M1218:M1234 E1456:E1465 I1456:I1465 M1456:M1465 E1480:E1492 I1480:I1492 M1480:M1492 E1608:E1632 I1608:I1632 M1608:M1632 E1956:E1959 I1956:I1959 M1956:M1959">
    <cfRule type="cellIs" dxfId="1619" priority="617" stopIfTrue="1" operator="lessThan">
      <formula>0</formula>
    </cfRule>
    <cfRule type="cellIs" dxfId="1618" priority="618" stopIfTrue="1" operator="equal">
      <formula>0</formula>
    </cfRule>
  </conditionalFormatting>
  <conditionalFormatting sqref="E61:E62">
    <cfRule type="cellIs" dxfId="1617" priority="2014" stopIfTrue="1" operator="lessThan">
      <formula>0</formula>
    </cfRule>
    <cfRule type="cellIs" dxfId="1616" priority="2015" stopIfTrue="1" operator="equal">
      <formula>0</formula>
    </cfRule>
    <cfRule type="cellIs" dxfId="1615" priority="2016" stopIfTrue="1" operator="greaterThan">
      <formula>0</formula>
    </cfRule>
  </conditionalFormatting>
  <conditionalFormatting sqref="E64:E65">
    <cfRule type="cellIs" dxfId="1614" priority="2029" stopIfTrue="1" operator="lessThan">
      <formula>0</formula>
    </cfRule>
    <cfRule type="cellIs" dxfId="1613" priority="2030" stopIfTrue="1" operator="equal">
      <formula>0</formula>
    </cfRule>
    <cfRule type="cellIs" dxfId="1612" priority="2031" stopIfTrue="1" operator="greaterThan">
      <formula>0</formula>
    </cfRule>
  </conditionalFormatting>
  <conditionalFormatting sqref="E75:E76 I75:I76 M75:M76">
    <cfRule type="cellIs" dxfId="1611" priority="2006" stopIfTrue="1" operator="equal">
      <formula>0</formula>
    </cfRule>
    <cfRule type="cellIs" dxfId="1610" priority="2007" stopIfTrue="1" operator="greaterThan">
      <formula>0</formula>
    </cfRule>
  </conditionalFormatting>
  <conditionalFormatting sqref="E78:E79">
    <cfRule type="cellIs" dxfId="1609" priority="1987" stopIfTrue="1" operator="lessThan">
      <formula>0</formula>
    </cfRule>
    <cfRule type="cellIs" dxfId="1608" priority="1988" stopIfTrue="1" operator="equal">
      <formula>0</formula>
    </cfRule>
    <cfRule type="cellIs" dxfId="1607" priority="1989" stopIfTrue="1" operator="greaterThan">
      <formula>0</formula>
    </cfRule>
  </conditionalFormatting>
  <conditionalFormatting sqref="E91:E117 I91:I117 M91:M117">
    <cfRule type="cellIs" dxfId="1606" priority="35" stopIfTrue="1" operator="greaterThan">
      <formula>0</formula>
    </cfRule>
  </conditionalFormatting>
  <conditionalFormatting sqref="E104:E105 I104:I105 M104:M105">
    <cfRule type="cellIs" dxfId="1605" priority="34" stopIfTrue="1" operator="equal">
      <formula>0</formula>
    </cfRule>
  </conditionalFormatting>
  <conditionalFormatting sqref="E119:E120">
    <cfRule type="cellIs" dxfId="1604" priority="1969" stopIfTrue="1" operator="lessThan">
      <formula>0</formula>
    </cfRule>
    <cfRule type="cellIs" dxfId="1603" priority="1970" stopIfTrue="1" operator="equal">
      <formula>0</formula>
    </cfRule>
    <cfRule type="cellIs" dxfId="1602" priority="1971" stopIfTrue="1" operator="greaterThan">
      <formula>0</formula>
    </cfRule>
  </conditionalFormatting>
  <conditionalFormatting sqref="E122:E123">
    <cfRule type="cellIs" dxfId="1601" priority="1978" stopIfTrue="1" operator="lessThan">
      <formula>0</formula>
    </cfRule>
    <cfRule type="cellIs" dxfId="1600" priority="1979" stopIfTrue="1" operator="equal">
      <formula>0</formula>
    </cfRule>
    <cfRule type="cellIs" dxfId="1599" priority="1980" stopIfTrue="1" operator="greaterThan">
      <formula>0</formula>
    </cfRule>
  </conditionalFormatting>
  <conditionalFormatting sqref="E145:E146">
    <cfRule type="cellIs" dxfId="1598" priority="1951" stopIfTrue="1" operator="lessThan">
      <formula>0</formula>
    </cfRule>
    <cfRule type="cellIs" dxfId="1597" priority="1952" stopIfTrue="1" operator="equal">
      <formula>0</formula>
    </cfRule>
    <cfRule type="cellIs" dxfId="1596" priority="1953" stopIfTrue="1" operator="greaterThan">
      <formula>0</formula>
    </cfRule>
  </conditionalFormatting>
  <conditionalFormatting sqref="E148:E149">
    <cfRule type="cellIs" dxfId="1595" priority="1960" stopIfTrue="1" operator="lessThan">
      <formula>0</formula>
    </cfRule>
    <cfRule type="cellIs" dxfId="1594" priority="1961" stopIfTrue="1" operator="equal">
      <formula>0</formula>
    </cfRule>
    <cfRule type="cellIs" dxfId="1593" priority="1962" stopIfTrue="1" operator="greaterThan">
      <formula>0</formula>
    </cfRule>
  </conditionalFormatting>
  <conditionalFormatting sqref="E159:E160">
    <cfRule type="cellIs" dxfId="1592" priority="343" stopIfTrue="1" operator="lessThan">
      <formula>0</formula>
    </cfRule>
    <cfRule type="cellIs" dxfId="1591" priority="344" stopIfTrue="1" operator="equal">
      <formula>0</formula>
    </cfRule>
    <cfRule type="cellIs" dxfId="1590" priority="345" stopIfTrue="1" operator="greaterThan">
      <formula>0</formula>
    </cfRule>
  </conditionalFormatting>
  <conditionalFormatting sqref="E162:E163">
    <cfRule type="cellIs" dxfId="1589" priority="352" stopIfTrue="1" operator="lessThan">
      <formula>0</formula>
    </cfRule>
    <cfRule type="cellIs" dxfId="1588" priority="353" stopIfTrue="1" operator="equal">
      <formula>0</formula>
    </cfRule>
    <cfRule type="cellIs" dxfId="1587" priority="354" stopIfTrue="1" operator="greaterThan">
      <formula>0</formula>
    </cfRule>
  </conditionalFormatting>
  <conditionalFormatting sqref="E165:E166">
    <cfRule type="cellIs" dxfId="1586" priority="361" stopIfTrue="1" operator="lessThan">
      <formula>0</formula>
    </cfRule>
    <cfRule type="cellIs" dxfId="1585" priority="362" stopIfTrue="1" operator="equal">
      <formula>0</formula>
    </cfRule>
    <cfRule type="cellIs" dxfId="1584" priority="363" stopIfTrue="1" operator="greaterThan">
      <formula>0</formula>
    </cfRule>
  </conditionalFormatting>
  <conditionalFormatting sqref="E179:E180">
    <cfRule type="cellIs" dxfId="1583" priority="1924" stopIfTrue="1" operator="lessThan">
      <formula>0</formula>
    </cfRule>
    <cfRule type="cellIs" dxfId="1582" priority="1925" stopIfTrue="1" operator="equal">
      <formula>0</formula>
    </cfRule>
    <cfRule type="cellIs" dxfId="1581" priority="1926" stopIfTrue="1" operator="greaterThan">
      <formula>0</formula>
    </cfRule>
  </conditionalFormatting>
  <conditionalFormatting sqref="E182:E183">
    <cfRule type="cellIs" dxfId="1580" priority="1933" stopIfTrue="1" operator="lessThan">
      <formula>0</formula>
    </cfRule>
    <cfRule type="cellIs" dxfId="1579" priority="1934" stopIfTrue="1" operator="equal">
      <formula>0</formula>
    </cfRule>
    <cfRule type="cellIs" dxfId="1578" priority="1935" stopIfTrue="1" operator="greaterThan">
      <formula>0</formula>
    </cfRule>
  </conditionalFormatting>
  <conditionalFormatting sqref="E185:E186">
    <cfRule type="cellIs" dxfId="1577" priority="1942" stopIfTrue="1" operator="lessThan">
      <formula>0</formula>
    </cfRule>
    <cfRule type="cellIs" dxfId="1576" priority="1943" stopIfTrue="1" operator="equal">
      <formula>0</formula>
    </cfRule>
    <cfRule type="cellIs" dxfId="1575" priority="1944" stopIfTrue="1" operator="greaterThan">
      <formula>0</formula>
    </cfRule>
  </conditionalFormatting>
  <conditionalFormatting sqref="E196:E197 I196:I197 M196:M197 E611 I611 M611 E674:E675 I674:I675 M674:M675 E799:E802 I799:I802 M799:M802 E861 I861 M861 E895 I895 M895 E1239:E1240 I1239:I1240 M1239:M1240 E1250 I1250 M1250 E1371 I1371 M1371 E1507 I1507 M1507 E1537 I1537 M1537 E1649:E1650 I1649:I1650 M1649:M1650 E1857 I1857 M1857 E1879 I1879 M1879">
    <cfRule type="cellIs" dxfId="1574" priority="2085" stopIfTrue="1" operator="greaterThan">
      <formula>0</formula>
    </cfRule>
  </conditionalFormatting>
  <conditionalFormatting sqref="E196:E197 I196:I197 M196:M197 E674:E675 I674:I675 M674:M675 E799:E802 I799:I802 M799:M802 E861 I861 M861 E1239:E1240 I1239:I1240 M1239:M1240 E1371 I1371 M1371 E1507 I1507 M1507 E1537 I1537 M1537 E1649:E1650 I1649:I1650 M1649:M1650 E1857 I1857 M1857 E1879 I1879 M1879 E611 I611 M611 E895 I895 M895 E1250 I1250 M1250">
    <cfRule type="cellIs" dxfId="1573" priority="2084" stopIfTrue="1" operator="equal">
      <formula>0</formula>
    </cfRule>
  </conditionalFormatting>
  <conditionalFormatting sqref="E196:E197 I196:I197 M196:M197 E674:E675 I674:I675 M674:M675 E799:E802 I799:I802 M799:M802 E861 I861 M861 E1239:E1240 I1239:I1240 M1239:M1240 E1371 I1371 M1371 E1507 I1507 M1507 E1537 I1537 M1537 E1649:E1650 I1649:I1650 M1649:M1650 E1857 I1857 M1857 E1879 I1879 M1879">
    <cfRule type="cellIs" dxfId="1572" priority="2083" stopIfTrue="1" operator="lessThan">
      <formula>0</formula>
    </cfRule>
  </conditionalFormatting>
  <conditionalFormatting sqref="E202:E203 I202:I203 M202:M203">
    <cfRule type="cellIs" dxfId="1571" priority="305" stopIfTrue="1" operator="equal">
      <formula>0</formula>
    </cfRule>
  </conditionalFormatting>
  <conditionalFormatting sqref="E202:E203">
    <cfRule type="cellIs" dxfId="1570" priority="306" stopIfTrue="1" operator="greaterThan">
      <formula>0</formula>
    </cfRule>
  </conditionalFormatting>
  <conditionalFormatting sqref="E215:E216">
    <cfRule type="cellIs" dxfId="1569" priority="1885" stopIfTrue="1" operator="lessThan">
      <formula>0</formula>
    </cfRule>
    <cfRule type="cellIs" dxfId="1568" priority="1886" stopIfTrue="1" operator="equal">
      <formula>0</formula>
    </cfRule>
    <cfRule type="cellIs" dxfId="1567" priority="1887" stopIfTrue="1" operator="greaterThan">
      <formula>0</formula>
    </cfRule>
  </conditionalFormatting>
  <conditionalFormatting sqref="E228:E229 I228:I229 M228:M229">
    <cfRule type="cellIs" dxfId="1566" priority="1879" stopIfTrue="1" operator="lessThan">
      <formula>0</formula>
    </cfRule>
    <cfRule type="cellIs" dxfId="1565" priority="1880" stopIfTrue="1" operator="equal">
      <formula>0</formula>
    </cfRule>
    <cfRule type="cellIs" dxfId="1564" priority="1881" stopIfTrue="1" operator="greaterThan">
      <formula>0</formula>
    </cfRule>
  </conditionalFormatting>
  <conditionalFormatting sqref="E231:E232">
    <cfRule type="cellIs" dxfId="1563" priority="1867" stopIfTrue="1" operator="lessThan">
      <formula>0</formula>
    </cfRule>
    <cfRule type="cellIs" dxfId="1562" priority="1868" stopIfTrue="1" operator="equal">
      <formula>0</formula>
    </cfRule>
    <cfRule type="cellIs" dxfId="1561" priority="1869" stopIfTrue="1" operator="greaterThan">
      <formula>0</formula>
    </cfRule>
  </conditionalFormatting>
  <conditionalFormatting sqref="E234:E236">
    <cfRule type="cellIs" dxfId="1560" priority="295" stopIfTrue="1" operator="lessThan">
      <formula>0</formula>
    </cfRule>
    <cfRule type="cellIs" dxfId="1559" priority="296" stopIfTrue="1" operator="equal">
      <formula>0</formula>
    </cfRule>
    <cfRule type="cellIs" dxfId="1558" priority="297" stopIfTrue="1" operator="greaterThan">
      <formula>0</formula>
    </cfRule>
  </conditionalFormatting>
  <conditionalFormatting sqref="E246:E247 I246:I247 M246:M247">
    <cfRule type="cellIs" dxfId="1557" priority="1858" stopIfTrue="1" operator="lessThan">
      <formula>0</formula>
    </cfRule>
    <cfRule type="cellIs" dxfId="1556" priority="1859" stopIfTrue="1" operator="equal">
      <formula>0</formula>
    </cfRule>
    <cfRule type="cellIs" dxfId="1555" priority="1860" stopIfTrue="1" operator="greaterThan">
      <formula>0</formula>
    </cfRule>
  </conditionalFormatting>
  <conditionalFormatting sqref="E249:E251">
    <cfRule type="cellIs" dxfId="1554" priority="1846" stopIfTrue="1" operator="lessThan">
      <formula>0</formula>
    </cfRule>
    <cfRule type="cellIs" dxfId="1553" priority="1847" stopIfTrue="1" operator="equal">
      <formula>0</formula>
    </cfRule>
    <cfRule type="cellIs" dxfId="1552" priority="1848" stopIfTrue="1" operator="greaterThan">
      <formula>0</formula>
    </cfRule>
  </conditionalFormatting>
  <conditionalFormatting sqref="E253:E254">
    <cfRule type="cellIs" dxfId="1551" priority="1855" stopIfTrue="1" operator="lessThan">
      <formula>0</formula>
    </cfRule>
    <cfRule type="cellIs" dxfId="1550" priority="1856" stopIfTrue="1" operator="equal">
      <formula>0</formula>
    </cfRule>
    <cfRule type="cellIs" dxfId="1549" priority="1857" stopIfTrue="1" operator="greaterThan">
      <formula>0</formula>
    </cfRule>
  </conditionalFormatting>
  <conditionalFormatting sqref="E264:E265 I264:I265 M264:M265">
    <cfRule type="cellIs" dxfId="1548" priority="1837" stopIfTrue="1" operator="lessThan">
      <formula>0</formula>
    </cfRule>
    <cfRule type="cellIs" dxfId="1547" priority="1838" stopIfTrue="1" operator="equal">
      <formula>0</formula>
    </cfRule>
    <cfRule type="cellIs" dxfId="1546" priority="1839" stopIfTrue="1" operator="greaterThan">
      <formula>0</formula>
    </cfRule>
  </conditionalFormatting>
  <conditionalFormatting sqref="E267:E268">
    <cfRule type="cellIs" dxfId="1545" priority="1825" stopIfTrue="1" operator="lessThan">
      <formula>0</formula>
    </cfRule>
    <cfRule type="cellIs" dxfId="1544" priority="1826" stopIfTrue="1" operator="equal">
      <formula>0</formula>
    </cfRule>
    <cfRule type="cellIs" dxfId="1543" priority="1827" stopIfTrue="1" operator="greaterThan">
      <formula>0</formula>
    </cfRule>
  </conditionalFormatting>
  <conditionalFormatting sqref="E282:E283 I282:I283 M282:M283">
    <cfRule type="cellIs" dxfId="1542" priority="1816" stopIfTrue="1" operator="lessThan">
      <formula>0</formula>
    </cfRule>
    <cfRule type="cellIs" dxfId="1541" priority="1817" stopIfTrue="1" operator="equal">
      <formula>0</formula>
    </cfRule>
    <cfRule type="cellIs" dxfId="1540" priority="1818" stopIfTrue="1" operator="greaterThan">
      <formula>0</formula>
    </cfRule>
  </conditionalFormatting>
  <conditionalFormatting sqref="E285:E286">
    <cfRule type="cellIs" dxfId="1539" priority="1804" stopIfTrue="1" operator="lessThan">
      <formula>0</formula>
    </cfRule>
    <cfRule type="cellIs" dxfId="1538" priority="1805" stopIfTrue="1" operator="equal">
      <formula>0</formula>
    </cfRule>
    <cfRule type="cellIs" dxfId="1537" priority="1806" stopIfTrue="1" operator="greaterThan">
      <formula>0</formula>
    </cfRule>
  </conditionalFormatting>
  <conditionalFormatting sqref="E288:E290">
    <cfRule type="cellIs" dxfId="1536" priority="268" stopIfTrue="1" operator="lessThan">
      <formula>0</formula>
    </cfRule>
    <cfRule type="cellIs" dxfId="1535" priority="269" stopIfTrue="1" operator="equal">
      <formula>0</formula>
    </cfRule>
    <cfRule type="cellIs" dxfId="1534" priority="270" stopIfTrue="1" operator="greaterThan">
      <formula>0</formula>
    </cfRule>
  </conditionalFormatting>
  <conditionalFormatting sqref="E302:E303">
    <cfRule type="cellIs" dxfId="1533" priority="1777" stopIfTrue="1" operator="lessThan">
      <formula>0</formula>
    </cfRule>
    <cfRule type="cellIs" dxfId="1532" priority="1778" stopIfTrue="1" operator="equal">
      <formula>0</formula>
    </cfRule>
    <cfRule type="cellIs" dxfId="1531" priority="1779" stopIfTrue="1" operator="greaterThan">
      <formula>0</formula>
    </cfRule>
  </conditionalFormatting>
  <conditionalFormatting sqref="E305:E306">
    <cfRule type="cellIs" dxfId="1530" priority="1786" stopIfTrue="1" operator="lessThan">
      <formula>0</formula>
    </cfRule>
    <cfRule type="cellIs" dxfId="1529" priority="1787" stopIfTrue="1" operator="equal">
      <formula>0</formula>
    </cfRule>
    <cfRule type="cellIs" dxfId="1528" priority="1788" stopIfTrue="1" operator="greaterThan">
      <formula>0</formula>
    </cfRule>
  </conditionalFormatting>
  <conditionalFormatting sqref="E308:E309">
    <cfRule type="cellIs" dxfId="1527" priority="1795" stopIfTrue="1" operator="lessThan">
      <formula>0</formula>
    </cfRule>
    <cfRule type="cellIs" dxfId="1526" priority="1796" stopIfTrue="1" operator="equal">
      <formula>0</formula>
    </cfRule>
    <cfRule type="cellIs" dxfId="1525" priority="1797" stopIfTrue="1" operator="greaterThan">
      <formula>0</formula>
    </cfRule>
  </conditionalFormatting>
  <conditionalFormatting sqref="E319:E320">
    <cfRule type="cellIs" dxfId="1524" priority="1750" stopIfTrue="1" operator="lessThan">
      <formula>0</formula>
    </cfRule>
    <cfRule type="cellIs" dxfId="1523" priority="1751" stopIfTrue="1" operator="equal">
      <formula>0</formula>
    </cfRule>
    <cfRule type="cellIs" dxfId="1522" priority="1752" stopIfTrue="1" operator="greaterThan">
      <formula>0</formula>
    </cfRule>
  </conditionalFormatting>
  <conditionalFormatting sqref="E322:E323">
    <cfRule type="cellIs" dxfId="1521" priority="1759" stopIfTrue="1" operator="lessThan">
      <formula>0</formula>
    </cfRule>
    <cfRule type="cellIs" dxfId="1520" priority="1760" stopIfTrue="1" operator="equal">
      <formula>0</formula>
    </cfRule>
    <cfRule type="cellIs" dxfId="1519" priority="1761" stopIfTrue="1" operator="greaterThan">
      <formula>0</formula>
    </cfRule>
  </conditionalFormatting>
  <conditionalFormatting sqref="E325:E326">
    <cfRule type="cellIs" dxfId="1518" priority="1768" stopIfTrue="1" operator="lessThan">
      <formula>0</formula>
    </cfRule>
    <cfRule type="cellIs" dxfId="1517" priority="1769" stopIfTrue="1" operator="equal">
      <formula>0</formula>
    </cfRule>
    <cfRule type="cellIs" dxfId="1516" priority="1770" stopIfTrue="1" operator="greaterThan">
      <formula>0</formula>
    </cfRule>
  </conditionalFormatting>
  <conditionalFormatting sqref="E336:E337">
    <cfRule type="cellIs" dxfId="1515" priority="1723" stopIfTrue="1" operator="lessThan">
      <formula>0</formula>
    </cfRule>
    <cfRule type="cellIs" dxfId="1514" priority="1724" stopIfTrue="1" operator="equal">
      <formula>0</formula>
    </cfRule>
    <cfRule type="cellIs" dxfId="1513" priority="1725" stopIfTrue="1" operator="greaterThan">
      <formula>0</formula>
    </cfRule>
  </conditionalFormatting>
  <conditionalFormatting sqref="E339:E340">
    <cfRule type="cellIs" dxfId="1512" priority="1732" stopIfTrue="1" operator="lessThan">
      <formula>0</formula>
    </cfRule>
    <cfRule type="cellIs" dxfId="1511" priority="1733" stopIfTrue="1" operator="equal">
      <formula>0</formula>
    </cfRule>
    <cfRule type="cellIs" dxfId="1510" priority="1734" stopIfTrue="1" operator="greaterThan">
      <formula>0</formula>
    </cfRule>
  </conditionalFormatting>
  <conditionalFormatting sqref="E342:E343">
    <cfRule type="cellIs" dxfId="1509" priority="1741" stopIfTrue="1" operator="lessThan">
      <formula>0</formula>
    </cfRule>
    <cfRule type="cellIs" dxfId="1508" priority="1742" stopIfTrue="1" operator="equal">
      <formula>0</formula>
    </cfRule>
    <cfRule type="cellIs" dxfId="1507" priority="1743" stopIfTrue="1" operator="greaterThan">
      <formula>0</formula>
    </cfRule>
  </conditionalFormatting>
  <conditionalFormatting sqref="E353:E354">
    <cfRule type="cellIs" dxfId="1506" priority="1696" stopIfTrue="1" operator="lessThan">
      <formula>0</formula>
    </cfRule>
    <cfRule type="cellIs" dxfId="1505" priority="1697" stopIfTrue="1" operator="equal">
      <formula>0</formula>
    </cfRule>
    <cfRule type="cellIs" dxfId="1504" priority="1698" stopIfTrue="1" operator="greaterThan">
      <formula>0</formula>
    </cfRule>
  </conditionalFormatting>
  <conditionalFormatting sqref="E356:E357">
    <cfRule type="cellIs" dxfId="1503" priority="1705" stopIfTrue="1" operator="lessThan">
      <formula>0</formula>
    </cfRule>
    <cfRule type="cellIs" dxfId="1502" priority="1706" stopIfTrue="1" operator="equal">
      <formula>0</formula>
    </cfRule>
    <cfRule type="cellIs" dxfId="1501" priority="1707" stopIfTrue="1" operator="greaterThan">
      <formula>0</formula>
    </cfRule>
  </conditionalFormatting>
  <conditionalFormatting sqref="E373:E374">
    <cfRule type="cellIs" dxfId="1500" priority="1678" stopIfTrue="1" operator="lessThan">
      <formula>0</formula>
    </cfRule>
    <cfRule type="cellIs" dxfId="1499" priority="1679" stopIfTrue="1" operator="equal">
      <formula>0</formula>
    </cfRule>
    <cfRule type="cellIs" dxfId="1498" priority="1680" stopIfTrue="1" operator="greaterThan">
      <formula>0</formula>
    </cfRule>
  </conditionalFormatting>
  <conditionalFormatting sqref="E376:E377">
    <cfRule type="cellIs" dxfId="1497" priority="1687" stopIfTrue="1" operator="lessThan">
      <formula>0</formula>
    </cfRule>
    <cfRule type="cellIs" dxfId="1496" priority="1688" stopIfTrue="1" operator="equal">
      <formula>0</formula>
    </cfRule>
    <cfRule type="cellIs" dxfId="1495" priority="1689" stopIfTrue="1" operator="greaterThan">
      <formula>0</formula>
    </cfRule>
  </conditionalFormatting>
  <conditionalFormatting sqref="E392:E393">
    <cfRule type="cellIs" dxfId="1494" priority="1651" stopIfTrue="1" operator="lessThan">
      <formula>0</formula>
    </cfRule>
    <cfRule type="cellIs" dxfId="1493" priority="1652" stopIfTrue="1" operator="equal">
      <formula>0</formula>
    </cfRule>
    <cfRule type="cellIs" dxfId="1492" priority="1653" stopIfTrue="1" operator="greaterThan">
      <formula>0</formula>
    </cfRule>
  </conditionalFormatting>
  <conditionalFormatting sqref="E395:E396">
    <cfRule type="cellIs" dxfId="1491" priority="1660" stopIfTrue="1" operator="lessThan">
      <formula>0</formula>
    </cfRule>
    <cfRule type="cellIs" dxfId="1490" priority="1661" stopIfTrue="1" operator="equal">
      <formula>0</formula>
    </cfRule>
    <cfRule type="cellIs" dxfId="1489" priority="1662" stopIfTrue="1" operator="greaterThan">
      <formula>0</formula>
    </cfRule>
  </conditionalFormatting>
  <conditionalFormatting sqref="E414:E415">
    <cfRule type="cellIs" dxfId="1488" priority="1624" stopIfTrue="1" operator="lessThan">
      <formula>0</formula>
    </cfRule>
    <cfRule type="cellIs" dxfId="1487" priority="1625" stopIfTrue="1" operator="equal">
      <formula>0</formula>
    </cfRule>
    <cfRule type="cellIs" dxfId="1486" priority="1626" stopIfTrue="1" operator="greaterThan">
      <formula>0</formula>
    </cfRule>
  </conditionalFormatting>
  <conditionalFormatting sqref="E417:E418">
    <cfRule type="cellIs" dxfId="1485" priority="1639" stopIfTrue="1" operator="lessThan">
      <formula>0</formula>
    </cfRule>
    <cfRule type="cellIs" dxfId="1484" priority="1640" stopIfTrue="1" operator="equal">
      <formula>0</formula>
    </cfRule>
    <cfRule type="cellIs" dxfId="1483" priority="1641" stopIfTrue="1" operator="greaterThan">
      <formula>0</formula>
    </cfRule>
  </conditionalFormatting>
  <conditionalFormatting sqref="E428:E429">
    <cfRule type="cellIs" dxfId="1482" priority="1615" stopIfTrue="1" operator="lessThan">
      <formula>0</formula>
    </cfRule>
    <cfRule type="cellIs" dxfId="1481" priority="1616" stopIfTrue="1" operator="equal">
      <formula>0</formula>
    </cfRule>
    <cfRule type="cellIs" dxfId="1480" priority="1617" stopIfTrue="1" operator="greaterThan">
      <formula>0</formula>
    </cfRule>
  </conditionalFormatting>
  <conditionalFormatting sqref="E431:E432">
    <cfRule type="cellIs" dxfId="1479" priority="1597" stopIfTrue="1" operator="lessThan">
      <formula>0</formula>
    </cfRule>
    <cfRule type="cellIs" dxfId="1478" priority="1598" stopIfTrue="1" operator="equal">
      <formula>0</formula>
    </cfRule>
    <cfRule type="cellIs" dxfId="1477" priority="1599" stopIfTrue="1" operator="greaterThan">
      <formula>0</formula>
    </cfRule>
  </conditionalFormatting>
  <conditionalFormatting sqref="E434:E435">
    <cfRule type="cellIs" dxfId="1476" priority="1612" stopIfTrue="1" operator="lessThan">
      <formula>0</formula>
    </cfRule>
    <cfRule type="cellIs" dxfId="1475" priority="1613" stopIfTrue="1" operator="equal">
      <formula>0</formula>
    </cfRule>
    <cfRule type="cellIs" dxfId="1474" priority="1614" stopIfTrue="1" operator="greaterThan">
      <formula>0</formula>
    </cfRule>
  </conditionalFormatting>
  <conditionalFormatting sqref="E452:E453">
    <cfRule type="cellIs" dxfId="1473" priority="1579" stopIfTrue="1" operator="lessThan">
      <formula>0</formula>
    </cfRule>
    <cfRule type="cellIs" dxfId="1472" priority="1580" stopIfTrue="1" operator="equal">
      <formula>0</formula>
    </cfRule>
    <cfRule type="cellIs" dxfId="1471" priority="1581" stopIfTrue="1" operator="greaterThan">
      <formula>0</formula>
    </cfRule>
  </conditionalFormatting>
  <conditionalFormatting sqref="E474:E475">
    <cfRule type="cellIs" dxfId="1470" priority="1552" stopIfTrue="1" operator="lessThan">
      <formula>0</formula>
    </cfRule>
    <cfRule type="cellIs" dxfId="1469" priority="1553" stopIfTrue="1" operator="equal">
      <formula>0</formula>
    </cfRule>
    <cfRule type="cellIs" dxfId="1468" priority="1554" stopIfTrue="1" operator="greaterThan">
      <formula>0</formula>
    </cfRule>
  </conditionalFormatting>
  <conditionalFormatting sqref="E477:E479">
    <cfRule type="cellIs" dxfId="1467" priority="1567" stopIfTrue="1" operator="lessThan">
      <formula>0</formula>
    </cfRule>
    <cfRule type="cellIs" dxfId="1466" priority="1568" stopIfTrue="1" operator="equal">
      <formula>0</formula>
    </cfRule>
    <cfRule type="cellIs" dxfId="1465" priority="1569" stopIfTrue="1" operator="greaterThan">
      <formula>0</formula>
    </cfRule>
  </conditionalFormatting>
  <conditionalFormatting sqref="E496:E497">
    <cfRule type="cellIs" dxfId="1464" priority="1525" stopIfTrue="1" operator="lessThan">
      <formula>0</formula>
    </cfRule>
    <cfRule type="cellIs" dxfId="1463" priority="1526" stopIfTrue="1" operator="equal">
      <formula>0</formula>
    </cfRule>
    <cfRule type="cellIs" dxfId="1462" priority="1527" stopIfTrue="1" operator="greaterThan">
      <formula>0</formula>
    </cfRule>
  </conditionalFormatting>
  <conditionalFormatting sqref="E499:E500">
    <cfRule type="cellIs" dxfId="1461" priority="1540" stopIfTrue="1" operator="lessThan">
      <formula>0</formula>
    </cfRule>
    <cfRule type="cellIs" dxfId="1460" priority="1541" stopIfTrue="1" operator="equal">
      <formula>0</formula>
    </cfRule>
    <cfRule type="cellIs" dxfId="1459" priority="1542" stopIfTrue="1" operator="greaterThan">
      <formula>0</formula>
    </cfRule>
  </conditionalFormatting>
  <conditionalFormatting sqref="E518:E519">
    <cfRule type="cellIs" dxfId="1458" priority="1498" stopIfTrue="1" operator="lessThan">
      <formula>0</formula>
    </cfRule>
    <cfRule type="cellIs" dxfId="1457" priority="1499" stopIfTrue="1" operator="equal">
      <formula>0</formula>
    </cfRule>
    <cfRule type="cellIs" dxfId="1456" priority="1500" stopIfTrue="1" operator="greaterThan">
      <formula>0</formula>
    </cfRule>
  </conditionalFormatting>
  <conditionalFormatting sqref="E521:E522">
    <cfRule type="cellIs" dxfId="1455" priority="1513" stopIfTrue="1" operator="lessThan">
      <formula>0</formula>
    </cfRule>
    <cfRule type="cellIs" dxfId="1454" priority="1514" stopIfTrue="1" operator="equal">
      <formula>0</formula>
    </cfRule>
    <cfRule type="cellIs" dxfId="1453" priority="1515" stopIfTrue="1" operator="greaterThan">
      <formula>0</formula>
    </cfRule>
  </conditionalFormatting>
  <conditionalFormatting sqref="E532:E533">
    <cfRule type="cellIs" dxfId="1452" priority="575" stopIfTrue="1" operator="lessThan">
      <formula>0</formula>
    </cfRule>
    <cfRule type="cellIs" dxfId="1451" priority="576" stopIfTrue="1" operator="equal">
      <formula>0</formula>
    </cfRule>
    <cfRule type="cellIs" dxfId="1450" priority="577" stopIfTrue="1" operator="greaterThan">
      <formula>0</formula>
    </cfRule>
  </conditionalFormatting>
  <conditionalFormatting sqref="E535:E536">
    <cfRule type="cellIs" dxfId="1449" priority="557" stopIfTrue="1" operator="lessThan">
      <formula>0</formula>
    </cfRule>
    <cfRule type="cellIs" dxfId="1448" priority="558" stopIfTrue="1" operator="equal">
      <formula>0</formula>
    </cfRule>
    <cfRule type="cellIs" dxfId="1447" priority="559" stopIfTrue="1" operator="greaterThan">
      <formula>0</formula>
    </cfRule>
  </conditionalFormatting>
  <conditionalFormatting sqref="E538:E539">
    <cfRule type="cellIs" dxfId="1446" priority="572" stopIfTrue="1" operator="lessThan">
      <formula>0</formula>
    </cfRule>
    <cfRule type="cellIs" dxfId="1445" priority="573" stopIfTrue="1" operator="equal">
      <formula>0</formula>
    </cfRule>
    <cfRule type="cellIs" dxfId="1444" priority="574" stopIfTrue="1" operator="greaterThan">
      <formula>0</formula>
    </cfRule>
  </conditionalFormatting>
  <conditionalFormatting sqref="E558:E559">
    <cfRule type="cellIs" dxfId="1443" priority="1471" stopIfTrue="1" operator="lessThan">
      <formula>0</formula>
    </cfRule>
    <cfRule type="cellIs" dxfId="1442" priority="1472" stopIfTrue="1" operator="equal">
      <formula>0</formula>
    </cfRule>
    <cfRule type="cellIs" dxfId="1441" priority="1473" stopIfTrue="1" operator="greaterThan">
      <formula>0</formula>
    </cfRule>
  </conditionalFormatting>
  <conditionalFormatting sqref="E561:E562">
    <cfRule type="cellIs" dxfId="1440" priority="1486" stopIfTrue="1" operator="lessThan">
      <formula>0</formula>
    </cfRule>
    <cfRule type="cellIs" dxfId="1439" priority="1487" stopIfTrue="1" operator="equal">
      <formula>0</formula>
    </cfRule>
    <cfRule type="cellIs" dxfId="1438" priority="1488" stopIfTrue="1" operator="greaterThan">
      <formula>0</formula>
    </cfRule>
  </conditionalFormatting>
  <conditionalFormatting sqref="E590:E591">
    <cfRule type="cellIs" dxfId="1437" priority="1453" stopIfTrue="1" operator="lessThan">
      <formula>0</formula>
    </cfRule>
    <cfRule type="cellIs" dxfId="1436" priority="1454" stopIfTrue="1" operator="equal">
      <formula>0</formula>
    </cfRule>
    <cfRule type="cellIs" dxfId="1435" priority="1455" stopIfTrue="1" operator="greaterThan">
      <formula>0</formula>
    </cfRule>
  </conditionalFormatting>
  <conditionalFormatting sqref="E610">
    <cfRule type="cellIs" dxfId="1434" priority="549" stopIfTrue="1" operator="equal">
      <formula>0</formula>
    </cfRule>
    <cfRule type="cellIs" dxfId="1433" priority="550" stopIfTrue="1" operator="greaterThan">
      <formula>0</formula>
    </cfRule>
  </conditionalFormatting>
  <conditionalFormatting sqref="E610:E611 M610:M611 I610:I611 E895 I895 M895 E1250 I1250 M1250">
    <cfRule type="cellIs" dxfId="1432" priority="2050" stopIfTrue="1" operator="lessThan">
      <formula>0</formula>
    </cfRule>
  </conditionalFormatting>
  <conditionalFormatting sqref="E613:E614">
    <cfRule type="cellIs" dxfId="1431" priority="535" stopIfTrue="1" operator="lessThan">
      <formula>0</formula>
    </cfRule>
    <cfRule type="cellIs" dxfId="1430" priority="536" stopIfTrue="1" operator="equal">
      <formula>0</formula>
    </cfRule>
    <cfRule type="cellIs" dxfId="1429" priority="537" stopIfTrue="1" operator="greaterThan">
      <formula>0</formula>
    </cfRule>
  </conditionalFormatting>
  <conditionalFormatting sqref="E616:E617">
    <cfRule type="cellIs" dxfId="1428" priority="546" stopIfTrue="1" operator="lessThan">
      <formula>0</formula>
    </cfRule>
    <cfRule type="cellIs" dxfId="1427" priority="547" stopIfTrue="1" operator="equal">
      <formula>0</formula>
    </cfRule>
    <cfRule type="cellIs" dxfId="1426" priority="548" stopIfTrue="1" operator="greaterThan">
      <formula>0</formula>
    </cfRule>
  </conditionalFormatting>
  <conditionalFormatting sqref="E629:E632">
    <cfRule type="cellIs" dxfId="1425" priority="1444" stopIfTrue="1" operator="lessThan">
      <formula>0</formula>
    </cfRule>
    <cfRule type="cellIs" dxfId="1424" priority="1445" stopIfTrue="1" operator="equal">
      <formula>0</formula>
    </cfRule>
    <cfRule type="cellIs" dxfId="1423" priority="1446" stopIfTrue="1" operator="greaterThan">
      <formula>0</formula>
    </cfRule>
  </conditionalFormatting>
  <conditionalFormatting sqref="E637:E638">
    <cfRule type="cellIs" dxfId="1422" priority="1441" stopIfTrue="1" operator="lessThan">
      <formula>0</formula>
    </cfRule>
    <cfRule type="cellIs" dxfId="1421" priority="1442" stopIfTrue="1" operator="equal">
      <formula>0</formula>
    </cfRule>
    <cfRule type="cellIs" dxfId="1420" priority="1443" stopIfTrue="1" operator="greaterThan">
      <formula>0</formula>
    </cfRule>
  </conditionalFormatting>
  <conditionalFormatting sqref="E651:E652">
    <cfRule type="cellIs" dxfId="1419" priority="1405" stopIfTrue="1" operator="lessThan">
      <formula>0</formula>
    </cfRule>
    <cfRule type="cellIs" dxfId="1418" priority="1406" stopIfTrue="1" operator="equal">
      <formula>0</formula>
    </cfRule>
    <cfRule type="cellIs" dxfId="1417" priority="1407" stopIfTrue="1" operator="greaterThan">
      <formula>0</formula>
    </cfRule>
  </conditionalFormatting>
  <conditionalFormatting sqref="E671:E672">
    <cfRule type="cellIs" dxfId="1416" priority="1393" stopIfTrue="1" operator="lessThan">
      <formula>0</formula>
    </cfRule>
    <cfRule type="cellIs" dxfId="1415" priority="1394" stopIfTrue="1" operator="equal">
      <formula>0</formula>
    </cfRule>
    <cfRule type="cellIs" dxfId="1414" priority="1395" stopIfTrue="1" operator="greaterThan">
      <formula>0</formula>
    </cfRule>
  </conditionalFormatting>
  <conditionalFormatting sqref="E709:E711 M709:M711">
    <cfRule type="cellIs" dxfId="1413" priority="1376" stopIfTrue="1" operator="equal">
      <formula>0</formula>
    </cfRule>
    <cfRule type="cellIs" dxfId="1412" priority="1377" stopIfTrue="1" operator="greaterThan">
      <formula>0</formula>
    </cfRule>
  </conditionalFormatting>
  <conditionalFormatting sqref="E711:E714 M711:M714 E813:E821 I813:I821 M813:M821 I735:I738 E9:E10 E36 I36 M36 E685:E691 I685:I691 M685:M691 I709:I714 E1068:E1070 I1068:I1070 M1068:M1070 E2166:E2173 I2166:I2173 M2166:M2173 E2189:E2200 I2189:I2200 M2189:M2200 E2219:E2250 I2219:I2250 M2219:M2250">
    <cfRule type="cellIs" dxfId="1411" priority="2051" stopIfTrue="1" operator="equal">
      <formula>0</formula>
    </cfRule>
  </conditionalFormatting>
  <conditionalFormatting sqref="E732:E738 M732:M738 E15:E16 E696:E699 I696:I699 M696:M699 E740:E741 I740:I741 M740:M741 E863:E864 I863:I864 M863:M864 E884:E885 I884:I885 M884:M885">
    <cfRule type="cellIs" dxfId="1410" priority="2080" stopIfTrue="1" operator="lessThan">
      <formula>0</formula>
    </cfRule>
  </conditionalFormatting>
  <conditionalFormatting sqref="E757:E768 M757:M768">
    <cfRule type="cellIs" dxfId="1409" priority="1354" stopIfTrue="1" operator="lessThan">
      <formula>0</formula>
    </cfRule>
    <cfRule type="cellIs" dxfId="1408" priority="1355" stopIfTrue="1" operator="equal">
      <formula>0</formula>
    </cfRule>
    <cfRule type="cellIs" dxfId="1407" priority="1356" stopIfTrue="1" operator="greaterThan">
      <formula>0</formula>
    </cfRule>
  </conditionalFormatting>
  <conditionalFormatting sqref="E770:E771">
    <cfRule type="cellIs" dxfId="1406" priority="1351" stopIfTrue="1" operator="lessThan">
      <formula>0</formula>
    </cfRule>
    <cfRule type="cellIs" dxfId="1405" priority="1352" stopIfTrue="1" operator="equal">
      <formula>0</formula>
    </cfRule>
    <cfRule type="cellIs" dxfId="1404" priority="1353" stopIfTrue="1" operator="greaterThan">
      <formula>0</formula>
    </cfRule>
  </conditionalFormatting>
  <conditionalFormatting sqref="E773:E777 I773:I777 M773:M777">
    <cfRule type="cellIs" dxfId="1403" priority="1357" stopIfTrue="1" operator="lessThan">
      <formula>0</formula>
    </cfRule>
    <cfRule type="cellIs" dxfId="1402" priority="1358" stopIfTrue="1" operator="equal">
      <formula>0</formula>
    </cfRule>
    <cfRule type="cellIs" dxfId="1401" priority="1359" stopIfTrue="1" operator="greaterThan">
      <formula>0</formula>
    </cfRule>
  </conditionalFormatting>
  <conditionalFormatting sqref="E787:E794 M787:M794">
    <cfRule type="cellIs" dxfId="1400" priority="1345" stopIfTrue="1" operator="lessThan">
      <formula>0</formula>
    </cfRule>
    <cfRule type="cellIs" dxfId="1399" priority="1346" stopIfTrue="1" operator="equal">
      <formula>0</formula>
    </cfRule>
    <cfRule type="cellIs" dxfId="1398" priority="1347" stopIfTrue="1" operator="greaterThan">
      <formula>0</formula>
    </cfRule>
  </conditionalFormatting>
  <conditionalFormatting sqref="E796:E797">
    <cfRule type="cellIs" dxfId="1397" priority="1342" stopIfTrue="1" operator="lessThan">
      <formula>0</formula>
    </cfRule>
    <cfRule type="cellIs" dxfId="1396" priority="1343" stopIfTrue="1" operator="equal">
      <formula>0</formula>
    </cfRule>
    <cfRule type="cellIs" dxfId="1395" priority="1344" stopIfTrue="1" operator="greaterThan">
      <formula>0</formula>
    </cfRule>
  </conditionalFormatting>
  <conditionalFormatting sqref="E812:E814 I812:I814 M812:M814">
    <cfRule type="cellIs" dxfId="1394" priority="1334" stopIfTrue="1" operator="equal">
      <formula>0</formula>
    </cfRule>
    <cfRule type="cellIs" dxfId="1393" priority="1335" stopIfTrue="1" operator="greaterThan">
      <formula>0</formula>
    </cfRule>
  </conditionalFormatting>
  <conditionalFormatting sqref="E823:E824">
    <cfRule type="cellIs" dxfId="1392" priority="1331" stopIfTrue="1" operator="lessThan">
      <formula>0</formula>
    </cfRule>
    <cfRule type="cellIs" dxfId="1391" priority="1332" stopIfTrue="1" operator="equal">
      <formula>0</formula>
    </cfRule>
    <cfRule type="cellIs" dxfId="1390" priority="1333" stopIfTrue="1" operator="greaterThan">
      <formula>0</formula>
    </cfRule>
  </conditionalFormatting>
  <conditionalFormatting sqref="E826:E829 I826:I829 M826:M829">
    <cfRule type="cellIs" dxfId="1389" priority="1336" stopIfTrue="1" operator="lessThan">
      <formula>0</formula>
    </cfRule>
    <cfRule type="cellIs" dxfId="1388" priority="1337" stopIfTrue="1" operator="equal">
      <formula>0</formula>
    </cfRule>
    <cfRule type="cellIs" dxfId="1387" priority="1338" stopIfTrue="1" operator="greaterThan">
      <formula>0</formula>
    </cfRule>
  </conditionalFormatting>
  <conditionalFormatting sqref="E846:E847">
    <cfRule type="cellIs" dxfId="1386" priority="1316" stopIfTrue="1" operator="lessThan">
      <formula>0</formula>
    </cfRule>
    <cfRule type="cellIs" dxfId="1385" priority="1317" stopIfTrue="1" operator="equal">
      <formula>0</formula>
    </cfRule>
    <cfRule type="cellIs" dxfId="1384" priority="1318" stopIfTrue="1" operator="greaterThan">
      <formula>0</formula>
    </cfRule>
  </conditionalFormatting>
  <conditionalFormatting sqref="E849:E851 I849:I851 M849:M851">
    <cfRule type="cellIs" dxfId="1383" priority="1322" stopIfTrue="1" operator="lessThan">
      <formula>0</formula>
    </cfRule>
    <cfRule type="cellIs" dxfId="1382" priority="1323" stopIfTrue="1" operator="equal">
      <formula>0</formula>
    </cfRule>
    <cfRule type="cellIs" dxfId="1381" priority="1324" stopIfTrue="1" operator="greaterThan">
      <formula>0</formula>
    </cfRule>
  </conditionalFormatting>
  <conditionalFormatting sqref="E866 I866 M866">
    <cfRule type="cellIs" dxfId="1380" priority="259" stopIfTrue="1" operator="lessThan">
      <formula>0</formula>
    </cfRule>
    <cfRule type="cellIs" dxfId="1379" priority="260" stopIfTrue="1" operator="equal">
      <formula>0</formula>
    </cfRule>
    <cfRule type="cellIs" dxfId="1378" priority="261" stopIfTrue="1" operator="greaterThan">
      <formula>0</formula>
    </cfRule>
  </conditionalFormatting>
  <conditionalFormatting sqref="E876:E879 I876:I879 M876:M879">
    <cfRule type="cellIs" dxfId="1377" priority="187" stopIfTrue="1" operator="lessThan">
      <formula>0</formula>
    </cfRule>
    <cfRule type="cellIs" dxfId="1376" priority="188" stopIfTrue="1" operator="equal">
      <formula>0</formula>
    </cfRule>
    <cfRule type="cellIs" dxfId="1375" priority="189" stopIfTrue="1" operator="greaterThan">
      <formula>0</formula>
    </cfRule>
  </conditionalFormatting>
  <conditionalFormatting sqref="E881:E882">
    <cfRule type="cellIs" dxfId="1374" priority="493" stopIfTrue="1" operator="lessThan">
      <formula>0</formula>
    </cfRule>
    <cfRule type="cellIs" dxfId="1373" priority="494" stopIfTrue="1" operator="equal">
      <formula>0</formula>
    </cfRule>
    <cfRule type="cellIs" dxfId="1372" priority="495" stopIfTrue="1" operator="greaterThan">
      <formula>0</formula>
    </cfRule>
  </conditionalFormatting>
  <conditionalFormatting sqref="E897:E898">
    <cfRule type="cellIs" dxfId="1371" priority="481" stopIfTrue="1" operator="lessThan">
      <formula>0</formula>
    </cfRule>
    <cfRule type="cellIs" dxfId="1370" priority="482" stopIfTrue="1" operator="equal">
      <formula>0</formula>
    </cfRule>
    <cfRule type="cellIs" dxfId="1369" priority="483" stopIfTrue="1" operator="greaterThan">
      <formula>0</formula>
    </cfRule>
  </conditionalFormatting>
  <conditionalFormatting sqref="E900:E901 I900:I901 M900:M901">
    <cfRule type="cellIs" dxfId="1368" priority="484" stopIfTrue="1" operator="lessThan">
      <formula>0</formula>
    </cfRule>
    <cfRule type="cellIs" dxfId="1367" priority="485" stopIfTrue="1" operator="equal">
      <formula>0</formula>
    </cfRule>
    <cfRule type="cellIs" dxfId="1366" priority="486" stopIfTrue="1" operator="greaterThan">
      <formula>0</formula>
    </cfRule>
  </conditionalFormatting>
  <conditionalFormatting sqref="E913:E914">
    <cfRule type="cellIs" dxfId="1365" priority="1280" stopIfTrue="1" operator="lessThan">
      <formula>0</formula>
    </cfRule>
    <cfRule type="cellIs" dxfId="1364" priority="1281" stopIfTrue="1" operator="equal">
      <formula>0</formula>
    </cfRule>
    <cfRule type="cellIs" dxfId="1363" priority="1282" stopIfTrue="1" operator="greaterThan">
      <formula>0</formula>
    </cfRule>
  </conditionalFormatting>
  <conditionalFormatting sqref="E916:E917">
    <cfRule type="cellIs" dxfId="1362" priority="1289" stopIfTrue="1" operator="lessThan">
      <formula>0</formula>
    </cfRule>
    <cfRule type="cellIs" dxfId="1361" priority="1290" stopIfTrue="1" operator="equal">
      <formula>0</formula>
    </cfRule>
    <cfRule type="cellIs" dxfId="1360" priority="1291" stopIfTrue="1" operator="greaterThan">
      <formula>0</formula>
    </cfRule>
  </conditionalFormatting>
  <conditionalFormatting sqref="E919:E920">
    <cfRule type="cellIs" dxfId="1359" priority="1298" stopIfTrue="1" operator="lessThan">
      <formula>0</formula>
    </cfRule>
    <cfRule type="cellIs" dxfId="1358" priority="1299" stopIfTrue="1" operator="equal">
      <formula>0</formula>
    </cfRule>
    <cfRule type="cellIs" dxfId="1357" priority="1300" stopIfTrue="1" operator="greaterThan">
      <formula>0</formula>
    </cfRule>
  </conditionalFormatting>
  <conditionalFormatting sqref="E930:E931">
    <cfRule type="cellIs" dxfId="1356" priority="1253" stopIfTrue="1" operator="lessThan">
      <formula>0</formula>
    </cfRule>
    <cfRule type="cellIs" dxfId="1355" priority="1254" stopIfTrue="1" operator="equal">
      <formula>0</formula>
    </cfRule>
    <cfRule type="cellIs" dxfId="1354" priority="1255" stopIfTrue="1" operator="greaterThan">
      <formula>0</formula>
    </cfRule>
  </conditionalFormatting>
  <conditionalFormatting sqref="E933:E934">
    <cfRule type="cellIs" dxfId="1353" priority="1262" stopIfTrue="1" operator="lessThan">
      <formula>0</formula>
    </cfRule>
    <cfRule type="cellIs" dxfId="1352" priority="1263" stopIfTrue="1" operator="equal">
      <formula>0</formula>
    </cfRule>
    <cfRule type="cellIs" dxfId="1351" priority="1264" stopIfTrue="1" operator="greaterThan">
      <formula>0</formula>
    </cfRule>
  </conditionalFormatting>
  <conditionalFormatting sqref="E936:E937">
    <cfRule type="cellIs" dxfId="1350" priority="1271" stopIfTrue="1" operator="lessThan">
      <formula>0</formula>
    </cfRule>
    <cfRule type="cellIs" dxfId="1349" priority="1272" stopIfTrue="1" operator="equal">
      <formula>0</formula>
    </cfRule>
    <cfRule type="cellIs" dxfId="1348" priority="1273" stopIfTrue="1" operator="greaterThan">
      <formula>0</formula>
    </cfRule>
  </conditionalFormatting>
  <conditionalFormatting sqref="E949:E950">
    <cfRule type="cellIs" dxfId="1347" priority="1235" stopIfTrue="1" operator="lessThan">
      <formula>0</formula>
    </cfRule>
    <cfRule type="cellIs" dxfId="1346" priority="1236" stopIfTrue="1" operator="equal">
      <formula>0</formula>
    </cfRule>
    <cfRule type="cellIs" dxfId="1345" priority="1237" stopIfTrue="1" operator="greaterThan">
      <formula>0</formula>
    </cfRule>
  </conditionalFormatting>
  <conditionalFormatting sqref="E952:E953">
    <cfRule type="cellIs" dxfId="1344" priority="1244" stopIfTrue="1" operator="lessThan">
      <formula>0</formula>
    </cfRule>
    <cfRule type="cellIs" dxfId="1343" priority="1245" stopIfTrue="1" operator="equal">
      <formula>0</formula>
    </cfRule>
    <cfRule type="cellIs" dxfId="1342" priority="1246" stopIfTrue="1" operator="greaterThan">
      <formula>0</formula>
    </cfRule>
  </conditionalFormatting>
  <conditionalFormatting sqref="E963:E964">
    <cfRule type="cellIs" dxfId="1341" priority="457" stopIfTrue="1" operator="lessThan">
      <formula>0</formula>
    </cfRule>
    <cfRule type="cellIs" dxfId="1340" priority="458" stopIfTrue="1" operator="equal">
      <formula>0</formula>
    </cfRule>
    <cfRule type="cellIs" dxfId="1339" priority="459" stopIfTrue="1" operator="greaterThan">
      <formula>0</formula>
    </cfRule>
  </conditionalFormatting>
  <conditionalFormatting sqref="E966:E967">
    <cfRule type="cellIs" dxfId="1338" priority="463" stopIfTrue="1" operator="lessThan">
      <formula>0</formula>
    </cfRule>
    <cfRule type="cellIs" dxfId="1337" priority="464" stopIfTrue="1" operator="equal">
      <formula>0</formula>
    </cfRule>
    <cfRule type="cellIs" dxfId="1336" priority="465" stopIfTrue="1" operator="greaterThan">
      <formula>0</formula>
    </cfRule>
  </conditionalFormatting>
  <conditionalFormatting sqref="E969:E970">
    <cfRule type="cellIs" dxfId="1335" priority="472" stopIfTrue="1" operator="lessThan">
      <formula>0</formula>
    </cfRule>
    <cfRule type="cellIs" dxfId="1334" priority="473" stopIfTrue="1" operator="equal">
      <formula>0</formula>
    </cfRule>
    <cfRule type="cellIs" dxfId="1333" priority="474" stopIfTrue="1" operator="greaterThan">
      <formula>0</formula>
    </cfRule>
  </conditionalFormatting>
  <conditionalFormatting sqref="E980:E981">
    <cfRule type="cellIs" dxfId="1332" priority="1202" stopIfTrue="1" operator="lessThan">
      <formula>0</formula>
    </cfRule>
    <cfRule type="cellIs" dxfId="1331" priority="1203" stopIfTrue="1" operator="equal">
      <formula>0</formula>
    </cfRule>
    <cfRule type="cellIs" dxfId="1330" priority="1204" stopIfTrue="1" operator="greaterThan">
      <formula>0</formula>
    </cfRule>
  </conditionalFormatting>
  <conditionalFormatting sqref="E983:E984">
    <cfRule type="cellIs" dxfId="1329" priority="1208" stopIfTrue="1" operator="lessThan">
      <formula>0</formula>
    </cfRule>
    <cfRule type="cellIs" dxfId="1328" priority="1209" stopIfTrue="1" operator="equal">
      <formula>0</formula>
    </cfRule>
    <cfRule type="cellIs" dxfId="1327" priority="1210" stopIfTrue="1" operator="greaterThan">
      <formula>0</formula>
    </cfRule>
  </conditionalFormatting>
  <conditionalFormatting sqref="E986:E987">
    <cfRule type="cellIs" dxfId="1326" priority="1217" stopIfTrue="1" operator="lessThan">
      <formula>0</formula>
    </cfRule>
    <cfRule type="cellIs" dxfId="1325" priority="1218" stopIfTrue="1" operator="equal">
      <formula>0</formula>
    </cfRule>
    <cfRule type="cellIs" dxfId="1324" priority="1219" stopIfTrue="1" operator="greaterThan">
      <formula>0</formula>
    </cfRule>
  </conditionalFormatting>
  <conditionalFormatting sqref="E997:E998">
    <cfRule type="cellIs" dxfId="1323" priority="1175" stopIfTrue="1" operator="lessThan">
      <formula>0</formula>
    </cfRule>
    <cfRule type="cellIs" dxfId="1322" priority="1176" stopIfTrue="1" operator="equal">
      <formula>0</formula>
    </cfRule>
    <cfRule type="cellIs" dxfId="1321" priority="1177" stopIfTrue="1" operator="greaterThan">
      <formula>0</formula>
    </cfRule>
  </conditionalFormatting>
  <conditionalFormatting sqref="E1000:E1001">
    <cfRule type="cellIs" dxfId="1320" priority="1184" stopIfTrue="1" operator="lessThan">
      <formula>0</formula>
    </cfRule>
    <cfRule type="cellIs" dxfId="1319" priority="1185" stopIfTrue="1" operator="equal">
      <formula>0</formula>
    </cfRule>
    <cfRule type="cellIs" dxfId="1318" priority="1186" stopIfTrue="1" operator="greaterThan">
      <formula>0</formula>
    </cfRule>
  </conditionalFormatting>
  <conditionalFormatting sqref="E1003:E1004">
    <cfRule type="cellIs" dxfId="1317" priority="1193" stopIfTrue="1" operator="lessThan">
      <formula>0</formula>
    </cfRule>
    <cfRule type="cellIs" dxfId="1316" priority="1194" stopIfTrue="1" operator="equal">
      <formula>0</formula>
    </cfRule>
    <cfRule type="cellIs" dxfId="1315" priority="1195" stopIfTrue="1" operator="greaterThan">
      <formula>0</formula>
    </cfRule>
  </conditionalFormatting>
  <conditionalFormatting sqref="E1014:E1015">
    <cfRule type="cellIs" dxfId="1314" priority="1148" stopIfTrue="1" operator="lessThan">
      <formula>0</formula>
    </cfRule>
    <cfRule type="cellIs" dxfId="1313" priority="1149" stopIfTrue="1" operator="equal">
      <formula>0</formula>
    </cfRule>
    <cfRule type="cellIs" dxfId="1312" priority="1150" stopIfTrue="1" operator="greaterThan">
      <formula>0</formula>
    </cfRule>
  </conditionalFormatting>
  <conditionalFormatting sqref="E1017:E1018">
    <cfRule type="cellIs" dxfId="1311" priority="1157" stopIfTrue="1" operator="lessThan">
      <formula>0</formula>
    </cfRule>
    <cfRule type="cellIs" dxfId="1310" priority="1158" stopIfTrue="1" operator="equal">
      <formula>0</formula>
    </cfRule>
    <cfRule type="cellIs" dxfId="1309" priority="1159" stopIfTrue="1" operator="greaterThan">
      <formula>0</formula>
    </cfRule>
  </conditionalFormatting>
  <conditionalFormatting sqref="E1020:E1021">
    <cfRule type="cellIs" dxfId="1308" priority="1166" stopIfTrue="1" operator="lessThan">
      <formula>0</formula>
    </cfRule>
    <cfRule type="cellIs" dxfId="1307" priority="1167" stopIfTrue="1" operator="equal">
      <formula>0</formula>
    </cfRule>
    <cfRule type="cellIs" dxfId="1306" priority="1168" stopIfTrue="1" operator="greaterThan">
      <formula>0</formula>
    </cfRule>
  </conditionalFormatting>
  <conditionalFormatting sqref="E1039:E1040">
    <cfRule type="cellIs" dxfId="1305" priority="1130" stopIfTrue="1" operator="lessThan">
      <formula>0</formula>
    </cfRule>
    <cfRule type="cellIs" dxfId="1304" priority="1131" stopIfTrue="1" operator="equal">
      <formula>0</formula>
    </cfRule>
    <cfRule type="cellIs" dxfId="1303" priority="1132" stopIfTrue="1" operator="greaterThan">
      <formula>0</formula>
    </cfRule>
  </conditionalFormatting>
  <conditionalFormatting sqref="E1042:E1043">
    <cfRule type="cellIs" dxfId="1302" priority="1139" stopIfTrue="1" operator="lessThan">
      <formula>0</formula>
    </cfRule>
    <cfRule type="cellIs" dxfId="1301" priority="1140" stopIfTrue="1" operator="equal">
      <formula>0</formula>
    </cfRule>
    <cfRule type="cellIs" dxfId="1300" priority="1141" stopIfTrue="1" operator="greaterThan">
      <formula>0</formula>
    </cfRule>
  </conditionalFormatting>
  <conditionalFormatting sqref="E1065:E1066">
    <cfRule type="cellIs" dxfId="1299" priority="1103" stopIfTrue="1" operator="lessThan">
      <formula>0</formula>
    </cfRule>
    <cfRule type="cellIs" dxfId="1298" priority="1104" stopIfTrue="1" operator="equal">
      <formula>0</formula>
    </cfRule>
    <cfRule type="cellIs" dxfId="1297" priority="1105" stopIfTrue="1" operator="greaterThan">
      <formula>0</formula>
    </cfRule>
  </conditionalFormatting>
  <conditionalFormatting sqref="E1091:E1092">
    <cfRule type="cellIs" dxfId="1296" priority="1082" stopIfTrue="1" operator="lessThan">
      <formula>0</formula>
    </cfRule>
    <cfRule type="cellIs" dxfId="1295" priority="1083" stopIfTrue="1" operator="equal">
      <formula>0</formula>
    </cfRule>
    <cfRule type="cellIs" dxfId="1294" priority="1084" stopIfTrue="1" operator="greaterThan">
      <formula>0</formula>
    </cfRule>
  </conditionalFormatting>
  <conditionalFormatting sqref="E1115:E1116">
    <cfRule type="cellIs" dxfId="1293" priority="1061" stopIfTrue="1" operator="lessThan">
      <formula>0</formula>
    </cfRule>
    <cfRule type="cellIs" dxfId="1292" priority="1062" stopIfTrue="1" operator="equal">
      <formula>0</formula>
    </cfRule>
    <cfRule type="cellIs" dxfId="1291" priority="1063" stopIfTrue="1" operator="greaterThan">
      <formula>0</formula>
    </cfRule>
  </conditionalFormatting>
  <conditionalFormatting sqref="E1118:E1119 I1118:I1119 M1118:M1119">
    <cfRule type="cellIs" dxfId="1290" priority="1073" stopIfTrue="1" operator="lessThan">
      <formula>0</formula>
    </cfRule>
    <cfRule type="cellIs" dxfId="1289" priority="1074" stopIfTrue="1" operator="equal">
      <formula>0</formula>
    </cfRule>
    <cfRule type="cellIs" dxfId="1288" priority="1075" stopIfTrue="1" operator="greaterThan">
      <formula>0</formula>
    </cfRule>
  </conditionalFormatting>
  <conditionalFormatting sqref="E1157:E1158">
    <cfRule type="cellIs" dxfId="1287" priority="1019" stopIfTrue="1" operator="lessThan">
      <formula>0</formula>
    </cfRule>
    <cfRule type="cellIs" dxfId="1286" priority="1020" stopIfTrue="1" operator="equal">
      <formula>0</formula>
    </cfRule>
    <cfRule type="cellIs" dxfId="1285" priority="1021" stopIfTrue="1" operator="greaterThan">
      <formula>0</formula>
    </cfRule>
  </conditionalFormatting>
  <conditionalFormatting sqref="E1203:E1204">
    <cfRule type="cellIs" dxfId="1284" priority="1040" stopIfTrue="1" operator="lessThan">
      <formula>0</formula>
    </cfRule>
    <cfRule type="cellIs" dxfId="1283" priority="1041" stopIfTrue="1" operator="equal">
      <formula>0</formula>
    </cfRule>
    <cfRule type="cellIs" dxfId="1282" priority="1042" stopIfTrue="1" operator="greaterThan">
      <formula>0</formula>
    </cfRule>
  </conditionalFormatting>
  <conditionalFormatting sqref="E1236:E1237">
    <cfRule type="cellIs" dxfId="1281" priority="1001" stopIfTrue="1" operator="lessThan">
      <formula>0</formula>
    </cfRule>
    <cfRule type="cellIs" dxfId="1280" priority="1002" stopIfTrue="1" operator="equal">
      <formula>0</formula>
    </cfRule>
    <cfRule type="cellIs" dxfId="1279" priority="1003" stopIfTrue="1" operator="greaterThan">
      <formula>0</formula>
    </cfRule>
  </conditionalFormatting>
  <conditionalFormatting sqref="E1252:E1253">
    <cfRule type="cellIs" dxfId="1278" priority="439" stopIfTrue="1" operator="lessThan">
      <formula>0</formula>
    </cfRule>
    <cfRule type="cellIs" dxfId="1277" priority="440" stopIfTrue="1" operator="equal">
      <formula>0</formula>
    </cfRule>
    <cfRule type="cellIs" dxfId="1276" priority="441" stopIfTrue="1" operator="greaterThan">
      <formula>0</formula>
    </cfRule>
  </conditionalFormatting>
  <conditionalFormatting sqref="E1255 I1255 M1255">
    <cfRule type="cellIs" dxfId="1275" priority="442" stopIfTrue="1" operator="lessThan">
      <formula>0</formula>
    </cfRule>
    <cfRule type="cellIs" dxfId="1274" priority="443" stopIfTrue="1" operator="equal">
      <formula>0</formula>
    </cfRule>
    <cfRule type="cellIs" dxfId="1273" priority="444" stopIfTrue="1" operator="greaterThan">
      <formula>0</formula>
    </cfRule>
  </conditionalFormatting>
  <conditionalFormatting sqref="E1274:E1275">
    <cfRule type="cellIs" dxfId="1272" priority="980" stopIfTrue="1" operator="lessThan">
      <formula>0</formula>
    </cfRule>
    <cfRule type="cellIs" dxfId="1271" priority="981" stopIfTrue="1" operator="equal">
      <formula>0</formula>
    </cfRule>
    <cfRule type="cellIs" dxfId="1270" priority="982" stopIfTrue="1" operator="greaterThan">
      <formula>0</formula>
    </cfRule>
  </conditionalFormatting>
  <conditionalFormatting sqref="E1277 I1277 M1277">
    <cfRule type="cellIs" dxfId="1269" priority="992" stopIfTrue="1" operator="lessThan">
      <formula>0</formula>
    </cfRule>
    <cfRule type="cellIs" dxfId="1268" priority="993" stopIfTrue="1" operator="equal">
      <formula>0</formula>
    </cfRule>
    <cfRule type="cellIs" dxfId="1267" priority="994" stopIfTrue="1" operator="greaterThan">
      <formula>0</formula>
    </cfRule>
  </conditionalFormatting>
  <conditionalFormatting sqref="E1287:E1293">
    <cfRule type="cellIs" dxfId="1266" priority="968" stopIfTrue="1" operator="lessThan">
      <formula>0</formula>
    </cfRule>
    <cfRule type="cellIs" dxfId="1265" priority="969" stopIfTrue="1" operator="equal">
      <formula>0</formula>
    </cfRule>
    <cfRule type="cellIs" dxfId="1264" priority="970" stopIfTrue="1" operator="greaterThan">
      <formula>0</formula>
    </cfRule>
  </conditionalFormatting>
  <conditionalFormatting sqref="E1295:E1296">
    <cfRule type="cellIs" dxfId="1263" priority="959" stopIfTrue="1" operator="lessThan">
      <formula>0</formula>
    </cfRule>
    <cfRule type="cellIs" dxfId="1262" priority="960" stopIfTrue="1" operator="equal">
      <formula>0</formula>
    </cfRule>
    <cfRule type="cellIs" dxfId="1261" priority="961" stopIfTrue="1" operator="greaterThan">
      <formula>0</formula>
    </cfRule>
  </conditionalFormatting>
  <conditionalFormatting sqref="E1298 I1298 M1298">
    <cfRule type="cellIs" dxfId="1260" priority="971" stopIfTrue="1" operator="lessThan">
      <formula>0</formula>
    </cfRule>
    <cfRule type="cellIs" dxfId="1259" priority="972" stopIfTrue="1" operator="equal">
      <formula>0</formula>
    </cfRule>
    <cfRule type="cellIs" dxfId="1258" priority="973" stopIfTrue="1" operator="greaterThan">
      <formula>0</formula>
    </cfRule>
  </conditionalFormatting>
  <conditionalFormatting sqref="E1308:E1310">
    <cfRule type="cellIs" dxfId="1257" priority="947" stopIfTrue="1" operator="lessThan">
      <formula>0</formula>
    </cfRule>
    <cfRule type="cellIs" dxfId="1256" priority="948" stopIfTrue="1" operator="equal">
      <formula>0</formula>
    </cfRule>
    <cfRule type="cellIs" dxfId="1255" priority="949" stopIfTrue="1" operator="greaterThan">
      <formula>0</formula>
    </cfRule>
  </conditionalFormatting>
  <conditionalFormatting sqref="E1312:E1313">
    <cfRule type="cellIs" dxfId="1254" priority="938" stopIfTrue="1" operator="lessThan">
      <formula>0</formula>
    </cfRule>
    <cfRule type="cellIs" dxfId="1253" priority="939" stopIfTrue="1" operator="equal">
      <formula>0</formula>
    </cfRule>
    <cfRule type="cellIs" dxfId="1252" priority="940" stopIfTrue="1" operator="greaterThan">
      <formula>0</formula>
    </cfRule>
  </conditionalFormatting>
  <conditionalFormatting sqref="E1315 I1315 M1315">
    <cfRule type="cellIs" dxfId="1251" priority="950" stopIfTrue="1" operator="lessThan">
      <formula>0</formula>
    </cfRule>
    <cfRule type="cellIs" dxfId="1250" priority="951" stopIfTrue="1" operator="equal">
      <formula>0</formula>
    </cfRule>
    <cfRule type="cellIs" dxfId="1249" priority="952" stopIfTrue="1" operator="greaterThan">
      <formula>0</formula>
    </cfRule>
  </conditionalFormatting>
  <conditionalFormatting sqref="E1329:E1330">
    <cfRule type="cellIs" dxfId="1248" priority="76" stopIfTrue="1" operator="lessThan">
      <formula>0</formula>
    </cfRule>
    <cfRule type="cellIs" dxfId="1247" priority="77" stopIfTrue="1" operator="equal">
      <formula>0</formula>
    </cfRule>
    <cfRule type="cellIs" dxfId="1246" priority="78" stopIfTrue="1" operator="greaterThan">
      <formula>0</formula>
    </cfRule>
  </conditionalFormatting>
  <conditionalFormatting sqref="E1332 I1332 M1332">
    <cfRule type="cellIs" dxfId="1245" priority="88" stopIfTrue="1" operator="lessThan">
      <formula>0</formula>
    </cfRule>
    <cfRule type="cellIs" dxfId="1244" priority="89" stopIfTrue="1" operator="equal">
      <formula>0</formula>
    </cfRule>
    <cfRule type="cellIs" dxfId="1243" priority="90" stopIfTrue="1" operator="greaterThan">
      <formula>0</formula>
    </cfRule>
  </conditionalFormatting>
  <conditionalFormatting sqref="E1351:E1352">
    <cfRule type="cellIs" dxfId="1242" priority="418" stopIfTrue="1" operator="lessThan">
      <formula>0</formula>
    </cfRule>
    <cfRule type="cellIs" dxfId="1241" priority="419" stopIfTrue="1" operator="equal">
      <formula>0</formula>
    </cfRule>
    <cfRule type="cellIs" dxfId="1240" priority="420" stopIfTrue="1" operator="greaterThan">
      <formula>0</formula>
    </cfRule>
  </conditionalFormatting>
  <conditionalFormatting sqref="E1354 I1354 M1354">
    <cfRule type="cellIs" dxfId="1239" priority="430" stopIfTrue="1" operator="lessThan">
      <formula>0</formula>
    </cfRule>
    <cfRule type="cellIs" dxfId="1238" priority="431" stopIfTrue="1" operator="equal">
      <formula>0</formula>
    </cfRule>
    <cfRule type="cellIs" dxfId="1237" priority="432" stopIfTrue="1" operator="greaterThan">
      <formula>0</formula>
    </cfRule>
  </conditionalFormatting>
  <conditionalFormatting sqref="E1366">
    <cfRule type="cellIs" dxfId="1236" priority="929" stopIfTrue="1" operator="lessThan">
      <formula>0</formula>
    </cfRule>
    <cfRule type="cellIs" dxfId="1235" priority="930" stopIfTrue="1" operator="equal">
      <formula>0</formula>
    </cfRule>
    <cfRule type="cellIs" dxfId="1234" priority="931" stopIfTrue="1" operator="greaterThan">
      <formula>0</formula>
    </cfRule>
  </conditionalFormatting>
  <conditionalFormatting sqref="E1368:E1369">
    <cfRule type="cellIs" dxfId="1233" priority="920" stopIfTrue="1" operator="lessThan">
      <formula>0</formula>
    </cfRule>
    <cfRule type="cellIs" dxfId="1232" priority="921" stopIfTrue="1" operator="equal">
      <formula>0</formula>
    </cfRule>
    <cfRule type="cellIs" dxfId="1231" priority="922" stopIfTrue="1" operator="greaterThan">
      <formula>0</formula>
    </cfRule>
  </conditionalFormatting>
  <conditionalFormatting sqref="E1381">
    <cfRule type="cellIs" dxfId="1230" priority="908" stopIfTrue="1" operator="lessThan">
      <formula>0</formula>
    </cfRule>
    <cfRule type="cellIs" dxfId="1229" priority="909" stopIfTrue="1" operator="equal">
      <formula>0</formula>
    </cfRule>
    <cfRule type="cellIs" dxfId="1228" priority="910" stopIfTrue="1" operator="greaterThan">
      <formula>0</formula>
    </cfRule>
  </conditionalFormatting>
  <conditionalFormatting sqref="E1383:E1384">
    <cfRule type="cellIs" dxfId="1227" priority="899" stopIfTrue="1" operator="lessThan">
      <formula>0</formula>
    </cfRule>
    <cfRule type="cellIs" dxfId="1226" priority="900" stopIfTrue="1" operator="equal">
      <formula>0</formula>
    </cfRule>
    <cfRule type="cellIs" dxfId="1225" priority="901" stopIfTrue="1" operator="greaterThan">
      <formula>0</formula>
    </cfRule>
  </conditionalFormatting>
  <conditionalFormatting sqref="E1386 I1386 M1386">
    <cfRule type="cellIs" dxfId="1224" priority="911" stopIfTrue="1" operator="lessThan">
      <formula>0</formula>
    </cfRule>
    <cfRule type="cellIs" dxfId="1223" priority="912" stopIfTrue="1" operator="equal">
      <formula>0</formula>
    </cfRule>
    <cfRule type="cellIs" dxfId="1222" priority="913" stopIfTrue="1" operator="greaterThan">
      <formula>0</formula>
    </cfRule>
  </conditionalFormatting>
  <conditionalFormatting sqref="E1396">
    <cfRule type="cellIs" dxfId="1221" priority="887" stopIfTrue="1" operator="lessThan">
      <formula>0</formula>
    </cfRule>
    <cfRule type="cellIs" dxfId="1220" priority="888" stopIfTrue="1" operator="equal">
      <formula>0</formula>
    </cfRule>
    <cfRule type="cellIs" dxfId="1219" priority="889" stopIfTrue="1" operator="greaterThan">
      <formula>0</formula>
    </cfRule>
  </conditionalFormatting>
  <conditionalFormatting sqref="E1398:E1399">
    <cfRule type="cellIs" dxfId="1218" priority="878" stopIfTrue="1" operator="lessThan">
      <formula>0</formula>
    </cfRule>
    <cfRule type="cellIs" dxfId="1217" priority="879" stopIfTrue="1" operator="equal">
      <formula>0</formula>
    </cfRule>
    <cfRule type="cellIs" dxfId="1216" priority="880" stopIfTrue="1" operator="greaterThan">
      <formula>0</formula>
    </cfRule>
  </conditionalFormatting>
  <conditionalFormatting sqref="E1401 I1401 M1401">
    <cfRule type="cellIs" dxfId="1215" priority="890" stopIfTrue="1" operator="lessThan">
      <formula>0</formula>
    </cfRule>
    <cfRule type="cellIs" dxfId="1214" priority="891" stopIfTrue="1" operator="equal">
      <formula>0</formula>
    </cfRule>
    <cfRule type="cellIs" dxfId="1213" priority="892" stopIfTrue="1" operator="greaterThan">
      <formula>0</formula>
    </cfRule>
  </conditionalFormatting>
  <conditionalFormatting sqref="E1411">
    <cfRule type="cellIs" dxfId="1212" priority="866" stopIfTrue="1" operator="lessThan">
      <formula>0</formula>
    </cfRule>
    <cfRule type="cellIs" dxfId="1211" priority="867" stopIfTrue="1" operator="equal">
      <formula>0</formula>
    </cfRule>
    <cfRule type="cellIs" dxfId="1210" priority="868" stopIfTrue="1" operator="greaterThan">
      <formula>0</formula>
    </cfRule>
  </conditionalFormatting>
  <conditionalFormatting sqref="E1413:E1414">
    <cfRule type="cellIs" dxfId="1209" priority="857" stopIfTrue="1" operator="lessThan">
      <formula>0</formula>
    </cfRule>
    <cfRule type="cellIs" dxfId="1208" priority="858" stopIfTrue="1" operator="equal">
      <formula>0</formula>
    </cfRule>
    <cfRule type="cellIs" dxfId="1207" priority="859" stopIfTrue="1" operator="greaterThan">
      <formula>0</formula>
    </cfRule>
  </conditionalFormatting>
  <conditionalFormatting sqref="E1416 I1416 M1416">
    <cfRule type="cellIs" dxfId="1206" priority="869" stopIfTrue="1" operator="lessThan">
      <formula>0</formula>
    </cfRule>
    <cfRule type="cellIs" dxfId="1205" priority="870" stopIfTrue="1" operator="equal">
      <formula>0</formula>
    </cfRule>
    <cfRule type="cellIs" dxfId="1204" priority="871" stopIfTrue="1" operator="greaterThan">
      <formula>0</formula>
    </cfRule>
  </conditionalFormatting>
  <conditionalFormatting sqref="E1426">
    <cfRule type="cellIs" dxfId="1203" priority="845" stopIfTrue="1" operator="lessThan">
      <formula>0</formula>
    </cfRule>
    <cfRule type="cellIs" dxfId="1202" priority="846" stopIfTrue="1" operator="equal">
      <formula>0</formula>
    </cfRule>
    <cfRule type="cellIs" dxfId="1201" priority="847" stopIfTrue="1" operator="greaterThan">
      <formula>0</formula>
    </cfRule>
  </conditionalFormatting>
  <conditionalFormatting sqref="E1428:E1429">
    <cfRule type="cellIs" dxfId="1200" priority="836" stopIfTrue="1" operator="lessThan">
      <formula>0</formula>
    </cfRule>
    <cfRule type="cellIs" dxfId="1199" priority="837" stopIfTrue="1" operator="equal">
      <formula>0</formula>
    </cfRule>
    <cfRule type="cellIs" dxfId="1198" priority="838" stopIfTrue="1" operator="greaterThan">
      <formula>0</formula>
    </cfRule>
  </conditionalFormatting>
  <conditionalFormatting sqref="E1431 I1431 M1431">
    <cfRule type="cellIs" dxfId="1197" priority="848" stopIfTrue="1" operator="lessThan">
      <formula>0</formula>
    </cfRule>
    <cfRule type="cellIs" dxfId="1196" priority="849" stopIfTrue="1" operator="equal">
      <formula>0</formula>
    </cfRule>
    <cfRule type="cellIs" dxfId="1195" priority="850" stopIfTrue="1" operator="greaterThan">
      <formula>0</formula>
    </cfRule>
  </conditionalFormatting>
  <conditionalFormatting sqref="E1441">
    <cfRule type="cellIs" dxfId="1194" priority="824" stopIfTrue="1" operator="lessThan">
      <formula>0</formula>
    </cfRule>
    <cfRule type="cellIs" dxfId="1193" priority="825" stopIfTrue="1" operator="equal">
      <formula>0</formula>
    </cfRule>
    <cfRule type="cellIs" dxfId="1192" priority="826" stopIfTrue="1" operator="greaterThan">
      <formula>0</formula>
    </cfRule>
  </conditionalFormatting>
  <conditionalFormatting sqref="E1443:E1444">
    <cfRule type="cellIs" dxfId="1191" priority="815" stopIfTrue="1" operator="lessThan">
      <formula>0</formula>
    </cfRule>
    <cfRule type="cellIs" dxfId="1190" priority="816" stopIfTrue="1" operator="equal">
      <formula>0</formula>
    </cfRule>
    <cfRule type="cellIs" dxfId="1189" priority="817" stopIfTrue="1" operator="greaterThan">
      <formula>0</formula>
    </cfRule>
  </conditionalFormatting>
  <conditionalFormatting sqref="E1446 I1446 M1446">
    <cfRule type="cellIs" dxfId="1188" priority="827" stopIfTrue="1" operator="lessThan">
      <formula>0</formula>
    </cfRule>
    <cfRule type="cellIs" dxfId="1187" priority="828" stopIfTrue="1" operator="equal">
      <formula>0</formula>
    </cfRule>
    <cfRule type="cellIs" dxfId="1186" priority="829" stopIfTrue="1" operator="greaterThan">
      <formula>0</formula>
    </cfRule>
  </conditionalFormatting>
  <conditionalFormatting sqref="E1467:E1468">
    <cfRule type="cellIs" dxfId="1185" priority="794" stopIfTrue="1" operator="lessThan">
      <formula>0</formula>
    </cfRule>
    <cfRule type="cellIs" dxfId="1184" priority="795" stopIfTrue="1" operator="equal">
      <formula>0</formula>
    </cfRule>
    <cfRule type="cellIs" dxfId="1183" priority="796" stopIfTrue="1" operator="greaterThan">
      <formula>0</formula>
    </cfRule>
  </conditionalFormatting>
  <conditionalFormatting sqref="E1470 I1470 M1470">
    <cfRule type="cellIs" dxfId="1182" priority="806" stopIfTrue="1" operator="lessThan">
      <formula>0</formula>
    </cfRule>
    <cfRule type="cellIs" dxfId="1181" priority="807" stopIfTrue="1" operator="equal">
      <formula>0</formula>
    </cfRule>
    <cfRule type="cellIs" dxfId="1180" priority="808" stopIfTrue="1" operator="greaterThan">
      <formula>0</formula>
    </cfRule>
  </conditionalFormatting>
  <conditionalFormatting sqref="E1494:E1495">
    <cfRule type="cellIs" dxfId="1179" priority="773" stopIfTrue="1" operator="lessThan">
      <formula>0</formula>
    </cfRule>
    <cfRule type="cellIs" dxfId="1178" priority="774" stopIfTrue="1" operator="equal">
      <formula>0</formula>
    </cfRule>
    <cfRule type="cellIs" dxfId="1177" priority="775" stopIfTrue="1" operator="greaterThan">
      <formula>0</formula>
    </cfRule>
  </conditionalFormatting>
  <conditionalFormatting sqref="E1497 I1497 M1497">
    <cfRule type="cellIs" dxfId="1176" priority="785" stopIfTrue="1" operator="lessThan">
      <formula>0</formula>
    </cfRule>
    <cfRule type="cellIs" dxfId="1175" priority="786" stopIfTrue="1" operator="equal">
      <formula>0</formula>
    </cfRule>
    <cfRule type="cellIs" dxfId="1174" priority="787" stopIfTrue="1" operator="greaterThan">
      <formula>0</formula>
    </cfRule>
  </conditionalFormatting>
  <conditionalFormatting sqref="E1509:E1510">
    <cfRule type="cellIs" dxfId="1173" priority="761" stopIfTrue="1" operator="lessThan">
      <formula>0</formula>
    </cfRule>
    <cfRule type="cellIs" dxfId="1172" priority="762" stopIfTrue="1" operator="equal">
      <formula>0</formula>
    </cfRule>
    <cfRule type="cellIs" dxfId="1171" priority="763" stopIfTrue="1" operator="greaterThan">
      <formula>0</formula>
    </cfRule>
  </conditionalFormatting>
  <conditionalFormatting sqref="E1512 I1512 M1512">
    <cfRule type="cellIs" dxfId="1170" priority="764" stopIfTrue="1" operator="lessThan">
      <formula>0</formula>
    </cfRule>
    <cfRule type="cellIs" dxfId="1169" priority="765" stopIfTrue="1" operator="equal">
      <formula>0</formula>
    </cfRule>
    <cfRule type="cellIs" dxfId="1168" priority="766" stopIfTrue="1" operator="greaterThan">
      <formula>0</formula>
    </cfRule>
  </conditionalFormatting>
  <conditionalFormatting sqref="E1522 I1522 M1522">
    <cfRule type="cellIs" dxfId="1167" priority="409" stopIfTrue="1" operator="lessThan">
      <formula>0</formula>
    </cfRule>
    <cfRule type="cellIs" dxfId="1166" priority="410" stopIfTrue="1" operator="equal">
      <formula>0</formula>
    </cfRule>
    <cfRule type="cellIs" dxfId="1165" priority="411" stopIfTrue="1" operator="greaterThan">
      <formula>0</formula>
    </cfRule>
  </conditionalFormatting>
  <conditionalFormatting sqref="E1524:E1525">
    <cfRule type="cellIs" dxfId="1164" priority="403" stopIfTrue="1" operator="lessThan">
      <formula>0</formula>
    </cfRule>
    <cfRule type="cellIs" dxfId="1163" priority="404" stopIfTrue="1" operator="equal">
      <formula>0</formula>
    </cfRule>
    <cfRule type="cellIs" dxfId="1162" priority="405" stopIfTrue="1" operator="greaterThan">
      <formula>0</formula>
    </cfRule>
  </conditionalFormatting>
  <conditionalFormatting sqref="E1527 I1527 M1527">
    <cfRule type="cellIs" dxfId="1161" priority="406" stopIfTrue="1" operator="lessThan">
      <formula>0</formula>
    </cfRule>
    <cfRule type="cellIs" dxfId="1160" priority="407" stopIfTrue="1" operator="equal">
      <formula>0</formula>
    </cfRule>
    <cfRule type="cellIs" dxfId="1159" priority="408" stopIfTrue="1" operator="greaterThan">
      <formula>0</formula>
    </cfRule>
  </conditionalFormatting>
  <conditionalFormatting sqref="E1539:E1540">
    <cfRule type="cellIs" dxfId="1158" priority="749" stopIfTrue="1" operator="lessThan">
      <formula>0</formula>
    </cfRule>
    <cfRule type="cellIs" dxfId="1157" priority="750" stopIfTrue="1" operator="equal">
      <formula>0</formula>
    </cfRule>
    <cfRule type="cellIs" dxfId="1156" priority="751" stopIfTrue="1" operator="greaterThan">
      <formula>0</formula>
    </cfRule>
  </conditionalFormatting>
  <conditionalFormatting sqref="E1542 I1542 M1542">
    <cfRule type="cellIs" dxfId="1155" priority="752" stopIfTrue="1" operator="lessThan">
      <formula>0</formula>
    </cfRule>
    <cfRule type="cellIs" dxfId="1154" priority="753" stopIfTrue="1" operator="equal">
      <formula>0</formula>
    </cfRule>
    <cfRule type="cellIs" dxfId="1153" priority="754" stopIfTrue="1" operator="greaterThan">
      <formula>0</formula>
    </cfRule>
  </conditionalFormatting>
  <conditionalFormatting sqref="E1567">
    <cfRule type="cellIs" dxfId="1152" priority="391" stopIfTrue="1" operator="lessThan">
      <formula>0</formula>
    </cfRule>
    <cfRule type="cellIs" dxfId="1151" priority="392" stopIfTrue="1" operator="equal">
      <formula>0</formula>
    </cfRule>
    <cfRule type="cellIs" dxfId="1150" priority="393" stopIfTrue="1" operator="greaterThan">
      <formula>0</formula>
    </cfRule>
  </conditionalFormatting>
  <conditionalFormatting sqref="E1593">
    <cfRule type="cellIs" dxfId="1149" priority="737" stopIfTrue="1" operator="lessThan">
      <formula>0</formula>
    </cfRule>
    <cfRule type="cellIs" dxfId="1148" priority="738" stopIfTrue="1" operator="equal">
      <formula>0</formula>
    </cfRule>
    <cfRule type="cellIs" dxfId="1147" priority="739" stopIfTrue="1" operator="greaterThan">
      <formula>0</formula>
    </cfRule>
  </conditionalFormatting>
  <conditionalFormatting sqref="E1595:E1596 I1595:I1596 M1595:M1596">
    <cfRule type="cellIs" dxfId="1146" priority="740" stopIfTrue="1" operator="lessThan">
      <formula>0</formula>
    </cfRule>
    <cfRule type="cellIs" dxfId="1145" priority="741" stopIfTrue="1" operator="equal">
      <formula>0</formula>
    </cfRule>
    <cfRule type="cellIs" dxfId="1144" priority="742" stopIfTrue="1" operator="greaterThan">
      <formula>0</formula>
    </cfRule>
  </conditionalFormatting>
  <conditionalFormatting sqref="E1634:E1635">
    <cfRule type="cellIs" dxfId="1143" priority="722" stopIfTrue="1" operator="lessThan">
      <formula>0</formula>
    </cfRule>
    <cfRule type="cellIs" dxfId="1142" priority="723" stopIfTrue="1" operator="equal">
      <formula>0</formula>
    </cfRule>
    <cfRule type="cellIs" dxfId="1141" priority="724" stopIfTrue="1" operator="greaterThan">
      <formula>0</formula>
    </cfRule>
  </conditionalFormatting>
  <conditionalFormatting sqref="E1637:E1639 I1637:I1639 M1637:M1639">
    <cfRule type="cellIs" dxfId="1140" priority="728" stopIfTrue="1" operator="lessThan">
      <formula>0</formula>
    </cfRule>
    <cfRule type="cellIs" dxfId="1139" priority="729" stopIfTrue="1" operator="equal">
      <formula>0</formula>
    </cfRule>
    <cfRule type="cellIs" dxfId="1138" priority="730" stopIfTrue="1" operator="greaterThan">
      <formula>0</formula>
    </cfRule>
  </conditionalFormatting>
  <conditionalFormatting sqref="E1652:E1653">
    <cfRule type="cellIs" dxfId="1137" priority="704" stopIfTrue="1" operator="lessThan">
      <formula>0</formula>
    </cfRule>
    <cfRule type="cellIs" dxfId="1136" priority="705" stopIfTrue="1" operator="equal">
      <formula>0</formula>
    </cfRule>
    <cfRule type="cellIs" dxfId="1135" priority="706" stopIfTrue="1" operator="greaterThan">
      <formula>0</formula>
    </cfRule>
  </conditionalFormatting>
  <conditionalFormatting sqref="E1655:E1657">
    <cfRule type="cellIs" dxfId="1134" priority="256" stopIfTrue="1" operator="lessThan">
      <formula>0</formula>
    </cfRule>
    <cfRule type="cellIs" dxfId="1133" priority="257" stopIfTrue="1" operator="equal">
      <formula>0</formula>
    </cfRule>
    <cfRule type="cellIs" dxfId="1132" priority="258" stopIfTrue="1" operator="greaterThan">
      <formula>0</formula>
    </cfRule>
  </conditionalFormatting>
  <conditionalFormatting sqref="E1672:E1673">
    <cfRule type="cellIs" dxfId="1131" priority="178" stopIfTrue="1" operator="lessThan">
      <formula>0</formula>
    </cfRule>
    <cfRule type="cellIs" dxfId="1130" priority="179" stopIfTrue="1" operator="equal">
      <formula>0</formula>
    </cfRule>
    <cfRule type="cellIs" dxfId="1129" priority="180" stopIfTrue="1" operator="greaterThan">
      <formula>0</formula>
    </cfRule>
  </conditionalFormatting>
  <conditionalFormatting sqref="E1675:E1677">
    <cfRule type="cellIs" dxfId="1128" priority="169" stopIfTrue="1" operator="lessThan">
      <formula>0</formula>
    </cfRule>
    <cfRule type="cellIs" dxfId="1127" priority="170" stopIfTrue="1" operator="equal">
      <formula>0</formula>
    </cfRule>
    <cfRule type="cellIs" dxfId="1126" priority="171" stopIfTrue="1" operator="greaterThan">
      <formula>0</formula>
    </cfRule>
  </conditionalFormatting>
  <conditionalFormatting sqref="E1690">
    <cfRule type="cellIs" dxfId="1125" priority="692" stopIfTrue="1" operator="lessThan">
      <formula>0</formula>
    </cfRule>
    <cfRule type="cellIs" dxfId="1124" priority="693" stopIfTrue="1" operator="equal">
      <formula>0</formula>
    </cfRule>
    <cfRule type="cellIs" dxfId="1123" priority="694" stopIfTrue="1" operator="greaterThan">
      <formula>0</formula>
    </cfRule>
  </conditionalFormatting>
  <conditionalFormatting sqref="E1692:E1699 I1692:I1699 M1692:M1699">
    <cfRule type="cellIs" dxfId="1122" priority="160" stopIfTrue="1" operator="lessThan">
      <formula>0</formula>
    </cfRule>
    <cfRule type="cellIs" dxfId="1121" priority="161" stopIfTrue="1" operator="equal">
      <formula>0</formula>
    </cfRule>
    <cfRule type="cellIs" dxfId="1120" priority="162" stopIfTrue="1" operator="greaterThan">
      <formula>0</formula>
    </cfRule>
  </conditionalFormatting>
  <conditionalFormatting sqref="E1737">
    <cfRule type="cellIs" dxfId="1119" priority="680" stopIfTrue="1" operator="lessThan">
      <formula>0</formula>
    </cfRule>
    <cfRule type="cellIs" dxfId="1118" priority="681" stopIfTrue="1" operator="equal">
      <formula>0</formula>
    </cfRule>
    <cfRule type="cellIs" dxfId="1117" priority="682" stopIfTrue="1" operator="greaterThan">
      <formula>0</formula>
    </cfRule>
  </conditionalFormatting>
  <conditionalFormatting sqref="E1739:E1740 I1739:I1740 M1739:M1740">
    <cfRule type="cellIs" dxfId="1116" priority="683" stopIfTrue="1" operator="lessThan">
      <formula>0</formula>
    </cfRule>
    <cfRule type="cellIs" dxfId="1115" priority="684" stopIfTrue="1" operator="equal">
      <formula>0</formula>
    </cfRule>
    <cfRule type="cellIs" dxfId="1114" priority="685" stopIfTrue="1" operator="greaterThan">
      <formula>0</formula>
    </cfRule>
  </conditionalFormatting>
  <conditionalFormatting sqref="E1750:E1751">
    <cfRule type="cellIs" dxfId="1113" priority="331" stopIfTrue="1" operator="lessThan">
      <formula>0</formula>
    </cfRule>
    <cfRule type="cellIs" dxfId="1112" priority="332" stopIfTrue="1" operator="equal">
      <formula>0</formula>
    </cfRule>
    <cfRule type="cellIs" dxfId="1111" priority="333" stopIfTrue="1" operator="greaterThan">
      <formula>0</formula>
    </cfRule>
  </conditionalFormatting>
  <conditionalFormatting sqref="E1753:E1754">
    <cfRule type="cellIs" dxfId="1110" priority="313" stopIfTrue="1" operator="lessThan">
      <formula>0</formula>
    </cfRule>
    <cfRule type="cellIs" dxfId="1109" priority="314" stopIfTrue="1" operator="equal">
      <formula>0</formula>
    </cfRule>
    <cfRule type="cellIs" dxfId="1108" priority="315" stopIfTrue="1" operator="greaterThan">
      <formula>0</formula>
    </cfRule>
  </conditionalFormatting>
  <conditionalFormatting sqref="E1756:E1757">
    <cfRule type="cellIs" dxfId="1107" priority="328" stopIfTrue="1" operator="lessThan">
      <formula>0</formula>
    </cfRule>
    <cfRule type="cellIs" dxfId="1106" priority="329" stopIfTrue="1" operator="equal">
      <formula>0</formula>
    </cfRule>
    <cfRule type="cellIs" dxfId="1105" priority="330" stopIfTrue="1" operator="greaterThan">
      <formula>0</formula>
    </cfRule>
  </conditionalFormatting>
  <conditionalFormatting sqref="E1767:E1768">
    <cfRule type="cellIs" dxfId="1104" priority="157" stopIfTrue="1" operator="lessThan">
      <formula>0</formula>
    </cfRule>
    <cfRule type="cellIs" dxfId="1103" priority="158" stopIfTrue="1" operator="equal">
      <formula>0</formula>
    </cfRule>
    <cfRule type="cellIs" dxfId="1102" priority="159" stopIfTrue="1" operator="greaterThan">
      <formula>0</formula>
    </cfRule>
  </conditionalFormatting>
  <conditionalFormatting sqref="E1770:E1771">
    <cfRule type="cellIs" dxfId="1101" priority="139" stopIfTrue="1" operator="lessThan">
      <formula>0</formula>
    </cfRule>
    <cfRule type="cellIs" dxfId="1100" priority="140" stopIfTrue="1" operator="equal">
      <formula>0</formula>
    </cfRule>
    <cfRule type="cellIs" dxfId="1099" priority="141" stopIfTrue="1" operator="greaterThan">
      <formula>0</formula>
    </cfRule>
  </conditionalFormatting>
  <conditionalFormatting sqref="E1773:E1774">
    <cfRule type="cellIs" dxfId="1098" priority="154" stopIfTrue="1" operator="lessThan">
      <formula>0</formula>
    </cfRule>
    <cfRule type="cellIs" dxfId="1097" priority="155" stopIfTrue="1" operator="equal">
      <formula>0</formula>
    </cfRule>
    <cfRule type="cellIs" dxfId="1096" priority="156" stopIfTrue="1" operator="greaterThan">
      <formula>0</formula>
    </cfRule>
  </conditionalFormatting>
  <conditionalFormatting sqref="E1784:E1785">
    <cfRule type="cellIs" dxfId="1095" priority="130" stopIfTrue="1" operator="lessThan">
      <formula>0</formula>
    </cfRule>
    <cfRule type="cellIs" dxfId="1094" priority="131" stopIfTrue="1" operator="equal">
      <formula>0</formula>
    </cfRule>
    <cfRule type="cellIs" dxfId="1093" priority="132" stopIfTrue="1" operator="greaterThan">
      <formula>0</formula>
    </cfRule>
  </conditionalFormatting>
  <conditionalFormatting sqref="E1787:E1788">
    <cfRule type="cellIs" dxfId="1092" priority="112" stopIfTrue="1" operator="lessThan">
      <formula>0</formula>
    </cfRule>
    <cfRule type="cellIs" dxfId="1091" priority="113" stopIfTrue="1" operator="equal">
      <formula>0</formula>
    </cfRule>
    <cfRule type="cellIs" dxfId="1090" priority="114" stopIfTrue="1" operator="greaterThan">
      <formula>0</formula>
    </cfRule>
  </conditionalFormatting>
  <conditionalFormatting sqref="E1790:E1791">
    <cfRule type="cellIs" dxfId="1089" priority="127" stopIfTrue="1" operator="lessThan">
      <formula>0</formula>
    </cfRule>
    <cfRule type="cellIs" dxfId="1088" priority="128" stopIfTrue="1" operator="equal">
      <formula>0</formula>
    </cfRule>
    <cfRule type="cellIs" dxfId="1087" priority="129" stopIfTrue="1" operator="greaterThan">
      <formula>0</formula>
    </cfRule>
  </conditionalFormatting>
  <conditionalFormatting sqref="E1803:E1804 I1803:I1804 M1803:M1804">
    <cfRule type="cellIs" dxfId="1086" priority="247" stopIfTrue="1" operator="lessThan">
      <formula>0</formula>
    </cfRule>
    <cfRule type="cellIs" dxfId="1085" priority="248" stopIfTrue="1" operator="equal">
      <formula>0</formula>
    </cfRule>
    <cfRule type="cellIs" dxfId="1084" priority="249" stopIfTrue="1" operator="greaterThan">
      <formula>0</formula>
    </cfRule>
  </conditionalFormatting>
  <conditionalFormatting sqref="E1806:E1807">
    <cfRule type="cellIs" dxfId="1083" priority="241" stopIfTrue="1" operator="lessThan">
      <formula>0</formula>
    </cfRule>
    <cfRule type="cellIs" dxfId="1082" priority="242" stopIfTrue="1" operator="equal">
      <formula>0</formula>
    </cfRule>
    <cfRule type="cellIs" dxfId="1081" priority="243" stopIfTrue="1" operator="greaterThan">
      <formula>0</formula>
    </cfRule>
  </conditionalFormatting>
  <conditionalFormatting sqref="E1809:E1810 I1809:I1810 M1809:M1810">
    <cfRule type="cellIs" dxfId="1080" priority="244" stopIfTrue="1" operator="lessThan">
      <formula>0</formula>
    </cfRule>
    <cfRule type="cellIs" dxfId="1079" priority="245" stopIfTrue="1" operator="equal">
      <formula>0</formula>
    </cfRule>
    <cfRule type="cellIs" dxfId="1078" priority="246" stopIfTrue="1" operator="greaterThan">
      <formula>0</formula>
    </cfRule>
  </conditionalFormatting>
  <conditionalFormatting sqref="E1820:E1822 I1820:I1822 M1820:M1822">
    <cfRule type="cellIs" dxfId="1077" priority="232" stopIfTrue="1" operator="lessThan">
      <formula>0</formula>
    </cfRule>
    <cfRule type="cellIs" dxfId="1076" priority="233" stopIfTrue="1" operator="equal">
      <formula>0</formula>
    </cfRule>
    <cfRule type="cellIs" dxfId="1075" priority="234" stopIfTrue="1" operator="greaterThan">
      <formula>0</formula>
    </cfRule>
  </conditionalFormatting>
  <conditionalFormatting sqref="E1824:E1825">
    <cfRule type="cellIs" dxfId="1074" priority="226" stopIfTrue="1" operator="lessThan">
      <formula>0</formula>
    </cfRule>
    <cfRule type="cellIs" dxfId="1073" priority="227" stopIfTrue="1" operator="equal">
      <formula>0</formula>
    </cfRule>
    <cfRule type="cellIs" dxfId="1072" priority="228" stopIfTrue="1" operator="greaterThan">
      <formula>0</formula>
    </cfRule>
  </conditionalFormatting>
  <conditionalFormatting sqref="E1827:E1828 I1827:I1828 M1827:M1828">
    <cfRule type="cellIs" dxfId="1071" priority="229" stopIfTrue="1" operator="lessThan">
      <formula>0</formula>
    </cfRule>
    <cfRule type="cellIs" dxfId="1070" priority="230" stopIfTrue="1" operator="equal">
      <formula>0</formula>
    </cfRule>
    <cfRule type="cellIs" dxfId="1069" priority="231" stopIfTrue="1" operator="greaterThan">
      <formula>0</formula>
    </cfRule>
  </conditionalFormatting>
  <conditionalFormatting sqref="E1838:E1839 I1838:I1839 M1838:M1839">
    <cfRule type="cellIs" dxfId="1068" priority="217" stopIfTrue="1" operator="lessThan">
      <formula>0</formula>
    </cfRule>
    <cfRule type="cellIs" dxfId="1067" priority="218" stopIfTrue="1" operator="equal">
      <formula>0</formula>
    </cfRule>
    <cfRule type="cellIs" dxfId="1066" priority="219" stopIfTrue="1" operator="greaterThan">
      <formula>0</formula>
    </cfRule>
  </conditionalFormatting>
  <conditionalFormatting sqref="E1841:E1842">
    <cfRule type="cellIs" dxfId="1065" priority="211" stopIfTrue="1" operator="lessThan">
      <formula>0</formula>
    </cfRule>
    <cfRule type="cellIs" dxfId="1064" priority="212" stopIfTrue="1" operator="equal">
      <formula>0</formula>
    </cfRule>
    <cfRule type="cellIs" dxfId="1063" priority="213" stopIfTrue="1" operator="greaterThan">
      <formula>0</formula>
    </cfRule>
  </conditionalFormatting>
  <conditionalFormatting sqref="E1844:E1845 I1844:I1845 M1844:M1845">
    <cfRule type="cellIs" dxfId="1062" priority="214" stopIfTrue="1" operator="lessThan">
      <formula>0</formula>
    </cfRule>
    <cfRule type="cellIs" dxfId="1061" priority="215" stopIfTrue="1" operator="equal">
      <formula>0</formula>
    </cfRule>
    <cfRule type="cellIs" dxfId="1060" priority="216" stopIfTrue="1" operator="greaterThan">
      <formula>0</formula>
    </cfRule>
  </conditionalFormatting>
  <conditionalFormatting sqref="E1859:E1860">
    <cfRule type="cellIs" dxfId="1059" priority="671" stopIfTrue="1" operator="lessThan">
      <formula>0</formula>
    </cfRule>
    <cfRule type="cellIs" dxfId="1058" priority="672" stopIfTrue="1" operator="equal">
      <formula>0</formula>
    </cfRule>
    <cfRule type="cellIs" dxfId="1057" priority="673" stopIfTrue="1" operator="greaterThan">
      <formula>0</formula>
    </cfRule>
  </conditionalFormatting>
  <conditionalFormatting sqref="E1862:E1863 I1862:I1863 M1862:M1863">
    <cfRule type="cellIs" dxfId="1056" priority="2071" stopIfTrue="1" operator="lessThan">
      <formula>0</formula>
    </cfRule>
    <cfRule type="cellIs" dxfId="1055" priority="2072" stopIfTrue="1" operator="equal">
      <formula>0</formula>
    </cfRule>
    <cfRule type="cellIs" dxfId="1054" priority="2073" stopIfTrue="1" operator="greaterThan">
      <formula>0</formula>
    </cfRule>
  </conditionalFormatting>
  <conditionalFormatting sqref="E1873:E1874 I1873:I1874 M1873:M1874">
    <cfRule type="cellIs" dxfId="1053" priority="662" stopIfTrue="1" operator="lessThan">
      <formula>0</formula>
    </cfRule>
    <cfRule type="cellIs" dxfId="1052" priority="663" stopIfTrue="1" operator="equal">
      <formula>0</formula>
    </cfRule>
    <cfRule type="cellIs" dxfId="1051" priority="664" stopIfTrue="1" operator="greaterThan">
      <formula>0</formula>
    </cfRule>
  </conditionalFormatting>
  <conditionalFormatting sqref="E1876:E1877">
    <cfRule type="cellIs" dxfId="1050" priority="659" stopIfTrue="1" operator="lessThan">
      <formula>0</formula>
    </cfRule>
    <cfRule type="cellIs" dxfId="1049" priority="660" stopIfTrue="1" operator="equal">
      <formula>0</formula>
    </cfRule>
    <cfRule type="cellIs" dxfId="1048" priority="661" stopIfTrue="1" operator="greaterThan">
      <formula>0</formula>
    </cfRule>
  </conditionalFormatting>
  <conditionalFormatting sqref="E1889:E1894 I1889:I1894 M1889:M1894">
    <cfRule type="cellIs" dxfId="1047" priority="647" stopIfTrue="1" operator="lessThan">
      <formula>0</formula>
    </cfRule>
    <cfRule type="cellIs" dxfId="1046" priority="648" stopIfTrue="1" operator="equal">
      <formula>0</formula>
    </cfRule>
    <cfRule type="cellIs" dxfId="1045" priority="649" stopIfTrue="1" operator="greaterThan">
      <formula>0</formula>
    </cfRule>
  </conditionalFormatting>
  <conditionalFormatting sqref="E1896:E1897">
    <cfRule type="cellIs" dxfId="1044" priority="644" stopIfTrue="1" operator="lessThan">
      <formula>0</formula>
    </cfRule>
    <cfRule type="cellIs" dxfId="1043" priority="645" stopIfTrue="1" operator="equal">
      <formula>0</formula>
    </cfRule>
    <cfRule type="cellIs" dxfId="1042" priority="646" stopIfTrue="1" operator="greaterThan">
      <formula>0</formula>
    </cfRule>
  </conditionalFormatting>
  <conditionalFormatting sqref="E1899 I1899 M1899">
    <cfRule type="cellIs" dxfId="1041" priority="650" stopIfTrue="1" operator="lessThan">
      <formula>0</formula>
    </cfRule>
    <cfRule type="cellIs" dxfId="1040" priority="651" stopIfTrue="1" operator="equal">
      <formula>0</formula>
    </cfRule>
    <cfRule type="cellIs" dxfId="1039" priority="652" stopIfTrue="1" operator="greaterThan">
      <formula>0</formula>
    </cfRule>
  </conditionalFormatting>
  <conditionalFormatting sqref="E1923:E1924">
    <cfRule type="cellIs" dxfId="1038" priority="196" stopIfTrue="1" operator="lessThan">
      <formula>0</formula>
    </cfRule>
    <cfRule type="cellIs" dxfId="1037" priority="197" stopIfTrue="1" operator="equal">
      <formula>0</formula>
    </cfRule>
    <cfRule type="cellIs" dxfId="1036" priority="198" stopIfTrue="1" operator="greaterThan">
      <formula>0</formula>
    </cfRule>
  </conditionalFormatting>
  <conditionalFormatting sqref="E1926 I1926 M1926">
    <cfRule type="cellIs" dxfId="1035" priority="202" stopIfTrue="1" operator="lessThan">
      <formula>0</formula>
    </cfRule>
    <cfRule type="cellIs" dxfId="1034" priority="203" stopIfTrue="1" operator="equal">
      <formula>0</formula>
    </cfRule>
    <cfRule type="cellIs" dxfId="1033" priority="204" stopIfTrue="1" operator="greaterThan">
      <formula>0</formula>
    </cfRule>
  </conditionalFormatting>
  <conditionalFormatting sqref="E1936:E1941 I1936:I1941 M1936:M1941">
    <cfRule type="cellIs" dxfId="1032" priority="632" stopIfTrue="1" operator="lessThan">
      <formula>0</formula>
    </cfRule>
    <cfRule type="cellIs" dxfId="1031" priority="633" stopIfTrue="1" operator="equal">
      <formula>0</formula>
    </cfRule>
    <cfRule type="cellIs" dxfId="1030" priority="634" stopIfTrue="1" operator="greaterThan">
      <formula>0</formula>
    </cfRule>
  </conditionalFormatting>
  <conditionalFormatting sqref="E1943:E1944">
    <cfRule type="cellIs" dxfId="1029" priority="629" stopIfTrue="1" operator="lessThan">
      <formula>0</formula>
    </cfRule>
    <cfRule type="cellIs" dxfId="1028" priority="630" stopIfTrue="1" operator="equal">
      <formula>0</formula>
    </cfRule>
    <cfRule type="cellIs" dxfId="1027" priority="631" stopIfTrue="1" operator="greaterThan">
      <formula>0</formula>
    </cfRule>
  </conditionalFormatting>
  <conditionalFormatting sqref="E1946 I1946 M1946">
    <cfRule type="cellIs" dxfId="1026" priority="635" stopIfTrue="1" operator="lessThan">
      <formula>0</formula>
    </cfRule>
    <cfRule type="cellIs" dxfId="1025" priority="636" stopIfTrue="1" operator="equal">
      <formula>0</formula>
    </cfRule>
    <cfRule type="cellIs" dxfId="1024" priority="637" stopIfTrue="1" operator="greaterThan">
      <formula>0</formula>
    </cfRule>
  </conditionalFormatting>
  <conditionalFormatting sqref="E1956:E1959 I1956:I1959 M1956:M1959">
    <cfRule type="cellIs" dxfId="1023" priority="619" stopIfTrue="1" operator="greaterThan">
      <formula>0</formula>
    </cfRule>
  </conditionalFormatting>
  <conditionalFormatting sqref="E1961:E1962">
    <cfRule type="cellIs" dxfId="1022" priority="614" stopIfTrue="1" operator="lessThan">
      <formula>0</formula>
    </cfRule>
    <cfRule type="cellIs" dxfId="1021" priority="615" stopIfTrue="1" operator="equal">
      <formula>0</formula>
    </cfRule>
    <cfRule type="cellIs" dxfId="1020" priority="616" stopIfTrue="1" operator="greaterThan">
      <formula>0</formula>
    </cfRule>
  </conditionalFormatting>
  <conditionalFormatting sqref="E1964 I1964 M1964">
    <cfRule type="cellIs" dxfId="1019" priority="620" stopIfTrue="1" operator="lessThan">
      <formula>0</formula>
    </cfRule>
    <cfRule type="cellIs" dxfId="1018" priority="621" stopIfTrue="1" operator="equal">
      <formula>0</formula>
    </cfRule>
    <cfRule type="cellIs" dxfId="1017" priority="622" stopIfTrue="1" operator="greaterThan">
      <formula>0</formula>
    </cfRule>
  </conditionalFormatting>
  <conditionalFormatting sqref="E1974:E1979 I1974:I1979 M1974:M1979">
    <cfRule type="cellIs" dxfId="1016" priority="602" stopIfTrue="1" operator="lessThan">
      <formula>0</formula>
    </cfRule>
    <cfRule type="cellIs" dxfId="1015" priority="603" stopIfTrue="1" operator="equal">
      <formula>0</formula>
    </cfRule>
    <cfRule type="cellIs" dxfId="1014" priority="604" stopIfTrue="1" operator="greaterThan">
      <formula>0</formula>
    </cfRule>
  </conditionalFormatting>
  <conditionalFormatting sqref="E1981:E1982">
    <cfRule type="cellIs" dxfId="1013" priority="599" stopIfTrue="1" operator="lessThan">
      <formula>0</formula>
    </cfRule>
    <cfRule type="cellIs" dxfId="1012" priority="600" stopIfTrue="1" operator="equal">
      <formula>0</formula>
    </cfRule>
    <cfRule type="cellIs" dxfId="1011" priority="601" stopIfTrue="1" operator="greaterThan">
      <formula>0</formula>
    </cfRule>
  </conditionalFormatting>
  <conditionalFormatting sqref="E1984 I1984 M1984">
    <cfRule type="cellIs" dxfId="1010" priority="605" stopIfTrue="1" operator="lessThan">
      <formula>0</formula>
    </cfRule>
    <cfRule type="cellIs" dxfId="1009" priority="606" stopIfTrue="1" operator="equal">
      <formula>0</formula>
    </cfRule>
    <cfRule type="cellIs" dxfId="1008" priority="607" stopIfTrue="1" operator="greaterThan">
      <formula>0</formula>
    </cfRule>
  </conditionalFormatting>
  <conditionalFormatting sqref="E1994:E2000 I1994:I2000 M1994:M2000">
    <cfRule type="cellIs" dxfId="1007" priority="587" stopIfTrue="1" operator="lessThan">
      <formula>0</formula>
    </cfRule>
    <cfRule type="cellIs" dxfId="1006" priority="588" stopIfTrue="1" operator="equal">
      <formula>0</formula>
    </cfRule>
    <cfRule type="cellIs" dxfId="1005" priority="589" stopIfTrue="1" operator="greaterThan">
      <formula>0</formula>
    </cfRule>
  </conditionalFormatting>
  <conditionalFormatting sqref="E2002:E2003">
    <cfRule type="cellIs" dxfId="1004" priority="584" stopIfTrue="1" operator="lessThan">
      <formula>0</formula>
    </cfRule>
    <cfRule type="cellIs" dxfId="1003" priority="585" stopIfTrue="1" operator="equal">
      <formula>0</formula>
    </cfRule>
    <cfRule type="cellIs" dxfId="1002" priority="586" stopIfTrue="1" operator="greaterThan">
      <formula>0</formula>
    </cfRule>
  </conditionalFormatting>
  <conditionalFormatting sqref="E2005:E2006 I2005:I2006 M2005:M2006">
    <cfRule type="cellIs" dxfId="1001" priority="590" stopIfTrue="1" operator="lessThan">
      <formula>0</formula>
    </cfRule>
    <cfRule type="cellIs" dxfId="1000" priority="591" stopIfTrue="1" operator="equal">
      <formula>0</formula>
    </cfRule>
    <cfRule type="cellIs" dxfId="999" priority="592" stopIfTrue="1" operator="greaterThan">
      <formula>0</formula>
    </cfRule>
  </conditionalFormatting>
  <conditionalFormatting sqref="E2016 I2016 M2016 E2018:E2019 I2018:I2019 M2018:M2019 E2021 I2021 M2021">
    <cfRule type="cellIs" dxfId="998" priority="379" stopIfTrue="1" operator="lessThan">
      <formula>0</formula>
    </cfRule>
    <cfRule type="cellIs" dxfId="997" priority="380" stopIfTrue="1" operator="equal">
      <formula>0</formula>
    </cfRule>
    <cfRule type="cellIs" dxfId="996" priority="381" stopIfTrue="1" operator="greaterThan">
      <formula>0</formula>
    </cfRule>
  </conditionalFormatting>
  <conditionalFormatting sqref="E2038:E2039 I2038:I2039 M2038:M2039 E2041:E2042 I2041:I2042 M2041:M2042">
    <cfRule type="cellIs" dxfId="995" priority="376" stopIfTrue="1" operator="lessThan">
      <formula>0</formula>
    </cfRule>
    <cfRule type="cellIs" dxfId="994" priority="377" stopIfTrue="1" operator="equal">
      <formula>0</formula>
    </cfRule>
    <cfRule type="cellIs" dxfId="993" priority="378" stopIfTrue="1" operator="greaterThan">
      <formula>0</formula>
    </cfRule>
  </conditionalFormatting>
  <conditionalFormatting sqref="E2069 I2069 M2069 E2071:E2072 I2071:I2072 M2071:M2072 E2074 I2074 M2074">
    <cfRule type="cellIs" dxfId="992" priority="382" stopIfTrue="1" operator="lessThan">
      <formula>0</formula>
    </cfRule>
    <cfRule type="cellIs" dxfId="991" priority="383" stopIfTrue="1" operator="equal">
      <formula>0</formula>
    </cfRule>
    <cfRule type="cellIs" dxfId="990" priority="384" stopIfTrue="1" operator="greaterThan">
      <formula>0</formula>
    </cfRule>
  </conditionalFormatting>
  <conditionalFormatting sqref="E2084:E2086 I2084:I2086 M2084:M2086 E2088:E2089 I2088:I2089 M2088:M2089 E2091:E2092 I2091:I2092 M2091:M2092">
    <cfRule type="cellIs" dxfId="989" priority="373" stopIfTrue="1" operator="lessThan">
      <formula>0</formula>
    </cfRule>
    <cfRule type="cellIs" dxfId="988" priority="374" stopIfTrue="1" operator="equal">
      <formula>0</formula>
    </cfRule>
    <cfRule type="cellIs" dxfId="987" priority="375" stopIfTrue="1" operator="greaterThan">
      <formula>0</formula>
    </cfRule>
  </conditionalFormatting>
  <conditionalFormatting sqref="E2102:E2107 I2102:I2107 M2102:M2107">
    <cfRule type="cellIs" dxfId="986" priority="370" stopIfTrue="1" operator="lessThan">
      <formula>0</formula>
    </cfRule>
    <cfRule type="cellIs" dxfId="985" priority="371" stopIfTrue="1" operator="equal">
      <formula>0</formula>
    </cfRule>
    <cfRule type="cellIs" dxfId="984" priority="372" stopIfTrue="1" operator="greaterThan">
      <formula>0</formula>
    </cfRule>
  </conditionalFormatting>
  <conditionalFormatting sqref="E2109:E2110 I2109:I2110 M2109:M2110 E2112:E2113 I2112:I2113 M2112:M2113">
    <cfRule type="cellIs" dxfId="983" priority="367" stopIfTrue="1" operator="lessThan">
      <formula>0</formula>
    </cfRule>
    <cfRule type="cellIs" dxfId="982" priority="368" stopIfTrue="1" operator="equal">
      <formula>0</formula>
    </cfRule>
    <cfRule type="cellIs" dxfId="981" priority="369" stopIfTrue="1" operator="greaterThan">
      <formula>0</formula>
    </cfRule>
  </conditionalFormatting>
  <conditionalFormatting sqref="E2128:E2129 I2128:I2129 M2128:M2129">
    <cfRule type="cellIs" dxfId="980" priority="364" stopIfTrue="1" operator="lessThan">
      <formula>0</formula>
    </cfRule>
    <cfRule type="cellIs" dxfId="979" priority="365" stopIfTrue="1" operator="equal">
      <formula>0</formula>
    </cfRule>
    <cfRule type="cellIs" dxfId="978" priority="366" stopIfTrue="1" operator="greaterThan">
      <formula>0</formula>
    </cfRule>
  </conditionalFormatting>
  <conditionalFormatting sqref="E2151:E2152 I2151:I2152 M2151:M2152">
    <cfRule type="cellIs" dxfId="977" priority="1" stopIfTrue="1" operator="lessThan">
      <formula>0</formula>
    </cfRule>
    <cfRule type="cellIs" dxfId="976" priority="2" stopIfTrue="1" operator="equal">
      <formula>0</formula>
    </cfRule>
    <cfRule type="cellIs" dxfId="975" priority="3" stopIfTrue="1" operator="greaterThan">
      <formula>0</formula>
    </cfRule>
  </conditionalFormatting>
  <conditionalFormatting sqref="E2154 I2154 M2154">
    <cfRule type="cellIs" dxfId="974" priority="4" stopIfTrue="1" operator="lessThan">
      <formula>0</formula>
    </cfRule>
    <cfRule type="cellIs" dxfId="973" priority="5" stopIfTrue="1" operator="equal">
      <formula>0</formula>
    </cfRule>
    <cfRule type="cellIs" dxfId="972" priority="6" stopIfTrue="1" operator="greaterThan">
      <formula>0</formula>
    </cfRule>
  </conditionalFormatting>
  <conditionalFormatting sqref="E2175:E2176">
    <cfRule type="cellIs" dxfId="971" priority="97" stopIfTrue="1" operator="lessThan">
      <formula>0</formula>
    </cfRule>
    <cfRule type="cellIs" dxfId="970" priority="98" stopIfTrue="1" operator="equal">
      <formula>0</formula>
    </cfRule>
    <cfRule type="cellIs" dxfId="969" priority="99" stopIfTrue="1" operator="greaterThan">
      <formula>0</formula>
    </cfRule>
  </conditionalFormatting>
  <conditionalFormatting sqref="E2178:E2179 I2178:I2179 M2178:M2179">
    <cfRule type="cellIs" dxfId="968" priority="100" stopIfTrue="1" operator="lessThan">
      <formula>0</formula>
    </cfRule>
    <cfRule type="cellIs" dxfId="967" priority="101" stopIfTrue="1" operator="equal">
      <formula>0</formula>
    </cfRule>
    <cfRule type="cellIs" dxfId="966" priority="102" stopIfTrue="1" operator="greaterThan">
      <formula>0</formula>
    </cfRule>
  </conditionalFormatting>
  <conditionalFormatting sqref="E2202:E2203">
    <cfRule type="cellIs" dxfId="965" priority="61" stopIfTrue="1" operator="lessThan">
      <formula>0</formula>
    </cfRule>
    <cfRule type="cellIs" dxfId="964" priority="62" stopIfTrue="1" operator="equal">
      <formula>0</formula>
    </cfRule>
    <cfRule type="cellIs" dxfId="963" priority="63" stopIfTrue="1" operator="greaterThan">
      <formula>0</formula>
    </cfRule>
  </conditionalFormatting>
  <conditionalFormatting sqref="E2205:E2209 I2205:I2209 M2205:M2209">
    <cfRule type="cellIs" dxfId="962" priority="64" stopIfTrue="1" operator="lessThan">
      <formula>0</formula>
    </cfRule>
    <cfRule type="cellIs" dxfId="961" priority="65" stopIfTrue="1" operator="equal">
      <formula>0</formula>
    </cfRule>
    <cfRule type="cellIs" dxfId="960" priority="66" stopIfTrue="1" operator="greaterThan">
      <formula>0</formula>
    </cfRule>
  </conditionalFormatting>
  <conditionalFormatting sqref="E2252:E2253">
    <cfRule type="cellIs" dxfId="959" priority="46" stopIfTrue="1" operator="lessThan">
      <formula>0</formula>
    </cfRule>
    <cfRule type="cellIs" dxfId="958" priority="47" stopIfTrue="1" operator="equal">
      <formula>0</formula>
    </cfRule>
    <cfRule type="cellIs" dxfId="957" priority="48" stopIfTrue="1" operator="greaterThan">
      <formula>0</formula>
    </cfRule>
  </conditionalFormatting>
  <conditionalFormatting sqref="I9:I10 M9:M10 E43:E45 E81 I81 M81 E199:E200 I199:I200 M199:M200 E510:E516 I510:I516 M510:M516 E593:E600 I593:I600 M593:M600 E634:E635 I634:I635 M634:M635 E654:E656 I654:I656 M654:M656 E666:E669 I666:I669 M666:M669 E693:E694 I693:I694 M693:M694 E716:E717 I716:I717 M716:M717 E743:E747 I743:I747 M743:M747 E1094:E1096 I1094:I1096 M1094:M1096 E1160:E1163 I1160:I1163 M1160:M1163 E1206:E1208 I1206:I1208 M1206:M1208 E1265:E1272 I1265:I1272 M1265:M1272 E1325:E1327 I1325:I1327 M1325:M1327 E1569:E1571 I1569:I1571 M1569:M1571 E1667:E1670 I1667:I1670 M1667:M1670 E1687:E1688 I1687:I1688 M1687:M1688 E1909:E1921 I1909:I1921 M1909:M1921 E2255:E2258 I2255:I2258 M2255:M2258">
    <cfRule type="cellIs" dxfId="956" priority="2041" stopIfTrue="1" operator="lessThan">
      <formula>0</formula>
    </cfRule>
    <cfRule type="cellIs" dxfId="955" priority="2042" stopIfTrue="1" operator="equal">
      <formula>0</formula>
    </cfRule>
    <cfRule type="cellIs" dxfId="954" priority="2043" stopIfTrue="1" operator="greaterThan">
      <formula>0</formula>
    </cfRule>
  </conditionalFormatting>
  <conditionalFormatting sqref="I12:I13">
    <cfRule type="cellIs" dxfId="953" priority="2056" stopIfTrue="1" operator="lessThan">
      <formula>0</formula>
    </cfRule>
    <cfRule type="cellIs" dxfId="952" priority="2057" stopIfTrue="1" operator="equal">
      <formula>0</formula>
    </cfRule>
    <cfRule type="cellIs" dxfId="951" priority="2058" stopIfTrue="1" operator="greaterThan">
      <formula>0</formula>
    </cfRule>
  </conditionalFormatting>
  <conditionalFormatting sqref="I15:I16">
    <cfRule type="cellIs" dxfId="950" priority="2077" stopIfTrue="1" operator="lessThan">
      <formula>0</formula>
    </cfRule>
    <cfRule type="cellIs" dxfId="949" priority="2078" stopIfTrue="1" operator="equal">
      <formula>0</formula>
    </cfRule>
    <cfRule type="cellIs" dxfId="948" priority="2079" stopIfTrue="1" operator="greaterThan">
      <formula>0</formula>
    </cfRule>
  </conditionalFormatting>
  <conditionalFormatting sqref="I43:I45">
    <cfRule type="cellIs" dxfId="947" priority="2038" stopIfTrue="1" operator="lessThan">
      <formula>0</formula>
    </cfRule>
    <cfRule type="cellIs" dxfId="946" priority="2039" stopIfTrue="1" operator="equal">
      <formula>0</formula>
    </cfRule>
    <cfRule type="cellIs" dxfId="945" priority="2040" stopIfTrue="1" operator="greaterThan">
      <formula>0</formula>
    </cfRule>
  </conditionalFormatting>
  <conditionalFormatting sqref="I47:I48">
    <cfRule type="cellIs" dxfId="944" priority="2065" stopIfTrue="1" operator="lessThan">
      <formula>0</formula>
    </cfRule>
    <cfRule type="cellIs" dxfId="943" priority="2066" stopIfTrue="1" operator="equal">
      <formula>0</formula>
    </cfRule>
    <cfRule type="cellIs" dxfId="942" priority="2067" stopIfTrue="1" operator="greaterThan">
      <formula>0</formula>
    </cfRule>
  </conditionalFormatting>
  <conditionalFormatting sqref="I61:I62">
    <cfRule type="cellIs" dxfId="941" priority="2011" stopIfTrue="1" operator="lessThan">
      <formula>0</formula>
    </cfRule>
    <cfRule type="cellIs" dxfId="940" priority="2012" stopIfTrue="1" operator="equal">
      <formula>0</formula>
    </cfRule>
    <cfRule type="cellIs" dxfId="939" priority="2013" stopIfTrue="1" operator="greaterThan">
      <formula>0</formula>
    </cfRule>
  </conditionalFormatting>
  <conditionalFormatting sqref="I64:I65">
    <cfRule type="cellIs" dxfId="938" priority="2023" stopIfTrue="1" operator="lessThan">
      <formula>0</formula>
    </cfRule>
    <cfRule type="cellIs" dxfId="937" priority="2024" stopIfTrue="1" operator="equal">
      <formula>0</formula>
    </cfRule>
    <cfRule type="cellIs" dxfId="936" priority="2025" stopIfTrue="1" operator="greaterThan">
      <formula>0</formula>
    </cfRule>
  </conditionalFormatting>
  <conditionalFormatting sqref="I78:I79">
    <cfRule type="cellIs" dxfId="935" priority="1984" stopIfTrue="1" operator="lessThan">
      <formula>0</formula>
    </cfRule>
    <cfRule type="cellIs" dxfId="934" priority="1985" stopIfTrue="1" operator="equal">
      <formula>0</formula>
    </cfRule>
    <cfRule type="cellIs" dxfId="933" priority="1986" stopIfTrue="1" operator="greaterThan">
      <formula>0</formula>
    </cfRule>
  </conditionalFormatting>
  <conditionalFormatting sqref="I119:I120">
    <cfRule type="cellIs" dxfId="932" priority="25" stopIfTrue="1" operator="lessThan">
      <formula>0</formula>
    </cfRule>
    <cfRule type="cellIs" dxfId="931" priority="26" stopIfTrue="1" operator="equal">
      <formula>0</formula>
    </cfRule>
    <cfRule type="cellIs" dxfId="930" priority="27" stopIfTrue="1" operator="greaterThan">
      <formula>0</formula>
    </cfRule>
  </conditionalFormatting>
  <conditionalFormatting sqref="I122:I123">
    <cfRule type="cellIs" dxfId="929" priority="1975" stopIfTrue="1" operator="lessThan">
      <formula>0</formula>
    </cfRule>
    <cfRule type="cellIs" dxfId="928" priority="1976" stopIfTrue="1" operator="equal">
      <formula>0</formula>
    </cfRule>
    <cfRule type="cellIs" dxfId="927" priority="1977" stopIfTrue="1" operator="greaterThan">
      <formula>0</formula>
    </cfRule>
  </conditionalFormatting>
  <conditionalFormatting sqref="I145:I146">
    <cfRule type="cellIs" dxfId="926" priority="1948" stopIfTrue="1" operator="lessThan">
      <formula>0</formula>
    </cfRule>
    <cfRule type="cellIs" dxfId="925" priority="1949" stopIfTrue="1" operator="equal">
      <formula>0</formula>
    </cfRule>
    <cfRule type="cellIs" dxfId="924" priority="1950" stopIfTrue="1" operator="greaterThan">
      <formula>0</formula>
    </cfRule>
  </conditionalFormatting>
  <conditionalFormatting sqref="I148:I149">
    <cfRule type="cellIs" dxfId="923" priority="1957" stopIfTrue="1" operator="lessThan">
      <formula>0</formula>
    </cfRule>
    <cfRule type="cellIs" dxfId="922" priority="1958" stopIfTrue="1" operator="equal">
      <formula>0</formula>
    </cfRule>
    <cfRule type="cellIs" dxfId="921" priority="1959" stopIfTrue="1" operator="greaterThan">
      <formula>0</formula>
    </cfRule>
  </conditionalFormatting>
  <conditionalFormatting sqref="I159:I160">
    <cfRule type="cellIs" dxfId="920" priority="340" stopIfTrue="1" operator="lessThan">
      <formula>0</formula>
    </cfRule>
    <cfRule type="cellIs" dxfId="919" priority="341" stopIfTrue="1" operator="equal">
      <formula>0</formula>
    </cfRule>
    <cfRule type="cellIs" dxfId="918" priority="342" stopIfTrue="1" operator="greaterThan">
      <formula>0</formula>
    </cfRule>
  </conditionalFormatting>
  <conditionalFormatting sqref="I162:I163">
    <cfRule type="cellIs" dxfId="917" priority="349" stopIfTrue="1" operator="lessThan">
      <formula>0</formula>
    </cfRule>
    <cfRule type="cellIs" dxfId="916" priority="350" stopIfTrue="1" operator="equal">
      <formula>0</formula>
    </cfRule>
    <cfRule type="cellIs" dxfId="915" priority="351" stopIfTrue="1" operator="greaterThan">
      <formula>0</formula>
    </cfRule>
  </conditionalFormatting>
  <conditionalFormatting sqref="I165:I166">
    <cfRule type="cellIs" dxfId="914" priority="358" stopIfTrue="1" operator="lessThan">
      <formula>0</formula>
    </cfRule>
    <cfRule type="cellIs" dxfId="913" priority="359" stopIfTrue="1" operator="equal">
      <formula>0</formula>
    </cfRule>
    <cfRule type="cellIs" dxfId="912" priority="360" stopIfTrue="1" operator="greaterThan">
      <formula>0</formula>
    </cfRule>
  </conditionalFormatting>
  <conditionalFormatting sqref="I179:I180">
    <cfRule type="cellIs" dxfId="911" priority="1921" stopIfTrue="1" operator="lessThan">
      <formula>0</formula>
    </cfRule>
    <cfRule type="cellIs" dxfId="910" priority="1922" stopIfTrue="1" operator="equal">
      <formula>0</formula>
    </cfRule>
    <cfRule type="cellIs" dxfId="909" priority="1923" stopIfTrue="1" operator="greaterThan">
      <formula>0</formula>
    </cfRule>
  </conditionalFormatting>
  <conditionalFormatting sqref="I182:I183">
    <cfRule type="cellIs" dxfId="908" priority="1930" stopIfTrue="1" operator="lessThan">
      <formula>0</formula>
    </cfRule>
    <cfRule type="cellIs" dxfId="907" priority="1931" stopIfTrue="1" operator="equal">
      <formula>0</formula>
    </cfRule>
    <cfRule type="cellIs" dxfId="906" priority="1932" stopIfTrue="1" operator="greaterThan">
      <formula>0</formula>
    </cfRule>
  </conditionalFormatting>
  <conditionalFormatting sqref="I185:I186">
    <cfRule type="cellIs" dxfId="905" priority="1939" stopIfTrue="1" operator="lessThan">
      <formula>0</formula>
    </cfRule>
    <cfRule type="cellIs" dxfId="904" priority="1940" stopIfTrue="1" operator="equal">
      <formula>0</formula>
    </cfRule>
    <cfRule type="cellIs" dxfId="903" priority="1941" stopIfTrue="1" operator="greaterThan">
      <formula>0</formula>
    </cfRule>
  </conditionalFormatting>
  <conditionalFormatting sqref="I202">
    <cfRule type="cellIs" dxfId="902" priority="303" stopIfTrue="1" operator="greaterThan">
      <formula>0</formula>
    </cfRule>
  </conditionalFormatting>
  <conditionalFormatting sqref="I202:I203 M202:M203 E202:E203">
    <cfRule type="cellIs" dxfId="901" priority="304" stopIfTrue="1" operator="lessThan">
      <formula>0</formula>
    </cfRule>
  </conditionalFormatting>
  <conditionalFormatting sqref="I203">
    <cfRule type="cellIs" dxfId="900" priority="1914" stopIfTrue="1" operator="greaterThan">
      <formula>0</formula>
    </cfRule>
  </conditionalFormatting>
  <conditionalFormatting sqref="I215:I216">
    <cfRule type="cellIs" dxfId="899" priority="1882" stopIfTrue="1" operator="lessThan">
      <formula>0</formula>
    </cfRule>
    <cfRule type="cellIs" dxfId="898" priority="1883" stopIfTrue="1" operator="equal">
      <formula>0</formula>
    </cfRule>
    <cfRule type="cellIs" dxfId="897" priority="1884" stopIfTrue="1" operator="greaterThan">
      <formula>0</formula>
    </cfRule>
  </conditionalFormatting>
  <conditionalFormatting sqref="I231:I232">
    <cfRule type="cellIs" dxfId="896" priority="1864" stopIfTrue="1" operator="lessThan">
      <formula>0</formula>
    </cfRule>
    <cfRule type="cellIs" dxfId="895" priority="1865" stopIfTrue="1" operator="equal">
      <formula>0</formula>
    </cfRule>
    <cfRule type="cellIs" dxfId="894" priority="1866" stopIfTrue="1" operator="greaterThan">
      <formula>0</formula>
    </cfRule>
  </conditionalFormatting>
  <conditionalFormatting sqref="I234:I236">
    <cfRule type="cellIs" dxfId="893" priority="292" stopIfTrue="1" operator="lessThan">
      <formula>0</formula>
    </cfRule>
    <cfRule type="cellIs" dxfId="892" priority="293" stopIfTrue="1" operator="equal">
      <formula>0</formula>
    </cfRule>
    <cfRule type="cellIs" dxfId="891" priority="294" stopIfTrue="1" operator="greaterThan">
      <formula>0</formula>
    </cfRule>
  </conditionalFormatting>
  <conditionalFormatting sqref="I249:I251">
    <cfRule type="cellIs" dxfId="890" priority="1843" stopIfTrue="1" operator="lessThan">
      <formula>0</formula>
    </cfRule>
    <cfRule type="cellIs" dxfId="889" priority="1844" stopIfTrue="1" operator="equal">
      <formula>0</formula>
    </cfRule>
    <cfRule type="cellIs" dxfId="888" priority="1845" stopIfTrue="1" operator="greaterThan">
      <formula>0</formula>
    </cfRule>
  </conditionalFormatting>
  <conditionalFormatting sqref="I253:I254">
    <cfRule type="cellIs" dxfId="887" priority="1852" stopIfTrue="1" operator="lessThan">
      <formula>0</formula>
    </cfRule>
    <cfRule type="cellIs" dxfId="886" priority="1853" stopIfTrue="1" operator="equal">
      <formula>0</formula>
    </cfRule>
    <cfRule type="cellIs" dxfId="885" priority="1854" stopIfTrue="1" operator="greaterThan">
      <formula>0</formula>
    </cfRule>
  </conditionalFormatting>
  <conditionalFormatting sqref="I267:I268">
    <cfRule type="cellIs" dxfId="884" priority="1822" stopIfTrue="1" operator="lessThan">
      <formula>0</formula>
    </cfRule>
    <cfRule type="cellIs" dxfId="883" priority="1823" stopIfTrue="1" operator="equal">
      <formula>0</formula>
    </cfRule>
    <cfRule type="cellIs" dxfId="882" priority="1824" stopIfTrue="1" operator="greaterThan">
      <formula>0</formula>
    </cfRule>
  </conditionalFormatting>
  <conditionalFormatting sqref="I285:I286">
    <cfRule type="cellIs" dxfId="881" priority="1801" stopIfTrue="1" operator="lessThan">
      <formula>0</formula>
    </cfRule>
    <cfRule type="cellIs" dxfId="880" priority="1802" stopIfTrue="1" operator="equal">
      <formula>0</formula>
    </cfRule>
    <cfRule type="cellIs" dxfId="879" priority="1803" stopIfTrue="1" operator="greaterThan">
      <formula>0</formula>
    </cfRule>
  </conditionalFormatting>
  <conditionalFormatting sqref="I288:I290">
    <cfRule type="cellIs" dxfId="878" priority="265" stopIfTrue="1" operator="lessThan">
      <formula>0</formula>
    </cfRule>
    <cfRule type="cellIs" dxfId="877" priority="266" stopIfTrue="1" operator="equal">
      <formula>0</formula>
    </cfRule>
    <cfRule type="cellIs" dxfId="876" priority="267" stopIfTrue="1" operator="greaterThan">
      <formula>0</formula>
    </cfRule>
  </conditionalFormatting>
  <conditionalFormatting sqref="I302:I303">
    <cfRule type="cellIs" dxfId="875" priority="1774" stopIfTrue="1" operator="lessThan">
      <formula>0</formula>
    </cfRule>
    <cfRule type="cellIs" dxfId="874" priority="1775" stopIfTrue="1" operator="equal">
      <formula>0</formula>
    </cfRule>
    <cfRule type="cellIs" dxfId="873" priority="1776" stopIfTrue="1" operator="greaterThan">
      <formula>0</formula>
    </cfRule>
  </conditionalFormatting>
  <conditionalFormatting sqref="I305:I306">
    <cfRule type="cellIs" dxfId="872" priority="1783" stopIfTrue="1" operator="lessThan">
      <formula>0</formula>
    </cfRule>
    <cfRule type="cellIs" dxfId="871" priority="1784" stopIfTrue="1" operator="equal">
      <formula>0</formula>
    </cfRule>
    <cfRule type="cellIs" dxfId="870" priority="1785" stopIfTrue="1" operator="greaterThan">
      <formula>0</formula>
    </cfRule>
  </conditionalFormatting>
  <conditionalFormatting sqref="I308:I309">
    <cfRule type="cellIs" dxfId="869" priority="1792" stopIfTrue="1" operator="lessThan">
      <formula>0</formula>
    </cfRule>
    <cfRule type="cellIs" dxfId="868" priority="1793" stopIfTrue="1" operator="equal">
      <formula>0</formula>
    </cfRule>
    <cfRule type="cellIs" dxfId="867" priority="1794" stopIfTrue="1" operator="greaterThan">
      <formula>0</formula>
    </cfRule>
  </conditionalFormatting>
  <conditionalFormatting sqref="I319:I320">
    <cfRule type="cellIs" dxfId="866" priority="1747" stopIfTrue="1" operator="lessThan">
      <formula>0</formula>
    </cfRule>
    <cfRule type="cellIs" dxfId="865" priority="1748" stopIfTrue="1" operator="equal">
      <formula>0</formula>
    </cfRule>
    <cfRule type="cellIs" dxfId="864" priority="1749" stopIfTrue="1" operator="greaterThan">
      <formula>0</formula>
    </cfRule>
  </conditionalFormatting>
  <conditionalFormatting sqref="I322:I323">
    <cfRule type="cellIs" dxfId="863" priority="1756" stopIfTrue="1" operator="lessThan">
      <formula>0</formula>
    </cfRule>
    <cfRule type="cellIs" dxfId="862" priority="1757" stopIfTrue="1" operator="equal">
      <formula>0</formula>
    </cfRule>
    <cfRule type="cellIs" dxfId="861" priority="1758" stopIfTrue="1" operator="greaterThan">
      <formula>0</formula>
    </cfRule>
  </conditionalFormatting>
  <conditionalFormatting sqref="I325:I326">
    <cfRule type="cellIs" dxfId="860" priority="1765" stopIfTrue="1" operator="lessThan">
      <formula>0</formula>
    </cfRule>
    <cfRule type="cellIs" dxfId="859" priority="1766" stopIfTrue="1" operator="equal">
      <formula>0</formula>
    </cfRule>
    <cfRule type="cellIs" dxfId="858" priority="1767" stopIfTrue="1" operator="greaterThan">
      <formula>0</formula>
    </cfRule>
  </conditionalFormatting>
  <conditionalFormatting sqref="I336:I337">
    <cfRule type="cellIs" dxfId="857" priority="1720" stopIfTrue="1" operator="lessThan">
      <formula>0</formula>
    </cfRule>
    <cfRule type="cellIs" dxfId="856" priority="1721" stopIfTrue="1" operator="equal">
      <formula>0</formula>
    </cfRule>
    <cfRule type="cellIs" dxfId="855" priority="1722" stopIfTrue="1" operator="greaterThan">
      <formula>0</formula>
    </cfRule>
  </conditionalFormatting>
  <conditionalFormatting sqref="I339:I340">
    <cfRule type="cellIs" dxfId="854" priority="1729" stopIfTrue="1" operator="lessThan">
      <formula>0</formula>
    </cfRule>
    <cfRule type="cellIs" dxfId="853" priority="1730" stopIfTrue="1" operator="equal">
      <formula>0</formula>
    </cfRule>
    <cfRule type="cellIs" dxfId="852" priority="1731" stopIfTrue="1" operator="greaterThan">
      <formula>0</formula>
    </cfRule>
  </conditionalFormatting>
  <conditionalFormatting sqref="I342:I343">
    <cfRule type="cellIs" dxfId="851" priority="1738" stopIfTrue="1" operator="lessThan">
      <formula>0</formula>
    </cfRule>
    <cfRule type="cellIs" dxfId="850" priority="1739" stopIfTrue="1" operator="equal">
      <formula>0</formula>
    </cfRule>
    <cfRule type="cellIs" dxfId="849" priority="1740" stopIfTrue="1" operator="greaterThan">
      <formula>0</formula>
    </cfRule>
  </conditionalFormatting>
  <conditionalFormatting sqref="I353:I354">
    <cfRule type="cellIs" dxfId="848" priority="1693" stopIfTrue="1" operator="lessThan">
      <formula>0</formula>
    </cfRule>
    <cfRule type="cellIs" dxfId="847" priority="1694" stopIfTrue="1" operator="equal">
      <formula>0</formula>
    </cfRule>
    <cfRule type="cellIs" dxfId="846" priority="1695" stopIfTrue="1" operator="greaterThan">
      <formula>0</formula>
    </cfRule>
  </conditionalFormatting>
  <conditionalFormatting sqref="I356:I357">
    <cfRule type="cellIs" dxfId="845" priority="1702" stopIfTrue="1" operator="lessThan">
      <formula>0</formula>
    </cfRule>
    <cfRule type="cellIs" dxfId="844" priority="1703" stopIfTrue="1" operator="equal">
      <formula>0</formula>
    </cfRule>
    <cfRule type="cellIs" dxfId="843" priority="1704" stopIfTrue="1" operator="greaterThan">
      <formula>0</formula>
    </cfRule>
  </conditionalFormatting>
  <conditionalFormatting sqref="I373:I374">
    <cfRule type="cellIs" dxfId="842" priority="1675" stopIfTrue="1" operator="lessThan">
      <formula>0</formula>
    </cfRule>
    <cfRule type="cellIs" dxfId="841" priority="1676" stopIfTrue="1" operator="equal">
      <formula>0</formula>
    </cfRule>
    <cfRule type="cellIs" dxfId="840" priority="1677" stopIfTrue="1" operator="greaterThan">
      <formula>0</formula>
    </cfRule>
  </conditionalFormatting>
  <conditionalFormatting sqref="I376:I377">
    <cfRule type="cellIs" dxfId="839" priority="1684" stopIfTrue="1" operator="lessThan">
      <formula>0</formula>
    </cfRule>
    <cfRule type="cellIs" dxfId="838" priority="1685" stopIfTrue="1" operator="equal">
      <formula>0</formula>
    </cfRule>
    <cfRule type="cellIs" dxfId="837" priority="1686" stopIfTrue="1" operator="greaterThan">
      <formula>0</formula>
    </cfRule>
  </conditionalFormatting>
  <conditionalFormatting sqref="I392:I393">
    <cfRule type="cellIs" dxfId="836" priority="1648" stopIfTrue="1" operator="lessThan">
      <formula>0</formula>
    </cfRule>
    <cfRule type="cellIs" dxfId="835" priority="1649" stopIfTrue="1" operator="equal">
      <formula>0</formula>
    </cfRule>
    <cfRule type="cellIs" dxfId="834" priority="1650" stopIfTrue="1" operator="greaterThan">
      <formula>0</formula>
    </cfRule>
  </conditionalFormatting>
  <conditionalFormatting sqref="I395:I396">
    <cfRule type="cellIs" dxfId="833" priority="1657" stopIfTrue="1" operator="lessThan">
      <formula>0</formula>
    </cfRule>
    <cfRule type="cellIs" dxfId="832" priority="1658" stopIfTrue="1" operator="equal">
      <formula>0</formula>
    </cfRule>
    <cfRule type="cellIs" dxfId="831" priority="1659" stopIfTrue="1" operator="greaterThan">
      <formula>0</formula>
    </cfRule>
  </conditionalFormatting>
  <conditionalFormatting sqref="I414:I415">
    <cfRule type="cellIs" dxfId="830" priority="1621" stopIfTrue="1" operator="lessThan">
      <formula>0</formula>
    </cfRule>
    <cfRule type="cellIs" dxfId="829" priority="1622" stopIfTrue="1" operator="equal">
      <formula>0</formula>
    </cfRule>
    <cfRule type="cellIs" dxfId="828" priority="1623" stopIfTrue="1" operator="greaterThan">
      <formula>0</formula>
    </cfRule>
  </conditionalFormatting>
  <conditionalFormatting sqref="I417:I418">
    <cfRule type="cellIs" dxfId="827" priority="1633" stopIfTrue="1" operator="lessThan">
      <formula>0</formula>
    </cfRule>
    <cfRule type="cellIs" dxfId="826" priority="1634" stopIfTrue="1" operator="equal">
      <formula>0</formula>
    </cfRule>
    <cfRule type="cellIs" dxfId="825" priority="1635" stopIfTrue="1" operator="greaterThan">
      <formula>0</formula>
    </cfRule>
  </conditionalFormatting>
  <conditionalFormatting sqref="I428:I429">
    <cfRule type="cellIs" dxfId="824" priority="1609" stopIfTrue="1" operator="lessThan">
      <formula>0</formula>
    </cfRule>
    <cfRule type="cellIs" dxfId="823" priority="1610" stopIfTrue="1" operator="equal">
      <formula>0</formula>
    </cfRule>
    <cfRule type="cellIs" dxfId="822" priority="1611" stopIfTrue="1" operator="greaterThan">
      <formula>0</formula>
    </cfRule>
  </conditionalFormatting>
  <conditionalFormatting sqref="I431:I432">
    <cfRule type="cellIs" dxfId="821" priority="1594" stopIfTrue="1" operator="lessThan">
      <formula>0</formula>
    </cfRule>
    <cfRule type="cellIs" dxfId="820" priority="1595" stopIfTrue="1" operator="equal">
      <formula>0</formula>
    </cfRule>
    <cfRule type="cellIs" dxfId="819" priority="1596" stopIfTrue="1" operator="greaterThan">
      <formula>0</formula>
    </cfRule>
  </conditionalFormatting>
  <conditionalFormatting sqref="I434:I435">
    <cfRule type="cellIs" dxfId="818" priority="1606" stopIfTrue="1" operator="lessThan">
      <formula>0</formula>
    </cfRule>
    <cfRule type="cellIs" dxfId="817" priority="1607" stopIfTrue="1" operator="equal">
      <formula>0</formula>
    </cfRule>
    <cfRule type="cellIs" dxfId="816" priority="1608" stopIfTrue="1" operator="greaterThan">
      <formula>0</formula>
    </cfRule>
  </conditionalFormatting>
  <conditionalFormatting sqref="I452:I453">
    <cfRule type="cellIs" dxfId="815" priority="1576" stopIfTrue="1" operator="lessThan">
      <formula>0</formula>
    </cfRule>
    <cfRule type="cellIs" dxfId="814" priority="1577" stopIfTrue="1" operator="equal">
      <formula>0</formula>
    </cfRule>
    <cfRule type="cellIs" dxfId="813" priority="1578" stopIfTrue="1" operator="greaterThan">
      <formula>0</formula>
    </cfRule>
  </conditionalFormatting>
  <conditionalFormatting sqref="I474:I475">
    <cfRule type="cellIs" dxfId="812" priority="1549" stopIfTrue="1" operator="lessThan">
      <formula>0</formula>
    </cfRule>
    <cfRule type="cellIs" dxfId="811" priority="1550" stopIfTrue="1" operator="equal">
      <formula>0</formula>
    </cfRule>
    <cfRule type="cellIs" dxfId="810" priority="1551" stopIfTrue="1" operator="greaterThan">
      <formula>0</formula>
    </cfRule>
  </conditionalFormatting>
  <conditionalFormatting sqref="I477:I479">
    <cfRule type="cellIs" dxfId="809" priority="1561" stopIfTrue="1" operator="lessThan">
      <formula>0</formula>
    </cfRule>
    <cfRule type="cellIs" dxfId="808" priority="1562" stopIfTrue="1" operator="equal">
      <formula>0</formula>
    </cfRule>
    <cfRule type="cellIs" dxfId="807" priority="1563" stopIfTrue="1" operator="greaterThan">
      <formula>0</formula>
    </cfRule>
  </conditionalFormatting>
  <conditionalFormatting sqref="I496:I497">
    <cfRule type="cellIs" dxfId="806" priority="1522" stopIfTrue="1" operator="lessThan">
      <formula>0</formula>
    </cfRule>
    <cfRule type="cellIs" dxfId="805" priority="1523" stopIfTrue="1" operator="equal">
      <formula>0</formula>
    </cfRule>
    <cfRule type="cellIs" dxfId="804" priority="1524" stopIfTrue="1" operator="greaterThan">
      <formula>0</formula>
    </cfRule>
  </conditionalFormatting>
  <conditionalFormatting sqref="I499:I500">
    <cfRule type="cellIs" dxfId="803" priority="1534" stopIfTrue="1" operator="lessThan">
      <formula>0</formula>
    </cfRule>
    <cfRule type="cellIs" dxfId="802" priority="1535" stopIfTrue="1" operator="equal">
      <formula>0</formula>
    </cfRule>
    <cfRule type="cellIs" dxfId="801" priority="1536" stopIfTrue="1" operator="greaterThan">
      <formula>0</formula>
    </cfRule>
  </conditionalFormatting>
  <conditionalFormatting sqref="I518:I519">
    <cfRule type="cellIs" dxfId="800" priority="1495" stopIfTrue="1" operator="lessThan">
      <formula>0</formula>
    </cfRule>
    <cfRule type="cellIs" dxfId="799" priority="1496" stopIfTrue="1" operator="equal">
      <formula>0</formula>
    </cfRule>
    <cfRule type="cellIs" dxfId="798" priority="1497" stopIfTrue="1" operator="greaterThan">
      <formula>0</formula>
    </cfRule>
  </conditionalFormatting>
  <conditionalFormatting sqref="I521:I522">
    <cfRule type="cellIs" dxfId="797" priority="1507" stopIfTrue="1" operator="lessThan">
      <formula>0</formula>
    </cfRule>
    <cfRule type="cellIs" dxfId="796" priority="1508" stopIfTrue="1" operator="equal">
      <formula>0</formula>
    </cfRule>
    <cfRule type="cellIs" dxfId="795" priority="1509" stopIfTrue="1" operator="greaterThan">
      <formula>0</formula>
    </cfRule>
  </conditionalFormatting>
  <conditionalFormatting sqref="I532:I533">
    <cfRule type="cellIs" dxfId="794" priority="569" stopIfTrue="1" operator="lessThan">
      <formula>0</formula>
    </cfRule>
    <cfRule type="cellIs" dxfId="793" priority="570" stopIfTrue="1" operator="equal">
      <formula>0</formula>
    </cfRule>
    <cfRule type="cellIs" dxfId="792" priority="571" stopIfTrue="1" operator="greaterThan">
      <formula>0</formula>
    </cfRule>
  </conditionalFormatting>
  <conditionalFormatting sqref="I535:I536">
    <cfRule type="cellIs" dxfId="791" priority="554" stopIfTrue="1" operator="lessThan">
      <formula>0</formula>
    </cfRule>
    <cfRule type="cellIs" dxfId="790" priority="555" stopIfTrue="1" operator="equal">
      <formula>0</formula>
    </cfRule>
    <cfRule type="cellIs" dxfId="789" priority="556" stopIfTrue="1" operator="greaterThan">
      <formula>0</formula>
    </cfRule>
  </conditionalFormatting>
  <conditionalFormatting sqref="I538:I539">
    <cfRule type="cellIs" dxfId="788" priority="566" stopIfTrue="1" operator="lessThan">
      <formula>0</formula>
    </cfRule>
    <cfRule type="cellIs" dxfId="787" priority="567" stopIfTrue="1" operator="equal">
      <formula>0</formula>
    </cfRule>
    <cfRule type="cellIs" dxfId="786" priority="568" stopIfTrue="1" operator="greaterThan">
      <formula>0</formula>
    </cfRule>
  </conditionalFormatting>
  <conditionalFormatting sqref="I558:I559">
    <cfRule type="cellIs" dxfId="785" priority="1468" stopIfTrue="1" operator="lessThan">
      <formula>0</formula>
    </cfRule>
    <cfRule type="cellIs" dxfId="784" priority="1469" stopIfTrue="1" operator="equal">
      <formula>0</formula>
    </cfRule>
    <cfRule type="cellIs" dxfId="783" priority="1470" stopIfTrue="1" operator="greaterThan">
      <formula>0</formula>
    </cfRule>
  </conditionalFormatting>
  <conditionalFormatting sqref="I561:I562">
    <cfRule type="cellIs" dxfId="782" priority="1480" stopIfTrue="1" operator="lessThan">
      <formula>0</formula>
    </cfRule>
    <cfRule type="cellIs" dxfId="781" priority="1481" stopIfTrue="1" operator="equal">
      <formula>0</formula>
    </cfRule>
    <cfRule type="cellIs" dxfId="780" priority="1482" stopIfTrue="1" operator="greaterThan">
      <formula>0</formula>
    </cfRule>
  </conditionalFormatting>
  <conditionalFormatting sqref="I590:I591">
    <cfRule type="cellIs" dxfId="779" priority="1450" stopIfTrue="1" operator="lessThan">
      <formula>0</formula>
    </cfRule>
    <cfRule type="cellIs" dxfId="778" priority="1451" stopIfTrue="1" operator="equal">
      <formula>0</formula>
    </cfRule>
    <cfRule type="cellIs" dxfId="777" priority="1452" stopIfTrue="1" operator="greaterThan">
      <formula>0</formula>
    </cfRule>
  </conditionalFormatting>
  <conditionalFormatting sqref="I610">
    <cfRule type="cellIs" dxfId="776" priority="527" stopIfTrue="1" operator="equal">
      <formula>0</formula>
    </cfRule>
    <cfRule type="cellIs" dxfId="775" priority="528" stopIfTrue="1" operator="greaterThan">
      <formula>0</formula>
    </cfRule>
  </conditionalFormatting>
  <conditionalFormatting sqref="I613:I614">
    <cfRule type="cellIs" dxfId="774" priority="532" stopIfTrue="1" operator="lessThan">
      <formula>0</formula>
    </cfRule>
    <cfRule type="cellIs" dxfId="773" priority="533" stopIfTrue="1" operator="equal">
      <formula>0</formula>
    </cfRule>
    <cfRule type="cellIs" dxfId="772" priority="534" stopIfTrue="1" operator="greaterThan">
      <formula>0</formula>
    </cfRule>
  </conditionalFormatting>
  <conditionalFormatting sqref="I616:I617">
    <cfRule type="cellIs" dxfId="771" priority="543" stopIfTrue="1" operator="lessThan">
      <formula>0</formula>
    </cfRule>
    <cfRule type="cellIs" dxfId="770" priority="544" stopIfTrue="1" operator="equal">
      <formula>0</formula>
    </cfRule>
    <cfRule type="cellIs" dxfId="769" priority="545" stopIfTrue="1" operator="greaterThan">
      <formula>0</formula>
    </cfRule>
  </conditionalFormatting>
  <conditionalFormatting sqref="I629:I632">
    <cfRule type="cellIs" dxfId="768" priority="1438" stopIfTrue="1" operator="lessThan">
      <formula>0</formula>
    </cfRule>
    <cfRule type="cellIs" dxfId="767" priority="1439" stopIfTrue="1" operator="equal">
      <formula>0</formula>
    </cfRule>
    <cfRule type="cellIs" dxfId="766" priority="1440" stopIfTrue="1" operator="greaterThan">
      <formula>0</formula>
    </cfRule>
  </conditionalFormatting>
  <conditionalFormatting sqref="I637:I638">
    <cfRule type="cellIs" dxfId="765" priority="1435" stopIfTrue="1" operator="lessThan">
      <formula>0</formula>
    </cfRule>
    <cfRule type="cellIs" dxfId="764" priority="1436" stopIfTrue="1" operator="equal">
      <formula>0</formula>
    </cfRule>
    <cfRule type="cellIs" dxfId="763" priority="1437" stopIfTrue="1" operator="greaterThan">
      <formula>0</formula>
    </cfRule>
  </conditionalFormatting>
  <conditionalFormatting sqref="I651:I652">
    <cfRule type="cellIs" dxfId="762" priority="1402" stopIfTrue="1" operator="lessThan">
      <formula>0</formula>
    </cfRule>
    <cfRule type="cellIs" dxfId="761" priority="1403" stopIfTrue="1" operator="equal">
      <formula>0</formula>
    </cfRule>
    <cfRule type="cellIs" dxfId="760" priority="1404" stopIfTrue="1" operator="greaterThan">
      <formula>0</formula>
    </cfRule>
  </conditionalFormatting>
  <conditionalFormatting sqref="I671:I672">
    <cfRule type="cellIs" dxfId="759" priority="1390" stopIfTrue="1" operator="lessThan">
      <formula>0</formula>
    </cfRule>
    <cfRule type="cellIs" dxfId="758" priority="1391" stopIfTrue="1" operator="equal">
      <formula>0</formula>
    </cfRule>
    <cfRule type="cellIs" dxfId="757" priority="1392" stopIfTrue="1" operator="greaterThan">
      <formula>0</formula>
    </cfRule>
  </conditionalFormatting>
  <conditionalFormatting sqref="I732:I734">
    <cfRule type="cellIs" dxfId="756" priority="506" stopIfTrue="1" operator="equal">
      <formula>0</formula>
    </cfRule>
  </conditionalFormatting>
  <conditionalFormatting sqref="I732:I735">
    <cfRule type="cellIs" dxfId="755" priority="507" stopIfTrue="1" operator="greaterThan">
      <formula>0</formula>
    </cfRule>
  </conditionalFormatting>
  <conditionalFormatting sqref="I757:I768">
    <cfRule type="cellIs" dxfId="754" priority="515" stopIfTrue="1" operator="lessThan">
      <formula>0</formula>
    </cfRule>
    <cfRule type="cellIs" dxfId="753" priority="516" stopIfTrue="1" operator="equal">
      <formula>0</formula>
    </cfRule>
    <cfRule type="cellIs" dxfId="752" priority="517" stopIfTrue="1" operator="greaterThan">
      <formula>0</formula>
    </cfRule>
  </conditionalFormatting>
  <conditionalFormatting sqref="I770:I771">
    <cfRule type="cellIs" dxfId="751" priority="518" stopIfTrue="1" operator="lessThan">
      <formula>0</formula>
    </cfRule>
    <cfRule type="cellIs" dxfId="750" priority="519" stopIfTrue="1" operator="equal">
      <formula>0</formula>
    </cfRule>
    <cfRule type="cellIs" dxfId="749" priority="520" stopIfTrue="1" operator="greaterThan">
      <formula>0</formula>
    </cfRule>
  </conditionalFormatting>
  <conditionalFormatting sqref="I787:I794">
    <cfRule type="cellIs" dxfId="748" priority="521" stopIfTrue="1" operator="lessThan">
      <formula>0</formula>
    </cfRule>
    <cfRule type="cellIs" dxfId="747" priority="522" stopIfTrue="1" operator="equal">
      <formula>0</formula>
    </cfRule>
    <cfRule type="cellIs" dxfId="746" priority="523" stopIfTrue="1" operator="greaterThan">
      <formula>0</formula>
    </cfRule>
  </conditionalFormatting>
  <conditionalFormatting sqref="I796:I797">
    <cfRule type="cellIs" dxfId="745" priority="524" stopIfTrue="1" operator="lessThan">
      <formula>0</formula>
    </cfRule>
    <cfRule type="cellIs" dxfId="744" priority="525" stopIfTrue="1" operator="equal">
      <formula>0</formula>
    </cfRule>
    <cfRule type="cellIs" dxfId="743" priority="526" stopIfTrue="1" operator="greaterThan">
      <formula>0</formula>
    </cfRule>
  </conditionalFormatting>
  <conditionalFormatting sqref="I823:I824">
    <cfRule type="cellIs" dxfId="742" priority="1328" stopIfTrue="1" operator="lessThan">
      <formula>0</formula>
    </cfRule>
    <cfRule type="cellIs" dxfId="741" priority="1329" stopIfTrue="1" operator="equal">
      <formula>0</formula>
    </cfRule>
    <cfRule type="cellIs" dxfId="740" priority="1330" stopIfTrue="1" operator="greaterThan">
      <formula>0</formula>
    </cfRule>
  </conditionalFormatting>
  <conditionalFormatting sqref="I846:I847">
    <cfRule type="cellIs" dxfId="739" priority="1313" stopIfTrue="1" operator="lessThan">
      <formula>0</formula>
    </cfRule>
    <cfRule type="cellIs" dxfId="738" priority="1314" stopIfTrue="1" operator="equal">
      <formula>0</formula>
    </cfRule>
    <cfRule type="cellIs" dxfId="737" priority="1315" stopIfTrue="1" operator="greaterThan">
      <formula>0</formula>
    </cfRule>
  </conditionalFormatting>
  <conditionalFormatting sqref="I881:I882">
    <cfRule type="cellIs" dxfId="736" priority="490" stopIfTrue="1" operator="lessThan">
      <formula>0</formula>
    </cfRule>
    <cfRule type="cellIs" dxfId="735" priority="491" stopIfTrue="1" operator="equal">
      <formula>0</formula>
    </cfRule>
    <cfRule type="cellIs" dxfId="734" priority="492" stopIfTrue="1" operator="greaterThan">
      <formula>0</formula>
    </cfRule>
  </conditionalFormatting>
  <conditionalFormatting sqref="I897:I898">
    <cfRule type="cellIs" dxfId="733" priority="478" stopIfTrue="1" operator="lessThan">
      <formula>0</formula>
    </cfRule>
    <cfRule type="cellIs" dxfId="732" priority="479" stopIfTrue="1" operator="equal">
      <formula>0</formula>
    </cfRule>
    <cfRule type="cellIs" dxfId="731" priority="480" stopIfTrue="1" operator="greaterThan">
      <formula>0</formula>
    </cfRule>
  </conditionalFormatting>
  <conditionalFormatting sqref="I913:I914">
    <cfRule type="cellIs" dxfId="730" priority="1277" stopIfTrue="1" operator="lessThan">
      <formula>0</formula>
    </cfRule>
    <cfRule type="cellIs" dxfId="729" priority="1278" stopIfTrue="1" operator="equal">
      <formula>0</formula>
    </cfRule>
    <cfRule type="cellIs" dxfId="728" priority="1279" stopIfTrue="1" operator="greaterThan">
      <formula>0</formula>
    </cfRule>
  </conditionalFormatting>
  <conditionalFormatting sqref="I916:I917">
    <cfRule type="cellIs" dxfId="727" priority="1286" stopIfTrue="1" operator="lessThan">
      <formula>0</formula>
    </cfRule>
    <cfRule type="cellIs" dxfId="726" priority="1287" stopIfTrue="1" operator="equal">
      <formula>0</formula>
    </cfRule>
    <cfRule type="cellIs" dxfId="725" priority="1288" stopIfTrue="1" operator="greaterThan">
      <formula>0</formula>
    </cfRule>
  </conditionalFormatting>
  <conditionalFormatting sqref="I919:I920">
    <cfRule type="cellIs" dxfId="724" priority="1295" stopIfTrue="1" operator="lessThan">
      <formula>0</formula>
    </cfRule>
    <cfRule type="cellIs" dxfId="723" priority="1296" stopIfTrue="1" operator="equal">
      <formula>0</formula>
    </cfRule>
    <cfRule type="cellIs" dxfId="722" priority="1297" stopIfTrue="1" operator="greaterThan">
      <formula>0</formula>
    </cfRule>
  </conditionalFormatting>
  <conditionalFormatting sqref="I930:I931">
    <cfRule type="cellIs" dxfId="721" priority="1250" stopIfTrue="1" operator="lessThan">
      <formula>0</formula>
    </cfRule>
    <cfRule type="cellIs" dxfId="720" priority="1251" stopIfTrue="1" operator="equal">
      <formula>0</formula>
    </cfRule>
    <cfRule type="cellIs" dxfId="719" priority="1252" stopIfTrue="1" operator="greaterThan">
      <formula>0</formula>
    </cfRule>
  </conditionalFormatting>
  <conditionalFormatting sqref="I933:I934">
    <cfRule type="cellIs" dxfId="718" priority="1259" stopIfTrue="1" operator="lessThan">
      <formula>0</formula>
    </cfRule>
    <cfRule type="cellIs" dxfId="717" priority="1260" stopIfTrue="1" operator="equal">
      <formula>0</formula>
    </cfRule>
    <cfRule type="cellIs" dxfId="716" priority="1261" stopIfTrue="1" operator="greaterThan">
      <formula>0</formula>
    </cfRule>
  </conditionalFormatting>
  <conditionalFormatting sqref="I936:I937">
    <cfRule type="cellIs" dxfId="715" priority="1268" stopIfTrue="1" operator="lessThan">
      <formula>0</formula>
    </cfRule>
    <cfRule type="cellIs" dxfId="714" priority="1269" stopIfTrue="1" operator="equal">
      <formula>0</formula>
    </cfRule>
    <cfRule type="cellIs" dxfId="713" priority="1270" stopIfTrue="1" operator="greaterThan">
      <formula>0</formula>
    </cfRule>
  </conditionalFormatting>
  <conditionalFormatting sqref="I949:I950">
    <cfRule type="cellIs" dxfId="712" priority="1232" stopIfTrue="1" operator="lessThan">
      <formula>0</formula>
    </cfRule>
    <cfRule type="cellIs" dxfId="711" priority="1233" stopIfTrue="1" operator="equal">
      <formula>0</formula>
    </cfRule>
    <cfRule type="cellIs" dxfId="710" priority="1234" stopIfTrue="1" operator="greaterThan">
      <formula>0</formula>
    </cfRule>
  </conditionalFormatting>
  <conditionalFormatting sqref="I952:I953">
    <cfRule type="cellIs" dxfId="709" priority="1241" stopIfTrue="1" operator="lessThan">
      <formula>0</formula>
    </cfRule>
    <cfRule type="cellIs" dxfId="708" priority="1242" stopIfTrue="1" operator="equal">
      <formula>0</formula>
    </cfRule>
    <cfRule type="cellIs" dxfId="707" priority="1243" stopIfTrue="1" operator="greaterThan">
      <formula>0</formula>
    </cfRule>
  </conditionalFormatting>
  <conditionalFormatting sqref="I963:I964">
    <cfRule type="cellIs" dxfId="706" priority="454" stopIfTrue="1" operator="lessThan">
      <formula>0</formula>
    </cfRule>
    <cfRule type="cellIs" dxfId="705" priority="455" stopIfTrue="1" operator="equal">
      <formula>0</formula>
    </cfRule>
    <cfRule type="cellIs" dxfId="704" priority="456" stopIfTrue="1" operator="greaterThan">
      <formula>0</formula>
    </cfRule>
  </conditionalFormatting>
  <conditionalFormatting sqref="I966:I967">
    <cfRule type="cellIs" dxfId="703" priority="448" stopIfTrue="1" operator="lessThan">
      <formula>0</formula>
    </cfRule>
    <cfRule type="cellIs" dxfId="702" priority="449" stopIfTrue="1" operator="equal">
      <formula>0</formula>
    </cfRule>
    <cfRule type="cellIs" dxfId="701" priority="450" stopIfTrue="1" operator="greaterThan">
      <formula>0</formula>
    </cfRule>
  </conditionalFormatting>
  <conditionalFormatting sqref="I969:I970">
    <cfRule type="cellIs" dxfId="700" priority="469" stopIfTrue="1" operator="lessThan">
      <formula>0</formula>
    </cfRule>
    <cfRule type="cellIs" dxfId="699" priority="470" stopIfTrue="1" operator="equal">
      <formula>0</formula>
    </cfRule>
    <cfRule type="cellIs" dxfId="698" priority="471" stopIfTrue="1" operator="greaterThan">
      <formula>0</formula>
    </cfRule>
  </conditionalFormatting>
  <conditionalFormatting sqref="I980:I981">
    <cfRule type="cellIs" dxfId="697" priority="1199" stopIfTrue="1" operator="lessThan">
      <formula>0</formula>
    </cfRule>
    <cfRule type="cellIs" dxfId="696" priority="1200" stopIfTrue="1" operator="equal">
      <formula>0</formula>
    </cfRule>
    <cfRule type="cellIs" dxfId="695" priority="1201" stopIfTrue="1" operator="greaterThan">
      <formula>0</formula>
    </cfRule>
  </conditionalFormatting>
  <conditionalFormatting sqref="I983:I984">
    <cfRule type="cellIs" dxfId="694" priority="445" stopIfTrue="1" operator="lessThan">
      <formula>0</formula>
    </cfRule>
    <cfRule type="cellIs" dxfId="693" priority="446" stopIfTrue="1" operator="equal">
      <formula>0</formula>
    </cfRule>
    <cfRule type="cellIs" dxfId="692" priority="447" stopIfTrue="1" operator="greaterThan">
      <formula>0</formula>
    </cfRule>
  </conditionalFormatting>
  <conditionalFormatting sqref="I986:I987">
    <cfRule type="cellIs" dxfId="691" priority="1214" stopIfTrue="1" operator="lessThan">
      <formula>0</formula>
    </cfRule>
    <cfRule type="cellIs" dxfId="690" priority="1215" stopIfTrue="1" operator="equal">
      <formula>0</formula>
    </cfRule>
    <cfRule type="cellIs" dxfId="689" priority="1216" stopIfTrue="1" operator="greaterThan">
      <formula>0</formula>
    </cfRule>
  </conditionalFormatting>
  <conditionalFormatting sqref="I997:I998">
    <cfRule type="cellIs" dxfId="688" priority="1172" stopIfTrue="1" operator="lessThan">
      <formula>0</formula>
    </cfRule>
    <cfRule type="cellIs" dxfId="687" priority="1173" stopIfTrue="1" operator="equal">
      <formula>0</formula>
    </cfRule>
    <cfRule type="cellIs" dxfId="686" priority="1174" stopIfTrue="1" operator="greaterThan">
      <formula>0</formula>
    </cfRule>
  </conditionalFormatting>
  <conditionalFormatting sqref="I1000:I1001">
    <cfRule type="cellIs" dxfId="685" priority="1181" stopIfTrue="1" operator="lessThan">
      <formula>0</formula>
    </cfRule>
    <cfRule type="cellIs" dxfId="684" priority="1182" stopIfTrue="1" operator="equal">
      <formula>0</formula>
    </cfRule>
    <cfRule type="cellIs" dxfId="683" priority="1183" stopIfTrue="1" operator="greaterThan">
      <formula>0</formula>
    </cfRule>
  </conditionalFormatting>
  <conditionalFormatting sqref="I1003:I1004">
    <cfRule type="cellIs" dxfId="682" priority="1190" stopIfTrue="1" operator="lessThan">
      <formula>0</formula>
    </cfRule>
    <cfRule type="cellIs" dxfId="681" priority="1191" stopIfTrue="1" operator="equal">
      <formula>0</formula>
    </cfRule>
    <cfRule type="cellIs" dxfId="680" priority="1192" stopIfTrue="1" operator="greaterThan">
      <formula>0</formula>
    </cfRule>
  </conditionalFormatting>
  <conditionalFormatting sqref="I1014:I1015">
    <cfRule type="cellIs" dxfId="679" priority="1145" stopIfTrue="1" operator="lessThan">
      <formula>0</formula>
    </cfRule>
    <cfRule type="cellIs" dxfId="678" priority="1146" stopIfTrue="1" operator="equal">
      <formula>0</formula>
    </cfRule>
    <cfRule type="cellIs" dxfId="677" priority="1147" stopIfTrue="1" operator="greaterThan">
      <formula>0</formula>
    </cfRule>
  </conditionalFormatting>
  <conditionalFormatting sqref="I1017:I1018">
    <cfRule type="cellIs" dxfId="676" priority="1154" stopIfTrue="1" operator="lessThan">
      <formula>0</formula>
    </cfRule>
    <cfRule type="cellIs" dxfId="675" priority="1155" stopIfTrue="1" operator="equal">
      <formula>0</formula>
    </cfRule>
    <cfRule type="cellIs" dxfId="674" priority="1156" stopIfTrue="1" operator="greaterThan">
      <formula>0</formula>
    </cfRule>
  </conditionalFormatting>
  <conditionalFormatting sqref="I1020:I1021">
    <cfRule type="cellIs" dxfId="673" priority="1163" stopIfTrue="1" operator="lessThan">
      <formula>0</formula>
    </cfRule>
    <cfRule type="cellIs" dxfId="672" priority="1164" stopIfTrue="1" operator="equal">
      <formula>0</formula>
    </cfRule>
    <cfRule type="cellIs" dxfId="671" priority="1165" stopIfTrue="1" operator="greaterThan">
      <formula>0</formula>
    </cfRule>
  </conditionalFormatting>
  <conditionalFormatting sqref="I1039:I1040">
    <cfRule type="cellIs" dxfId="670" priority="1127" stopIfTrue="1" operator="lessThan">
      <formula>0</formula>
    </cfRule>
    <cfRule type="cellIs" dxfId="669" priority="1128" stopIfTrue="1" operator="equal">
      <formula>0</formula>
    </cfRule>
    <cfRule type="cellIs" dxfId="668" priority="1129" stopIfTrue="1" operator="greaterThan">
      <formula>0</formula>
    </cfRule>
  </conditionalFormatting>
  <conditionalFormatting sqref="I1042:I1043">
    <cfRule type="cellIs" dxfId="667" priority="1136" stopIfTrue="1" operator="lessThan">
      <formula>0</formula>
    </cfRule>
    <cfRule type="cellIs" dxfId="666" priority="1137" stopIfTrue="1" operator="equal">
      <formula>0</formula>
    </cfRule>
    <cfRule type="cellIs" dxfId="665" priority="1138" stopIfTrue="1" operator="greaterThan">
      <formula>0</formula>
    </cfRule>
  </conditionalFormatting>
  <conditionalFormatting sqref="I1065:I1066">
    <cfRule type="cellIs" dxfId="664" priority="1100" stopIfTrue="1" operator="lessThan">
      <formula>0</formula>
    </cfRule>
    <cfRule type="cellIs" dxfId="663" priority="1101" stopIfTrue="1" operator="equal">
      <formula>0</formula>
    </cfRule>
    <cfRule type="cellIs" dxfId="662" priority="1102" stopIfTrue="1" operator="greaterThan">
      <formula>0</formula>
    </cfRule>
  </conditionalFormatting>
  <conditionalFormatting sqref="I1091:I1092">
    <cfRule type="cellIs" dxfId="661" priority="1079" stopIfTrue="1" operator="lessThan">
      <formula>0</formula>
    </cfRule>
    <cfRule type="cellIs" dxfId="660" priority="1080" stopIfTrue="1" operator="equal">
      <formula>0</formula>
    </cfRule>
    <cfRule type="cellIs" dxfId="659" priority="1081" stopIfTrue="1" operator="greaterThan">
      <formula>0</formula>
    </cfRule>
  </conditionalFormatting>
  <conditionalFormatting sqref="I1115:I1116">
    <cfRule type="cellIs" dxfId="658" priority="1058" stopIfTrue="1" operator="lessThan">
      <formula>0</formula>
    </cfRule>
    <cfRule type="cellIs" dxfId="657" priority="1059" stopIfTrue="1" operator="equal">
      <formula>0</formula>
    </cfRule>
    <cfRule type="cellIs" dxfId="656" priority="1060" stopIfTrue="1" operator="greaterThan">
      <formula>0</formula>
    </cfRule>
  </conditionalFormatting>
  <conditionalFormatting sqref="I1157:I1158">
    <cfRule type="cellIs" dxfId="655" priority="1016" stopIfTrue="1" operator="lessThan">
      <formula>0</formula>
    </cfRule>
    <cfRule type="cellIs" dxfId="654" priority="1017" stopIfTrue="1" operator="equal">
      <formula>0</formula>
    </cfRule>
    <cfRule type="cellIs" dxfId="653" priority="1018" stopIfTrue="1" operator="greaterThan">
      <formula>0</formula>
    </cfRule>
  </conditionalFormatting>
  <conditionalFormatting sqref="I1203:I1204">
    <cfRule type="cellIs" dxfId="652" priority="1037" stopIfTrue="1" operator="lessThan">
      <formula>0</formula>
    </cfRule>
    <cfRule type="cellIs" dxfId="651" priority="1038" stopIfTrue="1" operator="equal">
      <formula>0</formula>
    </cfRule>
    <cfRule type="cellIs" dxfId="650" priority="1039" stopIfTrue="1" operator="greaterThan">
      <formula>0</formula>
    </cfRule>
  </conditionalFormatting>
  <conditionalFormatting sqref="I1236:I1237">
    <cfRule type="cellIs" dxfId="649" priority="998" stopIfTrue="1" operator="lessThan">
      <formula>0</formula>
    </cfRule>
    <cfRule type="cellIs" dxfId="648" priority="999" stopIfTrue="1" operator="equal">
      <formula>0</formula>
    </cfRule>
    <cfRule type="cellIs" dxfId="647" priority="1000" stopIfTrue="1" operator="greaterThan">
      <formula>0</formula>
    </cfRule>
  </conditionalFormatting>
  <conditionalFormatting sqref="I1252:I1253">
    <cfRule type="cellIs" dxfId="646" priority="436" stopIfTrue="1" operator="lessThan">
      <formula>0</formula>
    </cfRule>
    <cfRule type="cellIs" dxfId="645" priority="437" stopIfTrue="1" operator="equal">
      <formula>0</formula>
    </cfRule>
    <cfRule type="cellIs" dxfId="644" priority="438" stopIfTrue="1" operator="greaterThan">
      <formula>0</formula>
    </cfRule>
  </conditionalFormatting>
  <conditionalFormatting sqref="I1274:I1275">
    <cfRule type="cellIs" dxfId="643" priority="977" stopIfTrue="1" operator="lessThan">
      <formula>0</formula>
    </cfRule>
    <cfRule type="cellIs" dxfId="642" priority="978" stopIfTrue="1" operator="equal">
      <formula>0</formula>
    </cfRule>
    <cfRule type="cellIs" dxfId="641" priority="979" stopIfTrue="1" operator="greaterThan">
      <formula>0</formula>
    </cfRule>
  </conditionalFormatting>
  <conditionalFormatting sqref="I1287:I1293">
    <cfRule type="cellIs" dxfId="640" priority="965" stopIfTrue="1" operator="lessThan">
      <formula>0</formula>
    </cfRule>
    <cfRule type="cellIs" dxfId="639" priority="966" stopIfTrue="1" operator="equal">
      <formula>0</formula>
    </cfRule>
    <cfRule type="cellIs" dxfId="638" priority="967" stopIfTrue="1" operator="greaterThan">
      <formula>0</formula>
    </cfRule>
  </conditionalFormatting>
  <conditionalFormatting sqref="I1295:I1296">
    <cfRule type="cellIs" dxfId="637" priority="956" stopIfTrue="1" operator="lessThan">
      <formula>0</formula>
    </cfRule>
    <cfRule type="cellIs" dxfId="636" priority="957" stopIfTrue="1" operator="equal">
      <formula>0</formula>
    </cfRule>
    <cfRule type="cellIs" dxfId="635" priority="958" stopIfTrue="1" operator="greaterThan">
      <formula>0</formula>
    </cfRule>
  </conditionalFormatting>
  <conditionalFormatting sqref="I1308:I1310">
    <cfRule type="cellIs" dxfId="634" priority="944" stopIfTrue="1" operator="lessThan">
      <formula>0</formula>
    </cfRule>
    <cfRule type="cellIs" dxfId="633" priority="945" stopIfTrue="1" operator="equal">
      <formula>0</formula>
    </cfRule>
    <cfRule type="cellIs" dxfId="632" priority="946" stopIfTrue="1" operator="greaterThan">
      <formula>0</formula>
    </cfRule>
  </conditionalFormatting>
  <conditionalFormatting sqref="I1312:I1313">
    <cfRule type="cellIs" dxfId="631" priority="935" stopIfTrue="1" operator="lessThan">
      <formula>0</formula>
    </cfRule>
    <cfRule type="cellIs" dxfId="630" priority="936" stopIfTrue="1" operator="equal">
      <formula>0</formula>
    </cfRule>
    <cfRule type="cellIs" dxfId="629" priority="937" stopIfTrue="1" operator="greaterThan">
      <formula>0</formula>
    </cfRule>
  </conditionalFormatting>
  <conditionalFormatting sqref="I1329:I1330">
    <cfRule type="cellIs" dxfId="628" priority="73" stopIfTrue="1" operator="lessThan">
      <formula>0</formula>
    </cfRule>
    <cfRule type="cellIs" dxfId="627" priority="74" stopIfTrue="1" operator="equal">
      <formula>0</formula>
    </cfRule>
    <cfRule type="cellIs" dxfId="626" priority="75" stopIfTrue="1" operator="greaterThan">
      <formula>0</formula>
    </cfRule>
  </conditionalFormatting>
  <conditionalFormatting sqref="I1351:I1352">
    <cfRule type="cellIs" dxfId="625" priority="415" stopIfTrue="1" operator="lessThan">
      <formula>0</formula>
    </cfRule>
    <cfRule type="cellIs" dxfId="624" priority="416" stopIfTrue="1" operator="equal">
      <formula>0</formula>
    </cfRule>
    <cfRule type="cellIs" dxfId="623" priority="417" stopIfTrue="1" operator="greaterThan">
      <formula>0</formula>
    </cfRule>
  </conditionalFormatting>
  <conditionalFormatting sqref="I1366">
    <cfRule type="cellIs" dxfId="622" priority="926" stopIfTrue="1" operator="lessThan">
      <formula>0</formula>
    </cfRule>
    <cfRule type="cellIs" dxfId="621" priority="927" stopIfTrue="1" operator="equal">
      <formula>0</formula>
    </cfRule>
    <cfRule type="cellIs" dxfId="620" priority="928" stopIfTrue="1" operator="greaterThan">
      <formula>0</formula>
    </cfRule>
  </conditionalFormatting>
  <conditionalFormatting sqref="I1368:I1369">
    <cfRule type="cellIs" dxfId="619" priority="917" stopIfTrue="1" operator="lessThan">
      <formula>0</formula>
    </cfRule>
    <cfRule type="cellIs" dxfId="618" priority="918" stopIfTrue="1" operator="equal">
      <formula>0</formula>
    </cfRule>
    <cfRule type="cellIs" dxfId="617" priority="919" stopIfTrue="1" operator="greaterThan">
      <formula>0</formula>
    </cfRule>
  </conditionalFormatting>
  <conditionalFormatting sqref="I1381">
    <cfRule type="cellIs" dxfId="616" priority="905" stopIfTrue="1" operator="lessThan">
      <formula>0</formula>
    </cfRule>
    <cfRule type="cellIs" dxfId="615" priority="906" stopIfTrue="1" operator="equal">
      <formula>0</formula>
    </cfRule>
    <cfRule type="cellIs" dxfId="614" priority="907" stopIfTrue="1" operator="greaterThan">
      <formula>0</formula>
    </cfRule>
  </conditionalFormatting>
  <conditionalFormatting sqref="I1383:I1384">
    <cfRule type="cellIs" dxfId="613" priority="896" stopIfTrue="1" operator="lessThan">
      <formula>0</formula>
    </cfRule>
    <cfRule type="cellIs" dxfId="612" priority="897" stopIfTrue="1" operator="equal">
      <formula>0</formula>
    </cfRule>
    <cfRule type="cellIs" dxfId="611" priority="898" stopIfTrue="1" operator="greaterThan">
      <formula>0</formula>
    </cfRule>
  </conditionalFormatting>
  <conditionalFormatting sqref="I1396">
    <cfRule type="cellIs" dxfId="610" priority="884" stopIfTrue="1" operator="lessThan">
      <formula>0</formula>
    </cfRule>
    <cfRule type="cellIs" dxfId="609" priority="885" stopIfTrue="1" operator="equal">
      <formula>0</formula>
    </cfRule>
    <cfRule type="cellIs" dxfId="608" priority="886" stopIfTrue="1" operator="greaterThan">
      <formula>0</formula>
    </cfRule>
  </conditionalFormatting>
  <conditionalFormatting sqref="I1398:I1399">
    <cfRule type="cellIs" dxfId="607" priority="875" stopIfTrue="1" operator="lessThan">
      <formula>0</formula>
    </cfRule>
    <cfRule type="cellIs" dxfId="606" priority="876" stopIfTrue="1" operator="equal">
      <formula>0</formula>
    </cfRule>
    <cfRule type="cellIs" dxfId="605" priority="877" stopIfTrue="1" operator="greaterThan">
      <formula>0</formula>
    </cfRule>
  </conditionalFormatting>
  <conditionalFormatting sqref="I1411">
    <cfRule type="cellIs" dxfId="604" priority="863" stopIfTrue="1" operator="lessThan">
      <formula>0</formula>
    </cfRule>
    <cfRule type="cellIs" dxfId="603" priority="864" stopIfTrue="1" operator="equal">
      <formula>0</formula>
    </cfRule>
    <cfRule type="cellIs" dxfId="602" priority="865" stopIfTrue="1" operator="greaterThan">
      <formula>0</formula>
    </cfRule>
  </conditionalFormatting>
  <conditionalFormatting sqref="I1413:I1414">
    <cfRule type="cellIs" dxfId="601" priority="854" stopIfTrue="1" operator="lessThan">
      <formula>0</formula>
    </cfRule>
    <cfRule type="cellIs" dxfId="600" priority="855" stopIfTrue="1" operator="equal">
      <formula>0</formula>
    </cfRule>
    <cfRule type="cellIs" dxfId="599" priority="856" stopIfTrue="1" operator="greaterThan">
      <formula>0</formula>
    </cfRule>
  </conditionalFormatting>
  <conditionalFormatting sqref="I1426">
    <cfRule type="cellIs" dxfId="598" priority="842" stopIfTrue="1" operator="lessThan">
      <formula>0</formula>
    </cfRule>
    <cfRule type="cellIs" dxfId="597" priority="843" stopIfTrue="1" operator="equal">
      <formula>0</formula>
    </cfRule>
    <cfRule type="cellIs" dxfId="596" priority="844" stopIfTrue="1" operator="greaterThan">
      <formula>0</formula>
    </cfRule>
  </conditionalFormatting>
  <conditionalFormatting sqref="I1428:I1429">
    <cfRule type="cellIs" dxfId="595" priority="833" stopIfTrue="1" operator="lessThan">
      <formula>0</formula>
    </cfRule>
    <cfRule type="cellIs" dxfId="594" priority="834" stopIfTrue="1" operator="equal">
      <formula>0</formula>
    </cfRule>
    <cfRule type="cellIs" dxfId="593" priority="835" stopIfTrue="1" operator="greaterThan">
      <formula>0</formula>
    </cfRule>
  </conditionalFormatting>
  <conditionalFormatting sqref="I1441">
    <cfRule type="cellIs" dxfId="592" priority="821" stopIfTrue="1" operator="lessThan">
      <formula>0</formula>
    </cfRule>
    <cfRule type="cellIs" dxfId="591" priority="822" stopIfTrue="1" operator="equal">
      <formula>0</formula>
    </cfRule>
    <cfRule type="cellIs" dxfId="590" priority="823" stopIfTrue="1" operator="greaterThan">
      <formula>0</formula>
    </cfRule>
  </conditionalFormatting>
  <conditionalFormatting sqref="I1443:I1444">
    <cfRule type="cellIs" dxfId="589" priority="812" stopIfTrue="1" operator="lessThan">
      <formula>0</formula>
    </cfRule>
    <cfRule type="cellIs" dxfId="588" priority="813" stopIfTrue="1" operator="equal">
      <formula>0</formula>
    </cfRule>
    <cfRule type="cellIs" dxfId="587" priority="814" stopIfTrue="1" operator="greaterThan">
      <formula>0</formula>
    </cfRule>
  </conditionalFormatting>
  <conditionalFormatting sqref="I1467:I1468">
    <cfRule type="cellIs" dxfId="586" priority="791" stopIfTrue="1" operator="lessThan">
      <formula>0</formula>
    </cfRule>
    <cfRule type="cellIs" dxfId="585" priority="792" stopIfTrue="1" operator="equal">
      <formula>0</formula>
    </cfRule>
    <cfRule type="cellIs" dxfId="584" priority="793" stopIfTrue="1" operator="greaterThan">
      <formula>0</formula>
    </cfRule>
  </conditionalFormatting>
  <conditionalFormatting sqref="I1494:I1495">
    <cfRule type="cellIs" dxfId="583" priority="770" stopIfTrue="1" operator="lessThan">
      <formula>0</formula>
    </cfRule>
    <cfRule type="cellIs" dxfId="582" priority="771" stopIfTrue="1" operator="equal">
      <formula>0</formula>
    </cfRule>
    <cfRule type="cellIs" dxfId="581" priority="772" stopIfTrue="1" operator="greaterThan">
      <formula>0</formula>
    </cfRule>
  </conditionalFormatting>
  <conditionalFormatting sqref="I1509:I1510">
    <cfRule type="cellIs" dxfId="580" priority="758" stopIfTrue="1" operator="lessThan">
      <formula>0</formula>
    </cfRule>
    <cfRule type="cellIs" dxfId="579" priority="759" stopIfTrue="1" operator="equal">
      <formula>0</formula>
    </cfRule>
    <cfRule type="cellIs" dxfId="578" priority="760" stopIfTrue="1" operator="greaterThan">
      <formula>0</formula>
    </cfRule>
  </conditionalFormatting>
  <conditionalFormatting sqref="I1524:I1525">
    <cfRule type="cellIs" dxfId="577" priority="400" stopIfTrue="1" operator="lessThan">
      <formula>0</formula>
    </cfRule>
    <cfRule type="cellIs" dxfId="576" priority="401" stopIfTrue="1" operator="equal">
      <formula>0</formula>
    </cfRule>
    <cfRule type="cellIs" dxfId="575" priority="402" stopIfTrue="1" operator="greaterThan">
      <formula>0</formula>
    </cfRule>
  </conditionalFormatting>
  <conditionalFormatting sqref="I1539:I1540">
    <cfRule type="cellIs" dxfId="574" priority="746" stopIfTrue="1" operator="lessThan">
      <formula>0</formula>
    </cfRule>
    <cfRule type="cellIs" dxfId="573" priority="747" stopIfTrue="1" operator="equal">
      <formula>0</formula>
    </cfRule>
    <cfRule type="cellIs" dxfId="572" priority="748" stopIfTrue="1" operator="greaterThan">
      <formula>0</formula>
    </cfRule>
  </conditionalFormatting>
  <conditionalFormatting sqref="I1567">
    <cfRule type="cellIs" dxfId="571" priority="388" stopIfTrue="1" operator="lessThan">
      <formula>0</formula>
    </cfRule>
    <cfRule type="cellIs" dxfId="570" priority="389" stopIfTrue="1" operator="equal">
      <formula>0</formula>
    </cfRule>
    <cfRule type="cellIs" dxfId="569" priority="390" stopIfTrue="1" operator="greaterThan">
      <formula>0</formula>
    </cfRule>
  </conditionalFormatting>
  <conditionalFormatting sqref="I1593">
    <cfRule type="cellIs" dxfId="568" priority="734" stopIfTrue="1" operator="lessThan">
      <formula>0</formula>
    </cfRule>
    <cfRule type="cellIs" dxfId="567" priority="735" stopIfTrue="1" operator="equal">
      <formula>0</formula>
    </cfRule>
    <cfRule type="cellIs" dxfId="566" priority="736" stopIfTrue="1" operator="greaterThan">
      <formula>0</formula>
    </cfRule>
  </conditionalFormatting>
  <conditionalFormatting sqref="I1634:I1635">
    <cfRule type="cellIs" dxfId="565" priority="716" stopIfTrue="1" operator="lessThan">
      <formula>0</formula>
    </cfRule>
    <cfRule type="cellIs" dxfId="564" priority="717" stopIfTrue="1" operator="equal">
      <formula>0</formula>
    </cfRule>
    <cfRule type="cellIs" dxfId="563" priority="718" stopIfTrue="1" operator="greaterThan">
      <formula>0</formula>
    </cfRule>
  </conditionalFormatting>
  <conditionalFormatting sqref="I1652:I1653">
    <cfRule type="cellIs" dxfId="562" priority="701" stopIfTrue="1" operator="lessThan">
      <formula>0</formula>
    </cfRule>
    <cfRule type="cellIs" dxfId="561" priority="702" stopIfTrue="1" operator="equal">
      <formula>0</formula>
    </cfRule>
    <cfRule type="cellIs" dxfId="560" priority="703" stopIfTrue="1" operator="greaterThan">
      <formula>0</formula>
    </cfRule>
  </conditionalFormatting>
  <conditionalFormatting sqref="I1655:I1657">
    <cfRule type="cellIs" dxfId="559" priority="253" stopIfTrue="1" operator="lessThan">
      <formula>0</formula>
    </cfRule>
    <cfRule type="cellIs" dxfId="558" priority="254" stopIfTrue="1" operator="equal">
      <formula>0</formula>
    </cfRule>
    <cfRule type="cellIs" dxfId="557" priority="255" stopIfTrue="1" operator="greaterThan">
      <formula>0</formula>
    </cfRule>
  </conditionalFormatting>
  <conditionalFormatting sqref="I1672:I1673">
    <cfRule type="cellIs" dxfId="556" priority="175" stopIfTrue="1" operator="lessThan">
      <formula>0</formula>
    </cfRule>
    <cfRule type="cellIs" dxfId="555" priority="176" stopIfTrue="1" operator="equal">
      <formula>0</formula>
    </cfRule>
    <cfRule type="cellIs" dxfId="554" priority="177" stopIfTrue="1" operator="greaterThan">
      <formula>0</formula>
    </cfRule>
  </conditionalFormatting>
  <conditionalFormatting sqref="I1675:I1677">
    <cfRule type="cellIs" dxfId="553" priority="166" stopIfTrue="1" operator="lessThan">
      <formula>0</formula>
    </cfRule>
    <cfRule type="cellIs" dxfId="552" priority="167" stopIfTrue="1" operator="equal">
      <formula>0</formula>
    </cfRule>
    <cfRule type="cellIs" dxfId="551" priority="168" stopIfTrue="1" operator="greaterThan">
      <formula>0</formula>
    </cfRule>
  </conditionalFormatting>
  <conditionalFormatting sqref="I1690">
    <cfRule type="cellIs" dxfId="550" priority="689" stopIfTrue="1" operator="lessThan">
      <formula>0</formula>
    </cfRule>
    <cfRule type="cellIs" dxfId="549" priority="690" stopIfTrue="1" operator="equal">
      <formula>0</formula>
    </cfRule>
    <cfRule type="cellIs" dxfId="548" priority="691" stopIfTrue="1" operator="greaterThan">
      <formula>0</formula>
    </cfRule>
  </conditionalFormatting>
  <conditionalFormatting sqref="I1737">
    <cfRule type="cellIs" dxfId="547" priority="19" stopIfTrue="1" operator="lessThan">
      <formula>0</formula>
    </cfRule>
    <cfRule type="cellIs" dxfId="546" priority="20" stopIfTrue="1" operator="equal">
      <formula>0</formula>
    </cfRule>
    <cfRule type="cellIs" dxfId="545" priority="21" stopIfTrue="1" operator="greaterThan">
      <formula>0</formula>
    </cfRule>
  </conditionalFormatting>
  <conditionalFormatting sqref="I1750:I1751">
    <cfRule type="cellIs" dxfId="544" priority="325" stopIfTrue="1" operator="lessThan">
      <formula>0</formula>
    </cfRule>
    <cfRule type="cellIs" dxfId="543" priority="326" stopIfTrue="1" operator="equal">
      <formula>0</formula>
    </cfRule>
    <cfRule type="cellIs" dxfId="542" priority="327" stopIfTrue="1" operator="greaterThan">
      <formula>0</formula>
    </cfRule>
  </conditionalFormatting>
  <conditionalFormatting sqref="I1753:I1754">
    <cfRule type="cellIs" dxfId="541" priority="310" stopIfTrue="1" operator="lessThan">
      <formula>0</formula>
    </cfRule>
    <cfRule type="cellIs" dxfId="540" priority="311" stopIfTrue="1" operator="equal">
      <formula>0</formula>
    </cfRule>
    <cfRule type="cellIs" dxfId="539" priority="312" stopIfTrue="1" operator="greaterThan">
      <formula>0</formula>
    </cfRule>
  </conditionalFormatting>
  <conditionalFormatting sqref="I1756:I1757">
    <cfRule type="cellIs" dxfId="538" priority="322" stopIfTrue="1" operator="lessThan">
      <formula>0</formula>
    </cfRule>
    <cfRule type="cellIs" dxfId="537" priority="323" stopIfTrue="1" operator="equal">
      <formula>0</formula>
    </cfRule>
    <cfRule type="cellIs" dxfId="536" priority="324" stopIfTrue="1" operator="greaterThan">
      <formula>0</formula>
    </cfRule>
  </conditionalFormatting>
  <conditionalFormatting sqref="I1767:I1768">
    <cfRule type="cellIs" dxfId="535" priority="151" stopIfTrue="1" operator="lessThan">
      <formula>0</formula>
    </cfRule>
    <cfRule type="cellIs" dxfId="534" priority="152" stopIfTrue="1" operator="equal">
      <formula>0</formula>
    </cfRule>
    <cfRule type="cellIs" dxfId="533" priority="153" stopIfTrue="1" operator="greaterThan">
      <formula>0</formula>
    </cfRule>
  </conditionalFormatting>
  <conditionalFormatting sqref="I1770:I1771">
    <cfRule type="cellIs" dxfId="532" priority="136" stopIfTrue="1" operator="lessThan">
      <formula>0</formula>
    </cfRule>
    <cfRule type="cellIs" dxfId="531" priority="137" stopIfTrue="1" operator="equal">
      <formula>0</formula>
    </cfRule>
    <cfRule type="cellIs" dxfId="530" priority="138" stopIfTrue="1" operator="greaterThan">
      <formula>0</formula>
    </cfRule>
  </conditionalFormatting>
  <conditionalFormatting sqref="I1773:I1774">
    <cfRule type="cellIs" dxfId="529" priority="148" stopIfTrue="1" operator="lessThan">
      <formula>0</formula>
    </cfRule>
    <cfRule type="cellIs" dxfId="528" priority="149" stopIfTrue="1" operator="equal">
      <formula>0</formula>
    </cfRule>
    <cfRule type="cellIs" dxfId="527" priority="150" stopIfTrue="1" operator="greaterThan">
      <formula>0</formula>
    </cfRule>
  </conditionalFormatting>
  <conditionalFormatting sqref="I1784:I1785">
    <cfRule type="cellIs" dxfId="526" priority="124" stopIfTrue="1" operator="lessThan">
      <formula>0</formula>
    </cfRule>
    <cfRule type="cellIs" dxfId="525" priority="125" stopIfTrue="1" operator="equal">
      <formula>0</formula>
    </cfRule>
    <cfRule type="cellIs" dxfId="524" priority="126" stopIfTrue="1" operator="greaterThan">
      <formula>0</formula>
    </cfRule>
  </conditionalFormatting>
  <conditionalFormatting sqref="I1787:I1788">
    <cfRule type="cellIs" dxfId="523" priority="109" stopIfTrue="1" operator="lessThan">
      <formula>0</formula>
    </cfRule>
    <cfRule type="cellIs" dxfId="522" priority="110" stopIfTrue="1" operator="equal">
      <formula>0</formula>
    </cfRule>
    <cfRule type="cellIs" dxfId="521" priority="111" stopIfTrue="1" operator="greaterThan">
      <formula>0</formula>
    </cfRule>
  </conditionalFormatting>
  <conditionalFormatting sqref="I1790:I1791">
    <cfRule type="cellIs" dxfId="520" priority="121" stopIfTrue="1" operator="lessThan">
      <formula>0</formula>
    </cfRule>
    <cfRule type="cellIs" dxfId="519" priority="122" stopIfTrue="1" operator="equal">
      <formula>0</formula>
    </cfRule>
    <cfRule type="cellIs" dxfId="518" priority="123" stopIfTrue="1" operator="greaterThan">
      <formula>0</formula>
    </cfRule>
  </conditionalFormatting>
  <conditionalFormatting sqref="I1806:I1807">
    <cfRule type="cellIs" dxfId="517" priority="238" stopIfTrue="1" operator="lessThan">
      <formula>0</formula>
    </cfRule>
    <cfRule type="cellIs" dxfId="516" priority="239" stopIfTrue="1" operator="equal">
      <formula>0</formula>
    </cfRule>
    <cfRule type="cellIs" dxfId="515" priority="240" stopIfTrue="1" operator="greaterThan">
      <formula>0</formula>
    </cfRule>
  </conditionalFormatting>
  <conditionalFormatting sqref="I1824:I1825">
    <cfRule type="cellIs" dxfId="514" priority="223" stopIfTrue="1" operator="lessThan">
      <formula>0</formula>
    </cfRule>
    <cfRule type="cellIs" dxfId="513" priority="224" stopIfTrue="1" operator="equal">
      <formula>0</formula>
    </cfRule>
    <cfRule type="cellIs" dxfId="512" priority="225" stopIfTrue="1" operator="greaterThan">
      <formula>0</formula>
    </cfRule>
  </conditionalFormatting>
  <conditionalFormatting sqref="I1841:I1842">
    <cfRule type="cellIs" dxfId="511" priority="208" stopIfTrue="1" operator="lessThan">
      <formula>0</formula>
    </cfRule>
    <cfRule type="cellIs" dxfId="510" priority="209" stopIfTrue="1" operator="equal">
      <formula>0</formula>
    </cfRule>
    <cfRule type="cellIs" dxfId="509" priority="210" stopIfTrue="1" operator="greaterThan">
      <formula>0</formula>
    </cfRule>
  </conditionalFormatting>
  <conditionalFormatting sqref="I1859:I1860">
    <cfRule type="cellIs" dxfId="508" priority="668" stopIfTrue="1" operator="lessThan">
      <formula>0</formula>
    </cfRule>
    <cfRule type="cellIs" dxfId="507" priority="669" stopIfTrue="1" operator="equal">
      <formula>0</formula>
    </cfRule>
    <cfRule type="cellIs" dxfId="506" priority="670" stopIfTrue="1" operator="greaterThan">
      <formula>0</formula>
    </cfRule>
  </conditionalFormatting>
  <conditionalFormatting sqref="I1876:I1877">
    <cfRule type="cellIs" dxfId="505" priority="656" stopIfTrue="1" operator="lessThan">
      <formula>0</formula>
    </cfRule>
    <cfRule type="cellIs" dxfId="504" priority="657" stopIfTrue="1" operator="equal">
      <formula>0</formula>
    </cfRule>
    <cfRule type="cellIs" dxfId="503" priority="658" stopIfTrue="1" operator="greaterThan">
      <formula>0</formula>
    </cfRule>
  </conditionalFormatting>
  <conditionalFormatting sqref="I1896:I1897">
    <cfRule type="cellIs" dxfId="502" priority="641" stopIfTrue="1" operator="lessThan">
      <formula>0</formula>
    </cfRule>
    <cfRule type="cellIs" dxfId="501" priority="642" stopIfTrue="1" operator="equal">
      <formula>0</formula>
    </cfRule>
    <cfRule type="cellIs" dxfId="500" priority="643" stopIfTrue="1" operator="greaterThan">
      <formula>0</formula>
    </cfRule>
  </conditionalFormatting>
  <conditionalFormatting sqref="I1923:I1924">
    <cfRule type="cellIs" dxfId="499" priority="193" stopIfTrue="1" operator="lessThan">
      <formula>0</formula>
    </cfRule>
    <cfRule type="cellIs" dxfId="498" priority="194" stopIfTrue="1" operator="equal">
      <formula>0</formula>
    </cfRule>
    <cfRule type="cellIs" dxfId="497" priority="195" stopIfTrue="1" operator="greaterThan">
      <formula>0</formula>
    </cfRule>
  </conditionalFormatting>
  <conditionalFormatting sqref="I1943:I1944">
    <cfRule type="cellIs" dxfId="496" priority="626" stopIfTrue="1" operator="lessThan">
      <formula>0</formula>
    </cfRule>
    <cfRule type="cellIs" dxfId="495" priority="627" stopIfTrue="1" operator="equal">
      <formula>0</formula>
    </cfRule>
    <cfRule type="cellIs" dxfId="494" priority="628" stopIfTrue="1" operator="greaterThan">
      <formula>0</formula>
    </cfRule>
  </conditionalFormatting>
  <conditionalFormatting sqref="I1961:I1962">
    <cfRule type="cellIs" dxfId="493" priority="611" stopIfTrue="1" operator="lessThan">
      <formula>0</formula>
    </cfRule>
    <cfRule type="cellIs" dxfId="492" priority="612" stopIfTrue="1" operator="equal">
      <formula>0</formula>
    </cfRule>
    <cfRule type="cellIs" dxfId="491" priority="613" stopIfTrue="1" operator="greaterThan">
      <formula>0</formula>
    </cfRule>
  </conditionalFormatting>
  <conditionalFormatting sqref="I1981:I1982">
    <cfRule type="cellIs" dxfId="490" priority="596" stopIfTrue="1" operator="lessThan">
      <formula>0</formula>
    </cfRule>
    <cfRule type="cellIs" dxfId="489" priority="597" stopIfTrue="1" operator="equal">
      <formula>0</formula>
    </cfRule>
    <cfRule type="cellIs" dxfId="488" priority="598" stopIfTrue="1" operator="greaterThan">
      <formula>0</formula>
    </cfRule>
  </conditionalFormatting>
  <conditionalFormatting sqref="I2002:I2003">
    <cfRule type="cellIs" dxfId="487" priority="581" stopIfTrue="1" operator="lessThan">
      <formula>0</formula>
    </cfRule>
    <cfRule type="cellIs" dxfId="486" priority="582" stopIfTrue="1" operator="equal">
      <formula>0</formula>
    </cfRule>
    <cfRule type="cellIs" dxfId="485" priority="583" stopIfTrue="1" operator="greaterThan">
      <formula>0</formula>
    </cfRule>
  </conditionalFormatting>
  <conditionalFormatting sqref="I2175:I2176">
    <cfRule type="cellIs" dxfId="484" priority="94" stopIfTrue="1" operator="lessThan">
      <formula>0</formula>
    </cfRule>
    <cfRule type="cellIs" dxfId="483" priority="95" stopIfTrue="1" operator="equal">
      <formula>0</formula>
    </cfRule>
    <cfRule type="cellIs" dxfId="482" priority="96" stopIfTrue="1" operator="greaterThan">
      <formula>0</formula>
    </cfRule>
  </conditionalFormatting>
  <conditionalFormatting sqref="I2202:I2203">
    <cfRule type="cellIs" dxfId="481" priority="58" stopIfTrue="1" operator="lessThan">
      <formula>0</formula>
    </cfRule>
    <cfRule type="cellIs" dxfId="480" priority="59" stopIfTrue="1" operator="equal">
      <formula>0</formula>
    </cfRule>
    <cfRule type="cellIs" dxfId="479" priority="60" stopIfTrue="1" operator="greaterThan">
      <formula>0</formula>
    </cfRule>
  </conditionalFormatting>
  <conditionalFormatting sqref="I2252:I2253">
    <cfRule type="cellIs" dxfId="478" priority="43" stopIfTrue="1" operator="lessThan">
      <formula>0</formula>
    </cfRule>
    <cfRule type="cellIs" dxfId="477" priority="44" stopIfTrue="1" operator="equal">
      <formula>0</formula>
    </cfRule>
    <cfRule type="cellIs" dxfId="476" priority="45" stopIfTrue="1" operator="greaterThan">
      <formula>0</formula>
    </cfRule>
  </conditionalFormatting>
  <conditionalFormatting sqref="M12:M13">
    <cfRule type="cellIs" dxfId="475" priority="2053" stopIfTrue="1" operator="lessThan">
      <formula>0</formula>
    </cfRule>
    <cfRule type="cellIs" dxfId="474" priority="2054" stopIfTrue="1" operator="equal">
      <formula>0</formula>
    </cfRule>
    <cfRule type="cellIs" dxfId="473" priority="2055" stopIfTrue="1" operator="greaterThan">
      <formula>0</formula>
    </cfRule>
  </conditionalFormatting>
  <conditionalFormatting sqref="M15:M16">
    <cfRule type="cellIs" dxfId="472" priority="2074" stopIfTrue="1" operator="lessThan">
      <formula>0</formula>
    </cfRule>
    <cfRule type="cellIs" dxfId="471" priority="2075" stopIfTrue="1" operator="equal">
      <formula>0</formula>
    </cfRule>
    <cfRule type="cellIs" dxfId="470" priority="2076" stopIfTrue="1" operator="greaterThan">
      <formula>0</formula>
    </cfRule>
  </conditionalFormatting>
  <conditionalFormatting sqref="M43:M45">
    <cfRule type="cellIs" dxfId="469" priority="2035" stopIfTrue="1" operator="lessThan">
      <formula>0</formula>
    </cfRule>
    <cfRule type="cellIs" dxfId="468" priority="2036" stopIfTrue="1" operator="equal">
      <formula>0</formula>
    </cfRule>
    <cfRule type="cellIs" dxfId="467" priority="2037" stopIfTrue="1" operator="greaterThan">
      <formula>0</formula>
    </cfRule>
  </conditionalFormatting>
  <conditionalFormatting sqref="M47:M48">
    <cfRule type="cellIs" dxfId="466" priority="2062" stopIfTrue="1" operator="lessThan">
      <formula>0</formula>
    </cfRule>
    <cfRule type="cellIs" dxfId="465" priority="2063" stopIfTrue="1" operator="equal">
      <formula>0</formula>
    </cfRule>
    <cfRule type="cellIs" dxfId="464" priority="2064" stopIfTrue="1" operator="greaterThan">
      <formula>0</formula>
    </cfRule>
  </conditionalFormatting>
  <conditionalFormatting sqref="M61:M62">
    <cfRule type="cellIs" dxfId="463" priority="2008" stopIfTrue="1" operator="lessThan">
      <formula>0</formula>
    </cfRule>
    <cfRule type="cellIs" dxfId="462" priority="2009" stopIfTrue="1" operator="equal">
      <formula>0</formula>
    </cfRule>
    <cfRule type="cellIs" dxfId="461" priority="2010" stopIfTrue="1" operator="greaterThan">
      <formula>0</formula>
    </cfRule>
  </conditionalFormatting>
  <conditionalFormatting sqref="M64:M65">
    <cfRule type="cellIs" dxfId="460" priority="2017" stopIfTrue="1" operator="lessThan">
      <formula>0</formula>
    </cfRule>
    <cfRule type="cellIs" dxfId="459" priority="2018" stopIfTrue="1" operator="equal">
      <formula>0</formula>
    </cfRule>
    <cfRule type="cellIs" dxfId="458" priority="2019" stopIfTrue="1" operator="greaterThan">
      <formula>0</formula>
    </cfRule>
  </conditionalFormatting>
  <conditionalFormatting sqref="M78:M79">
    <cfRule type="cellIs" dxfId="457" priority="1981" stopIfTrue="1" operator="lessThan">
      <formula>0</formula>
    </cfRule>
    <cfRule type="cellIs" dxfId="456" priority="1982" stopIfTrue="1" operator="equal">
      <formula>0</formula>
    </cfRule>
    <cfRule type="cellIs" dxfId="455" priority="1983" stopIfTrue="1" operator="greaterThan">
      <formula>0</formula>
    </cfRule>
  </conditionalFormatting>
  <conditionalFormatting sqref="M119:M120">
    <cfRule type="cellIs" dxfId="454" priority="22" stopIfTrue="1" operator="lessThan">
      <formula>0</formula>
    </cfRule>
    <cfRule type="cellIs" dxfId="453" priority="23" stopIfTrue="1" operator="equal">
      <formula>0</formula>
    </cfRule>
    <cfRule type="cellIs" dxfId="452" priority="24" stopIfTrue="1" operator="greaterThan">
      <formula>0</formula>
    </cfRule>
  </conditionalFormatting>
  <conditionalFormatting sqref="M122:M123">
    <cfRule type="cellIs" dxfId="451" priority="1972" stopIfTrue="1" operator="lessThan">
      <formula>0</formula>
    </cfRule>
    <cfRule type="cellIs" dxfId="450" priority="1973" stopIfTrue="1" operator="equal">
      <formula>0</formula>
    </cfRule>
    <cfRule type="cellIs" dxfId="449" priority="1974" stopIfTrue="1" operator="greaterThan">
      <formula>0</formula>
    </cfRule>
  </conditionalFormatting>
  <conditionalFormatting sqref="M145:M146">
    <cfRule type="cellIs" dxfId="448" priority="1945" stopIfTrue="1" operator="lessThan">
      <formula>0</formula>
    </cfRule>
    <cfRule type="cellIs" dxfId="447" priority="1946" stopIfTrue="1" operator="equal">
      <formula>0</formula>
    </cfRule>
    <cfRule type="cellIs" dxfId="446" priority="1947" stopIfTrue="1" operator="greaterThan">
      <formula>0</formula>
    </cfRule>
  </conditionalFormatting>
  <conditionalFormatting sqref="M148:M149">
    <cfRule type="cellIs" dxfId="445" priority="1954" stopIfTrue="1" operator="lessThan">
      <formula>0</formula>
    </cfRule>
    <cfRule type="cellIs" dxfId="444" priority="1955" stopIfTrue="1" operator="equal">
      <formula>0</formula>
    </cfRule>
    <cfRule type="cellIs" dxfId="443" priority="1956" stopIfTrue="1" operator="greaterThan">
      <formula>0</formula>
    </cfRule>
  </conditionalFormatting>
  <conditionalFormatting sqref="M159:M160">
    <cfRule type="cellIs" dxfId="442" priority="337" stopIfTrue="1" operator="lessThan">
      <formula>0</formula>
    </cfRule>
    <cfRule type="cellIs" dxfId="441" priority="338" stopIfTrue="1" operator="equal">
      <formula>0</formula>
    </cfRule>
    <cfRule type="cellIs" dxfId="440" priority="339" stopIfTrue="1" operator="greaterThan">
      <formula>0</formula>
    </cfRule>
  </conditionalFormatting>
  <conditionalFormatting sqref="M162:M163">
    <cfRule type="cellIs" dxfId="439" priority="346" stopIfTrue="1" operator="lessThan">
      <formula>0</formula>
    </cfRule>
    <cfRule type="cellIs" dxfId="438" priority="347" stopIfTrue="1" operator="equal">
      <formula>0</formula>
    </cfRule>
    <cfRule type="cellIs" dxfId="437" priority="348" stopIfTrue="1" operator="greaterThan">
      <formula>0</formula>
    </cfRule>
  </conditionalFormatting>
  <conditionalFormatting sqref="M165:M166">
    <cfRule type="cellIs" dxfId="436" priority="355" stopIfTrue="1" operator="lessThan">
      <formula>0</formula>
    </cfRule>
    <cfRule type="cellIs" dxfId="435" priority="356" stopIfTrue="1" operator="equal">
      <formula>0</formula>
    </cfRule>
    <cfRule type="cellIs" dxfId="434" priority="357" stopIfTrue="1" operator="greaterThan">
      <formula>0</formula>
    </cfRule>
  </conditionalFormatting>
  <conditionalFormatting sqref="M179:M180">
    <cfRule type="cellIs" dxfId="433" priority="1918" stopIfTrue="1" operator="lessThan">
      <formula>0</formula>
    </cfRule>
    <cfRule type="cellIs" dxfId="432" priority="1919" stopIfTrue="1" operator="equal">
      <formula>0</formula>
    </cfRule>
    <cfRule type="cellIs" dxfId="431" priority="1920" stopIfTrue="1" operator="greaterThan">
      <formula>0</formula>
    </cfRule>
  </conditionalFormatting>
  <conditionalFormatting sqref="M182:M183">
    <cfRule type="cellIs" dxfId="430" priority="1927" stopIfTrue="1" operator="lessThan">
      <formula>0</formula>
    </cfRule>
    <cfRule type="cellIs" dxfId="429" priority="1928" stopIfTrue="1" operator="equal">
      <formula>0</formula>
    </cfRule>
    <cfRule type="cellIs" dxfId="428" priority="1929" stopIfTrue="1" operator="greaterThan">
      <formula>0</formula>
    </cfRule>
  </conditionalFormatting>
  <conditionalFormatting sqref="M185:M186">
    <cfRule type="cellIs" dxfId="427" priority="1936" stopIfTrue="1" operator="lessThan">
      <formula>0</formula>
    </cfRule>
    <cfRule type="cellIs" dxfId="426" priority="1937" stopIfTrue="1" operator="equal">
      <formula>0</formula>
    </cfRule>
    <cfRule type="cellIs" dxfId="425" priority="1938" stopIfTrue="1" operator="greaterThan">
      <formula>0</formula>
    </cfRule>
  </conditionalFormatting>
  <conditionalFormatting sqref="M202">
    <cfRule type="cellIs" dxfId="424" priority="300" stopIfTrue="1" operator="greaterThan">
      <formula>0</formula>
    </cfRule>
  </conditionalFormatting>
  <conditionalFormatting sqref="M203">
    <cfRule type="cellIs" dxfId="423" priority="1911" stopIfTrue="1" operator="greaterThan">
      <formula>0</formula>
    </cfRule>
  </conditionalFormatting>
  <conditionalFormatting sqref="M215:M216">
    <cfRule type="cellIs" dxfId="422" priority="334" stopIfTrue="1" operator="lessThan">
      <formula>0</formula>
    </cfRule>
    <cfRule type="cellIs" dxfId="421" priority="335" stopIfTrue="1" operator="equal">
      <formula>0</formula>
    </cfRule>
    <cfRule type="cellIs" dxfId="420" priority="336" stopIfTrue="1" operator="greaterThan">
      <formula>0</formula>
    </cfRule>
  </conditionalFormatting>
  <conditionalFormatting sqref="M231:M232">
    <cfRule type="cellIs" dxfId="419" priority="1861" stopIfTrue="1" operator="lessThan">
      <formula>0</formula>
    </cfRule>
    <cfRule type="cellIs" dxfId="418" priority="1862" stopIfTrue="1" operator="equal">
      <formula>0</formula>
    </cfRule>
    <cfRule type="cellIs" dxfId="417" priority="1863" stopIfTrue="1" operator="greaterThan">
      <formula>0</formula>
    </cfRule>
  </conditionalFormatting>
  <conditionalFormatting sqref="M234:M236">
    <cfRule type="cellIs" dxfId="416" priority="289" stopIfTrue="1" operator="lessThan">
      <formula>0</formula>
    </cfRule>
    <cfRule type="cellIs" dxfId="415" priority="290" stopIfTrue="1" operator="equal">
      <formula>0</formula>
    </cfRule>
    <cfRule type="cellIs" dxfId="414" priority="291" stopIfTrue="1" operator="greaterThan">
      <formula>0</formula>
    </cfRule>
  </conditionalFormatting>
  <conditionalFormatting sqref="M249:M251">
    <cfRule type="cellIs" dxfId="413" priority="1840" stopIfTrue="1" operator="lessThan">
      <formula>0</formula>
    </cfRule>
    <cfRule type="cellIs" dxfId="412" priority="1841" stopIfTrue="1" operator="equal">
      <formula>0</formula>
    </cfRule>
    <cfRule type="cellIs" dxfId="411" priority="1842" stopIfTrue="1" operator="greaterThan">
      <formula>0</formula>
    </cfRule>
  </conditionalFormatting>
  <conditionalFormatting sqref="M253:M254">
    <cfRule type="cellIs" dxfId="410" priority="1849" stopIfTrue="1" operator="lessThan">
      <formula>0</formula>
    </cfRule>
    <cfRule type="cellIs" dxfId="409" priority="1850" stopIfTrue="1" operator="equal">
      <formula>0</formula>
    </cfRule>
    <cfRule type="cellIs" dxfId="408" priority="1851" stopIfTrue="1" operator="greaterThan">
      <formula>0</formula>
    </cfRule>
  </conditionalFormatting>
  <conditionalFormatting sqref="M267:M268">
    <cfRule type="cellIs" dxfId="407" priority="1819" stopIfTrue="1" operator="lessThan">
      <formula>0</formula>
    </cfRule>
    <cfRule type="cellIs" dxfId="406" priority="1820" stopIfTrue="1" operator="equal">
      <formula>0</formula>
    </cfRule>
    <cfRule type="cellIs" dxfId="405" priority="1821" stopIfTrue="1" operator="greaterThan">
      <formula>0</formula>
    </cfRule>
  </conditionalFormatting>
  <conditionalFormatting sqref="M285:M286">
    <cfRule type="cellIs" dxfId="404" priority="1798" stopIfTrue="1" operator="lessThan">
      <formula>0</formula>
    </cfRule>
    <cfRule type="cellIs" dxfId="403" priority="1799" stopIfTrue="1" operator="equal">
      <formula>0</formula>
    </cfRule>
    <cfRule type="cellIs" dxfId="402" priority="1800" stopIfTrue="1" operator="greaterThan">
      <formula>0</formula>
    </cfRule>
  </conditionalFormatting>
  <conditionalFormatting sqref="M288:M290">
    <cfRule type="cellIs" dxfId="401" priority="262" stopIfTrue="1" operator="lessThan">
      <formula>0</formula>
    </cfRule>
    <cfRule type="cellIs" dxfId="400" priority="263" stopIfTrue="1" operator="equal">
      <formula>0</formula>
    </cfRule>
    <cfRule type="cellIs" dxfId="399" priority="264" stopIfTrue="1" operator="greaterThan">
      <formula>0</formula>
    </cfRule>
  </conditionalFormatting>
  <conditionalFormatting sqref="M302:M303">
    <cfRule type="cellIs" dxfId="398" priority="1771" stopIfTrue="1" operator="lessThan">
      <formula>0</formula>
    </cfRule>
    <cfRule type="cellIs" dxfId="397" priority="1772" stopIfTrue="1" operator="equal">
      <formula>0</formula>
    </cfRule>
    <cfRule type="cellIs" dxfId="396" priority="1773" stopIfTrue="1" operator="greaterThan">
      <formula>0</formula>
    </cfRule>
  </conditionalFormatting>
  <conditionalFormatting sqref="M305:M306">
    <cfRule type="cellIs" dxfId="395" priority="1780" stopIfTrue="1" operator="lessThan">
      <formula>0</formula>
    </cfRule>
    <cfRule type="cellIs" dxfId="394" priority="1781" stopIfTrue="1" operator="equal">
      <formula>0</formula>
    </cfRule>
    <cfRule type="cellIs" dxfId="393" priority="1782" stopIfTrue="1" operator="greaterThan">
      <formula>0</formula>
    </cfRule>
  </conditionalFormatting>
  <conditionalFormatting sqref="M308:M309">
    <cfRule type="cellIs" dxfId="392" priority="1789" stopIfTrue="1" operator="lessThan">
      <formula>0</formula>
    </cfRule>
    <cfRule type="cellIs" dxfId="391" priority="1790" stopIfTrue="1" operator="equal">
      <formula>0</formula>
    </cfRule>
    <cfRule type="cellIs" dxfId="390" priority="1791" stopIfTrue="1" operator="greaterThan">
      <formula>0</formula>
    </cfRule>
  </conditionalFormatting>
  <conditionalFormatting sqref="M319:M320">
    <cfRule type="cellIs" dxfId="389" priority="1744" stopIfTrue="1" operator="lessThan">
      <formula>0</formula>
    </cfRule>
    <cfRule type="cellIs" dxfId="388" priority="1745" stopIfTrue="1" operator="equal">
      <formula>0</formula>
    </cfRule>
    <cfRule type="cellIs" dxfId="387" priority="1746" stopIfTrue="1" operator="greaterThan">
      <formula>0</formula>
    </cfRule>
  </conditionalFormatting>
  <conditionalFormatting sqref="M322:M323">
    <cfRule type="cellIs" dxfId="386" priority="1753" stopIfTrue="1" operator="lessThan">
      <formula>0</formula>
    </cfRule>
    <cfRule type="cellIs" dxfId="385" priority="1754" stopIfTrue="1" operator="equal">
      <formula>0</formula>
    </cfRule>
    <cfRule type="cellIs" dxfId="384" priority="1755" stopIfTrue="1" operator="greaterThan">
      <formula>0</formula>
    </cfRule>
  </conditionalFormatting>
  <conditionalFormatting sqref="M325:M326">
    <cfRule type="cellIs" dxfId="383" priority="1762" stopIfTrue="1" operator="lessThan">
      <formula>0</formula>
    </cfRule>
    <cfRule type="cellIs" dxfId="382" priority="1763" stopIfTrue="1" operator="equal">
      <formula>0</formula>
    </cfRule>
    <cfRule type="cellIs" dxfId="381" priority="1764" stopIfTrue="1" operator="greaterThan">
      <formula>0</formula>
    </cfRule>
  </conditionalFormatting>
  <conditionalFormatting sqref="M336:M337">
    <cfRule type="cellIs" dxfId="380" priority="1717" stopIfTrue="1" operator="lessThan">
      <formula>0</formula>
    </cfRule>
    <cfRule type="cellIs" dxfId="379" priority="1718" stopIfTrue="1" operator="equal">
      <formula>0</formula>
    </cfRule>
    <cfRule type="cellIs" dxfId="378" priority="1719" stopIfTrue="1" operator="greaterThan">
      <formula>0</formula>
    </cfRule>
  </conditionalFormatting>
  <conditionalFormatting sqref="M339:M340">
    <cfRule type="cellIs" dxfId="377" priority="1726" stopIfTrue="1" operator="lessThan">
      <formula>0</formula>
    </cfRule>
    <cfRule type="cellIs" dxfId="376" priority="1727" stopIfTrue="1" operator="equal">
      <formula>0</formula>
    </cfRule>
    <cfRule type="cellIs" dxfId="375" priority="1728" stopIfTrue="1" operator="greaterThan">
      <formula>0</formula>
    </cfRule>
  </conditionalFormatting>
  <conditionalFormatting sqref="M342:M343">
    <cfRule type="cellIs" dxfId="374" priority="1735" stopIfTrue="1" operator="lessThan">
      <formula>0</formula>
    </cfRule>
    <cfRule type="cellIs" dxfId="373" priority="1736" stopIfTrue="1" operator="equal">
      <formula>0</formula>
    </cfRule>
    <cfRule type="cellIs" dxfId="372" priority="1737" stopIfTrue="1" operator="greaterThan">
      <formula>0</formula>
    </cfRule>
  </conditionalFormatting>
  <conditionalFormatting sqref="M353:M354">
    <cfRule type="cellIs" dxfId="371" priority="1690" stopIfTrue="1" operator="lessThan">
      <formula>0</formula>
    </cfRule>
    <cfRule type="cellIs" dxfId="370" priority="1691" stopIfTrue="1" operator="equal">
      <formula>0</formula>
    </cfRule>
    <cfRule type="cellIs" dxfId="369" priority="1692" stopIfTrue="1" operator="greaterThan">
      <formula>0</formula>
    </cfRule>
  </conditionalFormatting>
  <conditionalFormatting sqref="M356:M357">
    <cfRule type="cellIs" dxfId="368" priority="1699" stopIfTrue="1" operator="lessThan">
      <formula>0</formula>
    </cfRule>
    <cfRule type="cellIs" dxfId="367" priority="1700" stopIfTrue="1" operator="equal">
      <formula>0</formula>
    </cfRule>
    <cfRule type="cellIs" dxfId="366" priority="1701" stopIfTrue="1" operator="greaterThan">
      <formula>0</formula>
    </cfRule>
  </conditionalFormatting>
  <conditionalFormatting sqref="M373:M374">
    <cfRule type="cellIs" dxfId="365" priority="1672" stopIfTrue="1" operator="lessThan">
      <formula>0</formula>
    </cfRule>
    <cfRule type="cellIs" dxfId="364" priority="1673" stopIfTrue="1" operator="equal">
      <formula>0</formula>
    </cfRule>
    <cfRule type="cellIs" dxfId="363" priority="1674" stopIfTrue="1" operator="greaterThan">
      <formula>0</formula>
    </cfRule>
  </conditionalFormatting>
  <conditionalFormatting sqref="M376:M377">
    <cfRule type="cellIs" dxfId="362" priority="1681" stopIfTrue="1" operator="lessThan">
      <formula>0</formula>
    </cfRule>
    <cfRule type="cellIs" dxfId="361" priority="1682" stopIfTrue="1" operator="equal">
      <formula>0</formula>
    </cfRule>
    <cfRule type="cellIs" dxfId="360" priority="1683" stopIfTrue="1" operator="greaterThan">
      <formula>0</formula>
    </cfRule>
  </conditionalFormatting>
  <conditionalFormatting sqref="M392:M393">
    <cfRule type="cellIs" dxfId="359" priority="1645" stopIfTrue="1" operator="lessThan">
      <formula>0</formula>
    </cfRule>
    <cfRule type="cellIs" dxfId="358" priority="1646" stopIfTrue="1" operator="equal">
      <formula>0</formula>
    </cfRule>
    <cfRule type="cellIs" dxfId="357" priority="1647" stopIfTrue="1" operator="greaterThan">
      <formula>0</formula>
    </cfRule>
  </conditionalFormatting>
  <conditionalFormatting sqref="M395:M396">
    <cfRule type="cellIs" dxfId="356" priority="1654" stopIfTrue="1" operator="lessThan">
      <formula>0</formula>
    </cfRule>
    <cfRule type="cellIs" dxfId="355" priority="1655" stopIfTrue="1" operator="equal">
      <formula>0</formula>
    </cfRule>
    <cfRule type="cellIs" dxfId="354" priority="1656" stopIfTrue="1" operator="greaterThan">
      <formula>0</formula>
    </cfRule>
  </conditionalFormatting>
  <conditionalFormatting sqref="M414:M415">
    <cfRule type="cellIs" dxfId="353" priority="1618" stopIfTrue="1" operator="lessThan">
      <formula>0</formula>
    </cfRule>
    <cfRule type="cellIs" dxfId="352" priority="1619" stopIfTrue="1" operator="equal">
      <formula>0</formula>
    </cfRule>
    <cfRule type="cellIs" dxfId="351" priority="1620" stopIfTrue="1" operator="greaterThan">
      <formula>0</formula>
    </cfRule>
  </conditionalFormatting>
  <conditionalFormatting sqref="M417:M418">
    <cfRule type="cellIs" dxfId="350" priority="1627" stopIfTrue="1" operator="lessThan">
      <formula>0</formula>
    </cfRule>
    <cfRule type="cellIs" dxfId="349" priority="1628" stopIfTrue="1" operator="equal">
      <formula>0</formula>
    </cfRule>
    <cfRule type="cellIs" dxfId="348" priority="1629" stopIfTrue="1" operator="greaterThan">
      <formula>0</formula>
    </cfRule>
  </conditionalFormatting>
  <conditionalFormatting sqref="M428:M429">
    <cfRule type="cellIs" dxfId="347" priority="1603" stopIfTrue="1" operator="lessThan">
      <formula>0</formula>
    </cfRule>
    <cfRule type="cellIs" dxfId="346" priority="1604" stopIfTrue="1" operator="equal">
      <formula>0</formula>
    </cfRule>
    <cfRule type="cellIs" dxfId="345" priority="1605" stopIfTrue="1" operator="greaterThan">
      <formula>0</formula>
    </cfRule>
  </conditionalFormatting>
  <conditionalFormatting sqref="M431:M432">
    <cfRule type="cellIs" dxfId="344" priority="1591" stopIfTrue="1" operator="lessThan">
      <formula>0</formula>
    </cfRule>
    <cfRule type="cellIs" dxfId="343" priority="1592" stopIfTrue="1" operator="equal">
      <formula>0</formula>
    </cfRule>
    <cfRule type="cellIs" dxfId="342" priority="1593" stopIfTrue="1" operator="greaterThan">
      <formula>0</formula>
    </cfRule>
  </conditionalFormatting>
  <conditionalFormatting sqref="M434:M435">
    <cfRule type="cellIs" dxfId="341" priority="1600" stopIfTrue="1" operator="lessThan">
      <formula>0</formula>
    </cfRule>
    <cfRule type="cellIs" dxfId="340" priority="1601" stopIfTrue="1" operator="equal">
      <formula>0</formula>
    </cfRule>
    <cfRule type="cellIs" dxfId="339" priority="1602" stopIfTrue="1" operator="greaterThan">
      <formula>0</formula>
    </cfRule>
  </conditionalFormatting>
  <conditionalFormatting sqref="M452:M453">
    <cfRule type="cellIs" dxfId="338" priority="1573" stopIfTrue="1" operator="lessThan">
      <formula>0</formula>
    </cfRule>
    <cfRule type="cellIs" dxfId="337" priority="1574" stopIfTrue="1" operator="equal">
      <formula>0</formula>
    </cfRule>
    <cfRule type="cellIs" dxfId="336" priority="1575" stopIfTrue="1" operator="greaterThan">
      <formula>0</formula>
    </cfRule>
  </conditionalFormatting>
  <conditionalFormatting sqref="M474:M475">
    <cfRule type="cellIs" dxfId="335" priority="1546" stopIfTrue="1" operator="lessThan">
      <formula>0</formula>
    </cfRule>
    <cfRule type="cellIs" dxfId="334" priority="1547" stopIfTrue="1" operator="equal">
      <formula>0</formula>
    </cfRule>
    <cfRule type="cellIs" dxfId="333" priority="1548" stopIfTrue="1" operator="greaterThan">
      <formula>0</formula>
    </cfRule>
  </conditionalFormatting>
  <conditionalFormatting sqref="M477:M479">
    <cfRule type="cellIs" dxfId="332" priority="1555" stopIfTrue="1" operator="lessThan">
      <formula>0</formula>
    </cfRule>
    <cfRule type="cellIs" dxfId="331" priority="1556" stopIfTrue="1" operator="equal">
      <formula>0</formula>
    </cfRule>
    <cfRule type="cellIs" dxfId="330" priority="1557" stopIfTrue="1" operator="greaterThan">
      <formula>0</formula>
    </cfRule>
  </conditionalFormatting>
  <conditionalFormatting sqref="M496:M497">
    <cfRule type="cellIs" dxfId="329" priority="1519" stopIfTrue="1" operator="lessThan">
      <formula>0</formula>
    </cfRule>
    <cfRule type="cellIs" dxfId="328" priority="1520" stopIfTrue="1" operator="equal">
      <formula>0</formula>
    </cfRule>
    <cfRule type="cellIs" dxfId="327" priority="1521" stopIfTrue="1" operator="greaterThan">
      <formula>0</formula>
    </cfRule>
  </conditionalFormatting>
  <conditionalFormatting sqref="M499:M500">
    <cfRule type="cellIs" dxfId="326" priority="1528" stopIfTrue="1" operator="lessThan">
      <formula>0</formula>
    </cfRule>
    <cfRule type="cellIs" dxfId="325" priority="1529" stopIfTrue="1" operator="equal">
      <formula>0</formula>
    </cfRule>
    <cfRule type="cellIs" dxfId="324" priority="1530" stopIfTrue="1" operator="greaterThan">
      <formula>0</formula>
    </cfRule>
  </conditionalFormatting>
  <conditionalFormatting sqref="M518:M519">
    <cfRule type="cellIs" dxfId="323" priority="1492" stopIfTrue="1" operator="lessThan">
      <formula>0</formula>
    </cfRule>
    <cfRule type="cellIs" dxfId="322" priority="1493" stopIfTrue="1" operator="equal">
      <formula>0</formula>
    </cfRule>
    <cfRule type="cellIs" dxfId="321" priority="1494" stopIfTrue="1" operator="greaterThan">
      <formula>0</formula>
    </cfRule>
  </conditionalFormatting>
  <conditionalFormatting sqref="M521:M522">
    <cfRule type="cellIs" dxfId="320" priority="1501" stopIfTrue="1" operator="lessThan">
      <formula>0</formula>
    </cfRule>
    <cfRule type="cellIs" dxfId="319" priority="1502" stopIfTrue="1" operator="equal">
      <formula>0</formula>
    </cfRule>
    <cfRule type="cellIs" dxfId="318" priority="1503" stopIfTrue="1" operator="greaterThan">
      <formula>0</formula>
    </cfRule>
  </conditionalFormatting>
  <conditionalFormatting sqref="M532:M533">
    <cfRule type="cellIs" dxfId="317" priority="563" stopIfTrue="1" operator="lessThan">
      <formula>0</formula>
    </cfRule>
    <cfRule type="cellIs" dxfId="316" priority="564" stopIfTrue="1" operator="equal">
      <formula>0</formula>
    </cfRule>
    <cfRule type="cellIs" dxfId="315" priority="565" stopIfTrue="1" operator="greaterThan">
      <formula>0</formula>
    </cfRule>
  </conditionalFormatting>
  <conditionalFormatting sqref="M535:M536">
    <cfRule type="cellIs" dxfId="314" priority="551" stopIfTrue="1" operator="lessThan">
      <formula>0</formula>
    </cfRule>
    <cfRule type="cellIs" dxfId="313" priority="552" stopIfTrue="1" operator="equal">
      <formula>0</formula>
    </cfRule>
    <cfRule type="cellIs" dxfId="312" priority="553" stopIfTrue="1" operator="greaterThan">
      <formula>0</formula>
    </cfRule>
  </conditionalFormatting>
  <conditionalFormatting sqref="M538:M539">
    <cfRule type="cellIs" dxfId="311" priority="560" stopIfTrue="1" operator="lessThan">
      <formula>0</formula>
    </cfRule>
    <cfRule type="cellIs" dxfId="310" priority="561" stopIfTrue="1" operator="equal">
      <formula>0</formula>
    </cfRule>
    <cfRule type="cellIs" dxfId="309" priority="562" stopIfTrue="1" operator="greaterThan">
      <formula>0</formula>
    </cfRule>
  </conditionalFormatting>
  <conditionalFormatting sqref="M558:M559">
    <cfRule type="cellIs" dxfId="308" priority="1465" stopIfTrue="1" operator="lessThan">
      <formula>0</formula>
    </cfRule>
    <cfRule type="cellIs" dxfId="307" priority="1466" stopIfTrue="1" operator="equal">
      <formula>0</formula>
    </cfRule>
    <cfRule type="cellIs" dxfId="306" priority="1467" stopIfTrue="1" operator="greaterThan">
      <formula>0</formula>
    </cfRule>
  </conditionalFormatting>
  <conditionalFormatting sqref="M561:M562">
    <cfRule type="cellIs" dxfId="305" priority="1474" stopIfTrue="1" operator="lessThan">
      <formula>0</formula>
    </cfRule>
    <cfRule type="cellIs" dxfId="304" priority="1475" stopIfTrue="1" operator="equal">
      <formula>0</formula>
    </cfRule>
    <cfRule type="cellIs" dxfId="303" priority="1476" stopIfTrue="1" operator="greaterThan">
      <formula>0</formula>
    </cfRule>
  </conditionalFormatting>
  <conditionalFormatting sqref="M590:M591">
    <cfRule type="cellIs" dxfId="302" priority="1447" stopIfTrue="1" operator="lessThan">
      <formula>0</formula>
    </cfRule>
    <cfRule type="cellIs" dxfId="301" priority="1448" stopIfTrue="1" operator="equal">
      <formula>0</formula>
    </cfRule>
    <cfRule type="cellIs" dxfId="300" priority="1449" stopIfTrue="1" operator="greaterThan">
      <formula>0</formula>
    </cfRule>
  </conditionalFormatting>
  <conditionalFormatting sqref="M610">
    <cfRule type="cellIs" dxfId="299" priority="541" stopIfTrue="1" operator="equal">
      <formula>0</formula>
    </cfRule>
    <cfRule type="cellIs" dxfId="298" priority="542" stopIfTrue="1" operator="greaterThan">
      <formula>0</formula>
    </cfRule>
  </conditionalFormatting>
  <conditionalFormatting sqref="M613:M614">
    <cfRule type="cellIs" dxfId="297" priority="529" stopIfTrue="1" operator="lessThan">
      <formula>0</formula>
    </cfRule>
    <cfRule type="cellIs" dxfId="296" priority="530" stopIfTrue="1" operator="equal">
      <formula>0</formula>
    </cfRule>
    <cfRule type="cellIs" dxfId="295" priority="531" stopIfTrue="1" operator="greaterThan">
      <formula>0</formula>
    </cfRule>
  </conditionalFormatting>
  <conditionalFormatting sqref="M616:M617">
    <cfRule type="cellIs" dxfId="294" priority="538" stopIfTrue="1" operator="lessThan">
      <formula>0</formula>
    </cfRule>
    <cfRule type="cellIs" dxfId="293" priority="539" stopIfTrue="1" operator="equal">
      <formula>0</formula>
    </cfRule>
    <cfRule type="cellIs" dxfId="292" priority="540" stopIfTrue="1" operator="greaterThan">
      <formula>0</formula>
    </cfRule>
  </conditionalFormatting>
  <conditionalFormatting sqref="M629:M632">
    <cfRule type="cellIs" dxfId="291" priority="1432" stopIfTrue="1" operator="lessThan">
      <formula>0</formula>
    </cfRule>
    <cfRule type="cellIs" dxfId="290" priority="1433" stopIfTrue="1" operator="equal">
      <formula>0</formula>
    </cfRule>
    <cfRule type="cellIs" dxfId="289" priority="1434" stopIfTrue="1" operator="greaterThan">
      <formula>0</formula>
    </cfRule>
  </conditionalFormatting>
  <conditionalFormatting sqref="M637:M638">
    <cfRule type="cellIs" dxfId="288" priority="1429" stopIfTrue="1" operator="lessThan">
      <formula>0</formula>
    </cfRule>
    <cfRule type="cellIs" dxfId="287" priority="1430" stopIfTrue="1" operator="equal">
      <formula>0</formula>
    </cfRule>
    <cfRule type="cellIs" dxfId="286" priority="1431" stopIfTrue="1" operator="greaterThan">
      <formula>0</formula>
    </cfRule>
  </conditionalFormatting>
  <conditionalFormatting sqref="M651:M652">
    <cfRule type="cellIs" dxfId="285" priority="1399" stopIfTrue="1" operator="lessThan">
      <formula>0</formula>
    </cfRule>
    <cfRule type="cellIs" dxfId="284" priority="1400" stopIfTrue="1" operator="equal">
      <formula>0</formula>
    </cfRule>
    <cfRule type="cellIs" dxfId="283" priority="1401" stopIfTrue="1" operator="greaterThan">
      <formula>0</formula>
    </cfRule>
  </conditionalFormatting>
  <conditionalFormatting sqref="M671:M672">
    <cfRule type="cellIs" dxfId="282" priority="1387" stopIfTrue="1" operator="lessThan">
      <formula>0</formula>
    </cfRule>
    <cfRule type="cellIs" dxfId="281" priority="1388" stopIfTrue="1" operator="equal">
      <formula>0</formula>
    </cfRule>
    <cfRule type="cellIs" dxfId="280" priority="1389" stopIfTrue="1" operator="greaterThan">
      <formula>0</formula>
    </cfRule>
  </conditionalFormatting>
  <conditionalFormatting sqref="M770:M771">
    <cfRule type="cellIs" dxfId="279" priority="1348" stopIfTrue="1" operator="lessThan">
      <formula>0</formula>
    </cfRule>
    <cfRule type="cellIs" dxfId="278" priority="1349" stopIfTrue="1" operator="equal">
      <formula>0</formula>
    </cfRule>
    <cfRule type="cellIs" dxfId="277" priority="1350" stopIfTrue="1" operator="greaterThan">
      <formula>0</formula>
    </cfRule>
  </conditionalFormatting>
  <conditionalFormatting sqref="M796:M797">
    <cfRule type="cellIs" dxfId="276" priority="1339" stopIfTrue="1" operator="lessThan">
      <formula>0</formula>
    </cfRule>
    <cfRule type="cellIs" dxfId="275" priority="1340" stopIfTrue="1" operator="equal">
      <formula>0</formula>
    </cfRule>
    <cfRule type="cellIs" dxfId="274" priority="1341" stopIfTrue="1" operator="greaterThan">
      <formula>0</formula>
    </cfRule>
  </conditionalFormatting>
  <conditionalFormatting sqref="M823:M824">
    <cfRule type="cellIs" dxfId="273" priority="1325" stopIfTrue="1" operator="lessThan">
      <formula>0</formula>
    </cfRule>
    <cfRule type="cellIs" dxfId="272" priority="1326" stopIfTrue="1" operator="equal">
      <formula>0</formula>
    </cfRule>
    <cfRule type="cellIs" dxfId="271" priority="1327" stopIfTrue="1" operator="greaterThan">
      <formula>0</formula>
    </cfRule>
  </conditionalFormatting>
  <conditionalFormatting sqref="M846:M847">
    <cfRule type="cellIs" dxfId="270" priority="1310" stopIfTrue="1" operator="lessThan">
      <formula>0</formula>
    </cfRule>
    <cfRule type="cellIs" dxfId="269" priority="1311" stopIfTrue="1" operator="equal">
      <formula>0</formula>
    </cfRule>
    <cfRule type="cellIs" dxfId="268" priority="1312" stopIfTrue="1" operator="greaterThan">
      <formula>0</formula>
    </cfRule>
  </conditionalFormatting>
  <conditionalFormatting sqref="M881:M882">
    <cfRule type="cellIs" dxfId="267" priority="487" stopIfTrue="1" operator="lessThan">
      <formula>0</formula>
    </cfRule>
    <cfRule type="cellIs" dxfId="266" priority="488" stopIfTrue="1" operator="equal">
      <formula>0</formula>
    </cfRule>
    <cfRule type="cellIs" dxfId="265" priority="489" stopIfTrue="1" operator="greaterThan">
      <formula>0</formula>
    </cfRule>
  </conditionalFormatting>
  <conditionalFormatting sqref="M897:M898">
    <cfRule type="cellIs" dxfId="264" priority="475" stopIfTrue="1" operator="lessThan">
      <formula>0</formula>
    </cfRule>
    <cfRule type="cellIs" dxfId="263" priority="476" stopIfTrue="1" operator="equal">
      <formula>0</formula>
    </cfRule>
    <cfRule type="cellIs" dxfId="262" priority="477" stopIfTrue="1" operator="greaterThan">
      <formula>0</formula>
    </cfRule>
  </conditionalFormatting>
  <conditionalFormatting sqref="M913:M914">
    <cfRule type="cellIs" dxfId="261" priority="1274" stopIfTrue="1" operator="lessThan">
      <formula>0</formula>
    </cfRule>
    <cfRule type="cellIs" dxfId="260" priority="1275" stopIfTrue="1" operator="equal">
      <formula>0</formula>
    </cfRule>
    <cfRule type="cellIs" dxfId="259" priority="1276" stopIfTrue="1" operator="greaterThan">
      <formula>0</formula>
    </cfRule>
  </conditionalFormatting>
  <conditionalFormatting sqref="M916:M917">
    <cfRule type="cellIs" dxfId="258" priority="1283" stopIfTrue="1" operator="lessThan">
      <formula>0</formula>
    </cfRule>
    <cfRule type="cellIs" dxfId="257" priority="1284" stopIfTrue="1" operator="equal">
      <formula>0</formula>
    </cfRule>
    <cfRule type="cellIs" dxfId="256" priority="1285" stopIfTrue="1" operator="greaterThan">
      <formula>0</formula>
    </cfRule>
  </conditionalFormatting>
  <conditionalFormatting sqref="M919:M920">
    <cfRule type="cellIs" dxfId="255" priority="1292" stopIfTrue="1" operator="lessThan">
      <formula>0</formula>
    </cfRule>
    <cfRule type="cellIs" dxfId="254" priority="1293" stopIfTrue="1" operator="equal">
      <formula>0</formula>
    </cfRule>
    <cfRule type="cellIs" dxfId="253" priority="1294" stopIfTrue="1" operator="greaterThan">
      <formula>0</formula>
    </cfRule>
  </conditionalFormatting>
  <conditionalFormatting sqref="M930:M931">
    <cfRule type="cellIs" dxfId="252" priority="1247" stopIfTrue="1" operator="lessThan">
      <formula>0</formula>
    </cfRule>
    <cfRule type="cellIs" dxfId="251" priority="1248" stopIfTrue="1" operator="equal">
      <formula>0</formula>
    </cfRule>
    <cfRule type="cellIs" dxfId="250" priority="1249" stopIfTrue="1" operator="greaterThan">
      <formula>0</formula>
    </cfRule>
  </conditionalFormatting>
  <conditionalFormatting sqref="M933:M934">
    <cfRule type="cellIs" dxfId="249" priority="1256" stopIfTrue="1" operator="lessThan">
      <formula>0</formula>
    </cfRule>
    <cfRule type="cellIs" dxfId="248" priority="1257" stopIfTrue="1" operator="equal">
      <formula>0</formula>
    </cfRule>
    <cfRule type="cellIs" dxfId="247" priority="1258" stopIfTrue="1" operator="greaterThan">
      <formula>0</formula>
    </cfRule>
  </conditionalFormatting>
  <conditionalFormatting sqref="M936:M937">
    <cfRule type="cellIs" dxfId="246" priority="1265" stopIfTrue="1" operator="lessThan">
      <formula>0</formula>
    </cfRule>
    <cfRule type="cellIs" dxfId="245" priority="1266" stopIfTrue="1" operator="equal">
      <formula>0</formula>
    </cfRule>
    <cfRule type="cellIs" dxfId="244" priority="1267" stopIfTrue="1" operator="greaterThan">
      <formula>0</formula>
    </cfRule>
  </conditionalFormatting>
  <conditionalFormatting sqref="M949:M950">
    <cfRule type="cellIs" dxfId="243" priority="1229" stopIfTrue="1" operator="lessThan">
      <formula>0</formula>
    </cfRule>
    <cfRule type="cellIs" dxfId="242" priority="1230" stopIfTrue="1" operator="equal">
      <formula>0</formula>
    </cfRule>
    <cfRule type="cellIs" dxfId="241" priority="1231" stopIfTrue="1" operator="greaterThan">
      <formula>0</formula>
    </cfRule>
  </conditionalFormatting>
  <conditionalFormatting sqref="M952:M953">
    <cfRule type="cellIs" dxfId="240" priority="1238" stopIfTrue="1" operator="lessThan">
      <formula>0</formula>
    </cfRule>
    <cfRule type="cellIs" dxfId="239" priority="1239" stopIfTrue="1" operator="equal">
      <formula>0</formula>
    </cfRule>
    <cfRule type="cellIs" dxfId="238" priority="1240" stopIfTrue="1" operator="greaterThan">
      <formula>0</formula>
    </cfRule>
  </conditionalFormatting>
  <conditionalFormatting sqref="M963:M964">
    <cfRule type="cellIs" dxfId="237" priority="451" stopIfTrue="1" operator="lessThan">
      <formula>0</formula>
    </cfRule>
    <cfRule type="cellIs" dxfId="236" priority="452" stopIfTrue="1" operator="equal">
      <formula>0</formula>
    </cfRule>
    <cfRule type="cellIs" dxfId="235" priority="453" stopIfTrue="1" operator="greaterThan">
      <formula>0</formula>
    </cfRule>
  </conditionalFormatting>
  <conditionalFormatting sqref="M966:M967">
    <cfRule type="cellIs" dxfId="234" priority="460" stopIfTrue="1" operator="lessThan">
      <formula>0</formula>
    </cfRule>
    <cfRule type="cellIs" dxfId="233" priority="461" stopIfTrue="1" operator="equal">
      <formula>0</formula>
    </cfRule>
    <cfRule type="cellIs" dxfId="232" priority="462" stopIfTrue="1" operator="greaterThan">
      <formula>0</formula>
    </cfRule>
  </conditionalFormatting>
  <conditionalFormatting sqref="M969:M970">
    <cfRule type="cellIs" dxfId="231" priority="466" stopIfTrue="1" operator="lessThan">
      <formula>0</formula>
    </cfRule>
    <cfRule type="cellIs" dxfId="230" priority="467" stopIfTrue="1" operator="equal">
      <formula>0</formula>
    </cfRule>
    <cfRule type="cellIs" dxfId="229" priority="468" stopIfTrue="1" operator="greaterThan">
      <formula>0</formula>
    </cfRule>
  </conditionalFormatting>
  <conditionalFormatting sqref="M980:M981">
    <cfRule type="cellIs" dxfId="228" priority="1196" stopIfTrue="1" operator="lessThan">
      <formula>0</formula>
    </cfRule>
    <cfRule type="cellIs" dxfId="227" priority="1197" stopIfTrue="1" operator="equal">
      <formula>0</formula>
    </cfRule>
    <cfRule type="cellIs" dxfId="226" priority="1198" stopIfTrue="1" operator="greaterThan">
      <formula>0</formula>
    </cfRule>
  </conditionalFormatting>
  <conditionalFormatting sqref="M983:M984">
    <cfRule type="cellIs" dxfId="225" priority="1205" stopIfTrue="1" operator="lessThan">
      <formula>0</formula>
    </cfRule>
    <cfRule type="cellIs" dxfId="224" priority="1206" stopIfTrue="1" operator="equal">
      <formula>0</formula>
    </cfRule>
    <cfRule type="cellIs" dxfId="223" priority="1207" stopIfTrue="1" operator="greaterThan">
      <formula>0</formula>
    </cfRule>
  </conditionalFormatting>
  <conditionalFormatting sqref="M986:M987">
    <cfRule type="cellIs" dxfId="222" priority="1211" stopIfTrue="1" operator="lessThan">
      <formula>0</formula>
    </cfRule>
    <cfRule type="cellIs" dxfId="221" priority="1212" stopIfTrue="1" operator="equal">
      <formula>0</formula>
    </cfRule>
    <cfRule type="cellIs" dxfId="220" priority="1213" stopIfTrue="1" operator="greaterThan">
      <formula>0</formula>
    </cfRule>
  </conditionalFormatting>
  <conditionalFormatting sqref="M997:M998">
    <cfRule type="cellIs" dxfId="219" priority="1169" stopIfTrue="1" operator="lessThan">
      <formula>0</formula>
    </cfRule>
    <cfRule type="cellIs" dxfId="218" priority="1170" stopIfTrue="1" operator="equal">
      <formula>0</formula>
    </cfRule>
    <cfRule type="cellIs" dxfId="217" priority="1171" stopIfTrue="1" operator="greaterThan">
      <formula>0</formula>
    </cfRule>
  </conditionalFormatting>
  <conditionalFormatting sqref="M1000:M1001">
    <cfRule type="cellIs" dxfId="216" priority="1178" stopIfTrue="1" operator="lessThan">
      <formula>0</formula>
    </cfRule>
    <cfRule type="cellIs" dxfId="215" priority="1179" stopIfTrue="1" operator="equal">
      <formula>0</formula>
    </cfRule>
    <cfRule type="cellIs" dxfId="214" priority="1180" stopIfTrue="1" operator="greaterThan">
      <formula>0</formula>
    </cfRule>
  </conditionalFormatting>
  <conditionalFormatting sqref="M1003:M1004">
    <cfRule type="cellIs" dxfId="213" priority="1187" stopIfTrue="1" operator="lessThan">
      <formula>0</formula>
    </cfRule>
    <cfRule type="cellIs" dxfId="212" priority="1188" stopIfTrue="1" operator="equal">
      <formula>0</formula>
    </cfRule>
    <cfRule type="cellIs" dxfId="211" priority="1189" stopIfTrue="1" operator="greaterThan">
      <formula>0</formula>
    </cfRule>
  </conditionalFormatting>
  <conditionalFormatting sqref="M1014:M1015">
    <cfRule type="cellIs" dxfId="210" priority="1142" stopIfTrue="1" operator="lessThan">
      <formula>0</formula>
    </cfRule>
    <cfRule type="cellIs" dxfId="209" priority="1143" stopIfTrue="1" operator="equal">
      <formula>0</formula>
    </cfRule>
    <cfRule type="cellIs" dxfId="208" priority="1144" stopIfTrue="1" operator="greaterThan">
      <formula>0</formula>
    </cfRule>
  </conditionalFormatting>
  <conditionalFormatting sqref="M1017:M1018">
    <cfRule type="cellIs" dxfId="207" priority="1151" stopIfTrue="1" operator="lessThan">
      <formula>0</formula>
    </cfRule>
    <cfRule type="cellIs" dxfId="206" priority="1152" stopIfTrue="1" operator="equal">
      <formula>0</formula>
    </cfRule>
    <cfRule type="cellIs" dxfId="205" priority="1153" stopIfTrue="1" operator="greaterThan">
      <formula>0</formula>
    </cfRule>
  </conditionalFormatting>
  <conditionalFormatting sqref="M1020:M1021">
    <cfRule type="cellIs" dxfId="204" priority="1160" stopIfTrue="1" operator="lessThan">
      <formula>0</formula>
    </cfRule>
    <cfRule type="cellIs" dxfId="203" priority="1161" stopIfTrue="1" operator="equal">
      <formula>0</formula>
    </cfRule>
    <cfRule type="cellIs" dxfId="202" priority="1162" stopIfTrue="1" operator="greaterThan">
      <formula>0</formula>
    </cfRule>
  </conditionalFormatting>
  <conditionalFormatting sqref="M1039:M1040">
    <cfRule type="cellIs" dxfId="201" priority="1124" stopIfTrue="1" operator="lessThan">
      <formula>0</formula>
    </cfRule>
    <cfRule type="cellIs" dxfId="200" priority="1125" stopIfTrue="1" operator="equal">
      <formula>0</formula>
    </cfRule>
    <cfRule type="cellIs" dxfId="199" priority="1126" stopIfTrue="1" operator="greaterThan">
      <formula>0</formula>
    </cfRule>
  </conditionalFormatting>
  <conditionalFormatting sqref="M1042:M1043">
    <cfRule type="cellIs" dxfId="198" priority="1133" stopIfTrue="1" operator="lessThan">
      <formula>0</formula>
    </cfRule>
    <cfRule type="cellIs" dxfId="197" priority="1134" stopIfTrue="1" operator="equal">
      <formula>0</formula>
    </cfRule>
    <cfRule type="cellIs" dxfId="196" priority="1135" stopIfTrue="1" operator="greaterThan">
      <formula>0</formula>
    </cfRule>
  </conditionalFormatting>
  <conditionalFormatting sqref="M1065:M1066">
    <cfRule type="cellIs" dxfId="195" priority="1097" stopIfTrue="1" operator="lessThan">
      <formula>0</formula>
    </cfRule>
    <cfRule type="cellIs" dxfId="194" priority="1098" stopIfTrue="1" operator="equal">
      <formula>0</formula>
    </cfRule>
    <cfRule type="cellIs" dxfId="193" priority="1099" stopIfTrue="1" operator="greaterThan">
      <formula>0</formula>
    </cfRule>
  </conditionalFormatting>
  <conditionalFormatting sqref="M1091:M1092">
    <cfRule type="cellIs" dxfId="192" priority="1076" stopIfTrue="1" operator="lessThan">
      <formula>0</formula>
    </cfRule>
    <cfRule type="cellIs" dxfId="191" priority="1077" stopIfTrue="1" operator="equal">
      <formula>0</formula>
    </cfRule>
    <cfRule type="cellIs" dxfId="190" priority="1078" stopIfTrue="1" operator="greaterThan">
      <formula>0</formula>
    </cfRule>
  </conditionalFormatting>
  <conditionalFormatting sqref="M1115:M1116">
    <cfRule type="cellIs" dxfId="189" priority="1055" stopIfTrue="1" operator="lessThan">
      <formula>0</formula>
    </cfRule>
    <cfRule type="cellIs" dxfId="188" priority="1056" stopIfTrue="1" operator="equal">
      <formula>0</formula>
    </cfRule>
    <cfRule type="cellIs" dxfId="187" priority="1057" stopIfTrue="1" operator="greaterThan">
      <formula>0</formula>
    </cfRule>
  </conditionalFormatting>
  <conditionalFormatting sqref="M1157:M1158">
    <cfRule type="cellIs" dxfId="186" priority="1013" stopIfTrue="1" operator="lessThan">
      <formula>0</formula>
    </cfRule>
    <cfRule type="cellIs" dxfId="185" priority="1014" stopIfTrue="1" operator="equal">
      <formula>0</formula>
    </cfRule>
    <cfRule type="cellIs" dxfId="184" priority="1015" stopIfTrue="1" operator="greaterThan">
      <formula>0</formula>
    </cfRule>
  </conditionalFormatting>
  <conditionalFormatting sqref="M1203:M1204">
    <cfRule type="cellIs" dxfId="183" priority="1034" stopIfTrue="1" operator="lessThan">
      <formula>0</formula>
    </cfRule>
    <cfRule type="cellIs" dxfId="182" priority="1035" stopIfTrue="1" operator="equal">
      <formula>0</formula>
    </cfRule>
    <cfRule type="cellIs" dxfId="181" priority="1036" stopIfTrue="1" operator="greaterThan">
      <formula>0</formula>
    </cfRule>
  </conditionalFormatting>
  <conditionalFormatting sqref="M1236:M1237">
    <cfRule type="cellIs" dxfId="180" priority="995" stopIfTrue="1" operator="lessThan">
      <formula>0</formula>
    </cfRule>
    <cfRule type="cellIs" dxfId="179" priority="996" stopIfTrue="1" operator="equal">
      <formula>0</formula>
    </cfRule>
    <cfRule type="cellIs" dxfId="178" priority="997" stopIfTrue="1" operator="greaterThan">
      <formula>0</formula>
    </cfRule>
  </conditionalFormatting>
  <conditionalFormatting sqref="M1252:M1253">
    <cfRule type="cellIs" dxfId="177" priority="433" stopIfTrue="1" operator="lessThan">
      <formula>0</formula>
    </cfRule>
    <cfRule type="cellIs" dxfId="176" priority="434" stopIfTrue="1" operator="equal">
      <formula>0</formula>
    </cfRule>
    <cfRule type="cellIs" dxfId="175" priority="435" stopIfTrue="1" operator="greaterThan">
      <formula>0</formula>
    </cfRule>
  </conditionalFormatting>
  <conditionalFormatting sqref="M1274:M1275">
    <cfRule type="cellIs" dxfId="174" priority="974" stopIfTrue="1" operator="lessThan">
      <formula>0</formula>
    </cfRule>
    <cfRule type="cellIs" dxfId="173" priority="975" stopIfTrue="1" operator="equal">
      <formula>0</formula>
    </cfRule>
    <cfRule type="cellIs" dxfId="172" priority="976" stopIfTrue="1" operator="greaterThan">
      <formula>0</formula>
    </cfRule>
  </conditionalFormatting>
  <conditionalFormatting sqref="M1287:M1293">
    <cfRule type="cellIs" dxfId="171" priority="962" stopIfTrue="1" operator="lessThan">
      <formula>0</formula>
    </cfRule>
    <cfRule type="cellIs" dxfId="170" priority="963" stopIfTrue="1" operator="equal">
      <formula>0</formula>
    </cfRule>
    <cfRule type="cellIs" dxfId="169" priority="964" stopIfTrue="1" operator="greaterThan">
      <formula>0</formula>
    </cfRule>
  </conditionalFormatting>
  <conditionalFormatting sqref="M1295:M1296">
    <cfRule type="cellIs" dxfId="168" priority="953" stopIfTrue="1" operator="lessThan">
      <formula>0</formula>
    </cfRule>
    <cfRule type="cellIs" dxfId="167" priority="954" stopIfTrue="1" operator="equal">
      <formula>0</formula>
    </cfRule>
    <cfRule type="cellIs" dxfId="166" priority="955" stopIfTrue="1" operator="greaterThan">
      <formula>0</formula>
    </cfRule>
  </conditionalFormatting>
  <conditionalFormatting sqref="M1308:M1310">
    <cfRule type="cellIs" dxfId="165" priority="941" stopIfTrue="1" operator="lessThan">
      <formula>0</formula>
    </cfRule>
    <cfRule type="cellIs" dxfId="164" priority="942" stopIfTrue="1" operator="equal">
      <formula>0</formula>
    </cfRule>
    <cfRule type="cellIs" dxfId="163" priority="943" stopIfTrue="1" operator="greaterThan">
      <formula>0</formula>
    </cfRule>
  </conditionalFormatting>
  <conditionalFormatting sqref="M1312:M1313">
    <cfRule type="cellIs" dxfId="162" priority="932" stopIfTrue="1" operator="lessThan">
      <formula>0</formula>
    </cfRule>
    <cfRule type="cellIs" dxfId="161" priority="933" stopIfTrue="1" operator="equal">
      <formula>0</formula>
    </cfRule>
    <cfRule type="cellIs" dxfId="160" priority="934" stopIfTrue="1" operator="greaterThan">
      <formula>0</formula>
    </cfRule>
  </conditionalFormatting>
  <conditionalFormatting sqref="M1329:M1330">
    <cfRule type="cellIs" dxfId="159" priority="70" stopIfTrue="1" operator="lessThan">
      <formula>0</formula>
    </cfRule>
    <cfRule type="cellIs" dxfId="158" priority="71" stopIfTrue="1" operator="equal">
      <formula>0</formula>
    </cfRule>
    <cfRule type="cellIs" dxfId="157" priority="72" stopIfTrue="1" operator="greaterThan">
      <formula>0</formula>
    </cfRule>
  </conditionalFormatting>
  <conditionalFormatting sqref="M1351:M1352">
    <cfRule type="cellIs" dxfId="156" priority="412" stopIfTrue="1" operator="lessThan">
      <formula>0</formula>
    </cfRule>
    <cfRule type="cellIs" dxfId="155" priority="413" stopIfTrue="1" operator="equal">
      <formula>0</formula>
    </cfRule>
    <cfRule type="cellIs" dxfId="154" priority="414" stopIfTrue="1" operator="greaterThan">
      <formula>0</formula>
    </cfRule>
  </conditionalFormatting>
  <conditionalFormatting sqref="M1366">
    <cfRule type="cellIs" dxfId="153" priority="923" stopIfTrue="1" operator="lessThan">
      <formula>0</formula>
    </cfRule>
    <cfRule type="cellIs" dxfId="152" priority="924" stopIfTrue="1" operator="equal">
      <formula>0</formula>
    </cfRule>
    <cfRule type="cellIs" dxfId="151" priority="925" stopIfTrue="1" operator="greaterThan">
      <formula>0</formula>
    </cfRule>
  </conditionalFormatting>
  <conditionalFormatting sqref="M1368:M1369">
    <cfRule type="cellIs" dxfId="150" priority="914" stopIfTrue="1" operator="lessThan">
      <formula>0</formula>
    </cfRule>
    <cfRule type="cellIs" dxfId="149" priority="915" stopIfTrue="1" operator="equal">
      <formula>0</formula>
    </cfRule>
    <cfRule type="cellIs" dxfId="148" priority="916" stopIfTrue="1" operator="greaterThan">
      <formula>0</formula>
    </cfRule>
  </conditionalFormatting>
  <conditionalFormatting sqref="M1381">
    <cfRule type="cellIs" dxfId="147" priority="902" stopIfTrue="1" operator="lessThan">
      <formula>0</formula>
    </cfRule>
    <cfRule type="cellIs" dxfId="146" priority="903" stopIfTrue="1" operator="equal">
      <formula>0</formula>
    </cfRule>
    <cfRule type="cellIs" dxfId="145" priority="904" stopIfTrue="1" operator="greaterThan">
      <formula>0</formula>
    </cfRule>
  </conditionalFormatting>
  <conditionalFormatting sqref="M1383:M1384">
    <cfRule type="cellIs" dxfId="144" priority="893" stopIfTrue="1" operator="lessThan">
      <formula>0</formula>
    </cfRule>
    <cfRule type="cellIs" dxfId="143" priority="894" stopIfTrue="1" operator="equal">
      <formula>0</formula>
    </cfRule>
    <cfRule type="cellIs" dxfId="142" priority="895" stopIfTrue="1" operator="greaterThan">
      <formula>0</formula>
    </cfRule>
  </conditionalFormatting>
  <conditionalFormatting sqref="M1396">
    <cfRule type="cellIs" dxfId="141" priority="881" stopIfTrue="1" operator="lessThan">
      <formula>0</formula>
    </cfRule>
    <cfRule type="cellIs" dxfId="140" priority="882" stopIfTrue="1" operator="equal">
      <formula>0</formula>
    </cfRule>
    <cfRule type="cellIs" dxfId="139" priority="883" stopIfTrue="1" operator="greaterThan">
      <formula>0</formula>
    </cfRule>
  </conditionalFormatting>
  <conditionalFormatting sqref="M1398:M1399">
    <cfRule type="cellIs" dxfId="138" priority="872" stopIfTrue="1" operator="lessThan">
      <formula>0</formula>
    </cfRule>
    <cfRule type="cellIs" dxfId="137" priority="873" stopIfTrue="1" operator="equal">
      <formula>0</formula>
    </cfRule>
    <cfRule type="cellIs" dxfId="136" priority="874" stopIfTrue="1" operator="greaterThan">
      <formula>0</formula>
    </cfRule>
  </conditionalFormatting>
  <conditionalFormatting sqref="M1411">
    <cfRule type="cellIs" dxfId="135" priority="860" stopIfTrue="1" operator="lessThan">
      <formula>0</formula>
    </cfRule>
    <cfRule type="cellIs" dxfId="134" priority="861" stopIfTrue="1" operator="equal">
      <formula>0</formula>
    </cfRule>
    <cfRule type="cellIs" dxfId="133" priority="862" stopIfTrue="1" operator="greaterThan">
      <formula>0</formula>
    </cfRule>
  </conditionalFormatting>
  <conditionalFormatting sqref="M1413:M1414">
    <cfRule type="cellIs" dxfId="132" priority="851" stopIfTrue="1" operator="lessThan">
      <formula>0</formula>
    </cfRule>
    <cfRule type="cellIs" dxfId="131" priority="852" stopIfTrue="1" operator="equal">
      <formula>0</formula>
    </cfRule>
    <cfRule type="cellIs" dxfId="130" priority="853" stopIfTrue="1" operator="greaterThan">
      <formula>0</formula>
    </cfRule>
  </conditionalFormatting>
  <conditionalFormatting sqref="M1426">
    <cfRule type="cellIs" dxfId="129" priority="839" stopIfTrue="1" operator="lessThan">
      <formula>0</formula>
    </cfRule>
    <cfRule type="cellIs" dxfId="128" priority="840" stopIfTrue="1" operator="equal">
      <formula>0</formula>
    </cfRule>
    <cfRule type="cellIs" dxfId="127" priority="841" stopIfTrue="1" operator="greaterThan">
      <formula>0</formula>
    </cfRule>
  </conditionalFormatting>
  <conditionalFormatting sqref="M1428:M1429">
    <cfRule type="cellIs" dxfId="126" priority="830" stopIfTrue="1" operator="lessThan">
      <formula>0</formula>
    </cfRule>
    <cfRule type="cellIs" dxfId="125" priority="831" stopIfTrue="1" operator="equal">
      <formula>0</formula>
    </cfRule>
    <cfRule type="cellIs" dxfId="124" priority="832" stopIfTrue="1" operator="greaterThan">
      <formula>0</formula>
    </cfRule>
  </conditionalFormatting>
  <conditionalFormatting sqref="M1441">
    <cfRule type="cellIs" dxfId="123" priority="818" stopIfTrue="1" operator="lessThan">
      <formula>0</formula>
    </cfRule>
    <cfRule type="cellIs" dxfId="122" priority="819" stopIfTrue="1" operator="equal">
      <formula>0</formula>
    </cfRule>
    <cfRule type="cellIs" dxfId="121" priority="820" stopIfTrue="1" operator="greaterThan">
      <formula>0</formula>
    </cfRule>
  </conditionalFormatting>
  <conditionalFormatting sqref="M1443:M1444">
    <cfRule type="cellIs" dxfId="120" priority="809" stopIfTrue="1" operator="lessThan">
      <formula>0</formula>
    </cfRule>
    <cfRule type="cellIs" dxfId="119" priority="810" stopIfTrue="1" operator="equal">
      <formula>0</formula>
    </cfRule>
    <cfRule type="cellIs" dxfId="118" priority="811" stopIfTrue="1" operator="greaterThan">
      <formula>0</formula>
    </cfRule>
  </conditionalFormatting>
  <conditionalFormatting sqref="M1467:M1468">
    <cfRule type="cellIs" dxfId="117" priority="788" stopIfTrue="1" operator="lessThan">
      <formula>0</formula>
    </cfRule>
    <cfRule type="cellIs" dxfId="116" priority="789" stopIfTrue="1" operator="equal">
      <formula>0</formula>
    </cfRule>
    <cfRule type="cellIs" dxfId="115" priority="790" stopIfTrue="1" operator="greaterThan">
      <formula>0</formula>
    </cfRule>
  </conditionalFormatting>
  <conditionalFormatting sqref="M1494:M1495">
    <cfRule type="cellIs" dxfId="114" priority="767" stopIfTrue="1" operator="lessThan">
      <formula>0</formula>
    </cfRule>
    <cfRule type="cellIs" dxfId="113" priority="768" stopIfTrue="1" operator="equal">
      <formula>0</formula>
    </cfRule>
    <cfRule type="cellIs" dxfId="112" priority="769" stopIfTrue="1" operator="greaterThan">
      <formula>0</formula>
    </cfRule>
  </conditionalFormatting>
  <conditionalFormatting sqref="M1509:M1510">
    <cfRule type="cellIs" dxfId="111" priority="755" stopIfTrue="1" operator="lessThan">
      <formula>0</formula>
    </cfRule>
    <cfRule type="cellIs" dxfId="110" priority="756" stopIfTrue="1" operator="equal">
      <formula>0</formula>
    </cfRule>
    <cfRule type="cellIs" dxfId="109" priority="757" stopIfTrue="1" operator="greaterThan">
      <formula>0</formula>
    </cfRule>
  </conditionalFormatting>
  <conditionalFormatting sqref="M1524:M1525">
    <cfRule type="cellIs" dxfId="108" priority="397" stopIfTrue="1" operator="lessThan">
      <formula>0</formula>
    </cfRule>
    <cfRule type="cellIs" dxfId="107" priority="398" stopIfTrue="1" operator="equal">
      <formula>0</formula>
    </cfRule>
    <cfRule type="cellIs" dxfId="106" priority="399" stopIfTrue="1" operator="greaterThan">
      <formula>0</formula>
    </cfRule>
  </conditionalFormatting>
  <conditionalFormatting sqref="M1539:M1540">
    <cfRule type="cellIs" dxfId="105" priority="743" stopIfTrue="1" operator="lessThan">
      <formula>0</formula>
    </cfRule>
    <cfRule type="cellIs" dxfId="104" priority="744" stopIfTrue="1" operator="equal">
      <formula>0</formula>
    </cfRule>
    <cfRule type="cellIs" dxfId="103" priority="745" stopIfTrue="1" operator="greaterThan">
      <formula>0</formula>
    </cfRule>
  </conditionalFormatting>
  <conditionalFormatting sqref="M1567">
    <cfRule type="cellIs" dxfId="102" priority="385" stopIfTrue="1" operator="lessThan">
      <formula>0</formula>
    </cfRule>
    <cfRule type="cellIs" dxfId="101" priority="386" stopIfTrue="1" operator="equal">
      <formula>0</formula>
    </cfRule>
    <cfRule type="cellIs" dxfId="100" priority="387" stopIfTrue="1" operator="greaterThan">
      <formula>0</formula>
    </cfRule>
  </conditionalFormatting>
  <conditionalFormatting sqref="M1593">
    <cfRule type="cellIs" dxfId="99" priority="731" stopIfTrue="1" operator="lessThan">
      <formula>0</formula>
    </cfRule>
    <cfRule type="cellIs" dxfId="98" priority="732" stopIfTrue="1" operator="equal">
      <formula>0</formula>
    </cfRule>
    <cfRule type="cellIs" dxfId="97" priority="733" stopIfTrue="1" operator="greaterThan">
      <formula>0</formula>
    </cfRule>
  </conditionalFormatting>
  <conditionalFormatting sqref="M1634:M1635">
    <cfRule type="cellIs" dxfId="96" priority="710" stopIfTrue="1" operator="lessThan">
      <formula>0</formula>
    </cfRule>
    <cfRule type="cellIs" dxfId="95" priority="711" stopIfTrue="1" operator="equal">
      <formula>0</formula>
    </cfRule>
    <cfRule type="cellIs" dxfId="94" priority="712" stopIfTrue="1" operator="greaterThan">
      <formula>0</formula>
    </cfRule>
  </conditionalFormatting>
  <conditionalFormatting sqref="M1652:M1653">
    <cfRule type="cellIs" dxfId="93" priority="698" stopIfTrue="1" operator="lessThan">
      <formula>0</formula>
    </cfRule>
    <cfRule type="cellIs" dxfId="92" priority="699" stopIfTrue="1" operator="equal">
      <formula>0</formula>
    </cfRule>
    <cfRule type="cellIs" dxfId="91" priority="700" stopIfTrue="1" operator="greaterThan">
      <formula>0</formula>
    </cfRule>
  </conditionalFormatting>
  <conditionalFormatting sqref="M1655:M1657">
    <cfRule type="cellIs" dxfId="90" priority="250" stopIfTrue="1" operator="lessThan">
      <formula>0</formula>
    </cfRule>
    <cfRule type="cellIs" dxfId="89" priority="251" stopIfTrue="1" operator="equal">
      <formula>0</formula>
    </cfRule>
    <cfRule type="cellIs" dxfId="88" priority="252" stopIfTrue="1" operator="greaterThan">
      <formula>0</formula>
    </cfRule>
  </conditionalFormatting>
  <conditionalFormatting sqref="M1672:M1673">
    <cfRule type="cellIs" dxfId="87" priority="172" stopIfTrue="1" operator="lessThan">
      <formula>0</formula>
    </cfRule>
    <cfRule type="cellIs" dxfId="86" priority="173" stopIfTrue="1" operator="equal">
      <formula>0</formula>
    </cfRule>
    <cfRule type="cellIs" dxfId="85" priority="174" stopIfTrue="1" operator="greaterThan">
      <formula>0</formula>
    </cfRule>
  </conditionalFormatting>
  <conditionalFormatting sqref="M1675:M1677">
    <cfRule type="cellIs" dxfId="84" priority="163" stopIfTrue="1" operator="lessThan">
      <formula>0</formula>
    </cfRule>
    <cfRule type="cellIs" dxfId="83" priority="164" stopIfTrue="1" operator="equal">
      <formula>0</formula>
    </cfRule>
    <cfRule type="cellIs" dxfId="82" priority="165" stopIfTrue="1" operator="greaterThan">
      <formula>0</formula>
    </cfRule>
  </conditionalFormatting>
  <conditionalFormatting sqref="M1690">
    <cfRule type="cellIs" dxfId="81" priority="686" stopIfTrue="1" operator="lessThan">
      <formula>0</formula>
    </cfRule>
    <cfRule type="cellIs" dxfId="80" priority="687" stopIfTrue="1" operator="equal">
      <formula>0</formula>
    </cfRule>
    <cfRule type="cellIs" dxfId="79" priority="688" stopIfTrue="1" operator="greaterThan">
      <formula>0</formula>
    </cfRule>
  </conditionalFormatting>
  <conditionalFormatting sqref="M1737">
    <cfRule type="cellIs" dxfId="78" priority="16" stopIfTrue="1" operator="lessThan">
      <formula>0</formula>
    </cfRule>
    <cfRule type="cellIs" dxfId="77" priority="17" stopIfTrue="1" operator="equal">
      <formula>0</formula>
    </cfRule>
    <cfRule type="cellIs" dxfId="76" priority="18" stopIfTrue="1" operator="greaterThan">
      <formula>0</formula>
    </cfRule>
  </conditionalFormatting>
  <conditionalFormatting sqref="M1750:M1751">
    <cfRule type="cellIs" dxfId="75" priority="319" stopIfTrue="1" operator="lessThan">
      <formula>0</formula>
    </cfRule>
    <cfRule type="cellIs" dxfId="74" priority="320" stopIfTrue="1" operator="equal">
      <formula>0</formula>
    </cfRule>
    <cfRule type="cellIs" dxfId="73" priority="321" stopIfTrue="1" operator="greaterThan">
      <formula>0</formula>
    </cfRule>
  </conditionalFormatting>
  <conditionalFormatting sqref="M1753:M1754">
    <cfRule type="cellIs" dxfId="72" priority="307" stopIfTrue="1" operator="lessThan">
      <formula>0</formula>
    </cfRule>
    <cfRule type="cellIs" dxfId="71" priority="308" stopIfTrue="1" operator="equal">
      <formula>0</formula>
    </cfRule>
    <cfRule type="cellIs" dxfId="70" priority="309" stopIfTrue="1" operator="greaterThan">
      <formula>0</formula>
    </cfRule>
  </conditionalFormatting>
  <conditionalFormatting sqref="M1756:M1757">
    <cfRule type="cellIs" dxfId="69" priority="316" stopIfTrue="1" operator="lessThan">
      <formula>0</formula>
    </cfRule>
    <cfRule type="cellIs" dxfId="68" priority="317" stopIfTrue="1" operator="equal">
      <formula>0</formula>
    </cfRule>
    <cfRule type="cellIs" dxfId="67" priority="318" stopIfTrue="1" operator="greaterThan">
      <formula>0</formula>
    </cfRule>
  </conditionalFormatting>
  <conditionalFormatting sqref="M1767:M1768">
    <cfRule type="cellIs" dxfId="66" priority="145" stopIfTrue="1" operator="lessThan">
      <formula>0</formula>
    </cfRule>
    <cfRule type="cellIs" dxfId="65" priority="146" stopIfTrue="1" operator="equal">
      <formula>0</formula>
    </cfRule>
    <cfRule type="cellIs" dxfId="64" priority="147" stopIfTrue="1" operator="greaterThan">
      <formula>0</formula>
    </cfRule>
  </conditionalFormatting>
  <conditionalFormatting sqref="M1770:M1771">
    <cfRule type="cellIs" dxfId="63" priority="133" stopIfTrue="1" operator="lessThan">
      <formula>0</formula>
    </cfRule>
    <cfRule type="cellIs" dxfId="62" priority="134" stopIfTrue="1" operator="equal">
      <formula>0</formula>
    </cfRule>
    <cfRule type="cellIs" dxfId="61" priority="135" stopIfTrue="1" operator="greaterThan">
      <formula>0</formula>
    </cfRule>
  </conditionalFormatting>
  <conditionalFormatting sqref="M1773:M1774">
    <cfRule type="cellIs" dxfId="60" priority="142" stopIfTrue="1" operator="lessThan">
      <formula>0</formula>
    </cfRule>
    <cfRule type="cellIs" dxfId="59" priority="143" stopIfTrue="1" operator="equal">
      <formula>0</formula>
    </cfRule>
    <cfRule type="cellIs" dxfId="58" priority="144" stopIfTrue="1" operator="greaterThan">
      <formula>0</formula>
    </cfRule>
  </conditionalFormatting>
  <conditionalFormatting sqref="M1784:M1785">
    <cfRule type="cellIs" dxfId="57" priority="118" stopIfTrue="1" operator="lessThan">
      <formula>0</formula>
    </cfRule>
    <cfRule type="cellIs" dxfId="56" priority="119" stopIfTrue="1" operator="equal">
      <formula>0</formula>
    </cfRule>
    <cfRule type="cellIs" dxfId="55" priority="120" stopIfTrue="1" operator="greaterThan">
      <formula>0</formula>
    </cfRule>
  </conditionalFormatting>
  <conditionalFormatting sqref="M1787:M1788">
    <cfRule type="cellIs" dxfId="54" priority="106" stopIfTrue="1" operator="lessThan">
      <formula>0</formula>
    </cfRule>
    <cfRule type="cellIs" dxfId="53" priority="107" stopIfTrue="1" operator="equal">
      <formula>0</formula>
    </cfRule>
    <cfRule type="cellIs" dxfId="52" priority="108" stopIfTrue="1" operator="greaterThan">
      <formula>0</formula>
    </cfRule>
  </conditionalFormatting>
  <conditionalFormatting sqref="M1790:M1791">
    <cfRule type="cellIs" dxfId="51" priority="115" stopIfTrue="1" operator="lessThan">
      <formula>0</formula>
    </cfRule>
    <cfRule type="cellIs" dxfId="50" priority="116" stopIfTrue="1" operator="equal">
      <formula>0</formula>
    </cfRule>
    <cfRule type="cellIs" dxfId="49" priority="117" stopIfTrue="1" operator="greaterThan">
      <formula>0</formula>
    </cfRule>
  </conditionalFormatting>
  <conditionalFormatting sqref="M1806:M1807">
    <cfRule type="cellIs" dxfId="48" priority="235" stopIfTrue="1" operator="lessThan">
      <formula>0</formula>
    </cfRule>
    <cfRule type="cellIs" dxfId="47" priority="236" stopIfTrue="1" operator="equal">
      <formula>0</formula>
    </cfRule>
    <cfRule type="cellIs" dxfId="46" priority="237" stopIfTrue="1" operator="greaterThan">
      <formula>0</formula>
    </cfRule>
  </conditionalFormatting>
  <conditionalFormatting sqref="M1824:M1825">
    <cfRule type="cellIs" dxfId="45" priority="220" stopIfTrue="1" operator="lessThan">
      <formula>0</formula>
    </cfRule>
    <cfRule type="cellIs" dxfId="44" priority="221" stopIfTrue="1" operator="equal">
      <formula>0</formula>
    </cfRule>
    <cfRule type="cellIs" dxfId="43" priority="222" stopIfTrue="1" operator="greaterThan">
      <formula>0</formula>
    </cfRule>
  </conditionalFormatting>
  <conditionalFormatting sqref="M1841:M1842">
    <cfRule type="cellIs" dxfId="42" priority="205" stopIfTrue="1" operator="lessThan">
      <formula>0</formula>
    </cfRule>
    <cfRule type="cellIs" dxfId="41" priority="206" stopIfTrue="1" operator="equal">
      <formula>0</formula>
    </cfRule>
    <cfRule type="cellIs" dxfId="40" priority="207" stopIfTrue="1" operator="greaterThan">
      <formula>0</formula>
    </cfRule>
  </conditionalFormatting>
  <conditionalFormatting sqref="M1859:M1860">
    <cfRule type="cellIs" dxfId="39" priority="665" stopIfTrue="1" operator="lessThan">
      <formula>0</formula>
    </cfRule>
    <cfRule type="cellIs" dxfId="38" priority="666" stopIfTrue="1" operator="equal">
      <formula>0</formula>
    </cfRule>
    <cfRule type="cellIs" dxfId="37" priority="667" stopIfTrue="1" operator="greaterThan">
      <formula>0</formula>
    </cfRule>
  </conditionalFormatting>
  <conditionalFormatting sqref="M1876:M1877">
    <cfRule type="cellIs" dxfId="36" priority="653" stopIfTrue="1" operator="lessThan">
      <formula>0</formula>
    </cfRule>
    <cfRule type="cellIs" dxfId="35" priority="654" stopIfTrue="1" operator="equal">
      <formula>0</formula>
    </cfRule>
    <cfRule type="cellIs" dxfId="34" priority="655" stopIfTrue="1" operator="greaterThan">
      <formula>0</formula>
    </cfRule>
  </conditionalFormatting>
  <conditionalFormatting sqref="M1896:M1897">
    <cfRule type="cellIs" dxfId="33" priority="638" stopIfTrue="1" operator="lessThan">
      <formula>0</formula>
    </cfRule>
    <cfRule type="cellIs" dxfId="32" priority="639" stopIfTrue="1" operator="equal">
      <formula>0</formula>
    </cfRule>
    <cfRule type="cellIs" dxfId="31" priority="640" stopIfTrue="1" operator="greaterThan">
      <formula>0</formula>
    </cfRule>
  </conditionalFormatting>
  <conditionalFormatting sqref="M1923:M1924">
    <cfRule type="cellIs" dxfId="30" priority="190" stopIfTrue="1" operator="lessThan">
      <formula>0</formula>
    </cfRule>
    <cfRule type="cellIs" dxfId="29" priority="191" stopIfTrue="1" operator="equal">
      <formula>0</formula>
    </cfRule>
    <cfRule type="cellIs" dxfId="28" priority="192" stopIfTrue="1" operator="greaterThan">
      <formula>0</formula>
    </cfRule>
  </conditionalFormatting>
  <conditionalFormatting sqref="M1943:M1944">
    <cfRule type="cellIs" dxfId="27" priority="623" stopIfTrue="1" operator="lessThan">
      <formula>0</formula>
    </cfRule>
    <cfRule type="cellIs" dxfId="26" priority="624" stopIfTrue="1" operator="equal">
      <formula>0</formula>
    </cfRule>
    <cfRule type="cellIs" dxfId="25" priority="625" stopIfTrue="1" operator="greaterThan">
      <formula>0</formula>
    </cfRule>
  </conditionalFormatting>
  <conditionalFormatting sqref="M1961:M1962">
    <cfRule type="cellIs" dxfId="24" priority="608" stopIfTrue="1" operator="lessThan">
      <formula>0</formula>
    </cfRule>
    <cfRule type="cellIs" dxfId="23" priority="609" stopIfTrue="1" operator="equal">
      <formula>0</formula>
    </cfRule>
    <cfRule type="cellIs" dxfId="22" priority="610" stopIfTrue="1" operator="greaterThan">
      <formula>0</formula>
    </cfRule>
  </conditionalFormatting>
  <conditionalFormatting sqref="M1981:M1982">
    <cfRule type="cellIs" dxfId="21" priority="593" stopIfTrue="1" operator="lessThan">
      <formula>0</formula>
    </cfRule>
    <cfRule type="cellIs" dxfId="20" priority="594" stopIfTrue="1" operator="equal">
      <formula>0</formula>
    </cfRule>
    <cfRule type="cellIs" dxfId="19" priority="595" stopIfTrue="1" operator="greaterThan">
      <formula>0</formula>
    </cfRule>
  </conditionalFormatting>
  <conditionalFormatting sqref="M2002:M2003">
    <cfRule type="cellIs" dxfId="18" priority="578" stopIfTrue="1" operator="lessThan">
      <formula>0</formula>
    </cfRule>
    <cfRule type="cellIs" dxfId="17" priority="579" stopIfTrue="1" operator="equal">
      <formula>0</formula>
    </cfRule>
    <cfRule type="cellIs" dxfId="16" priority="580" stopIfTrue="1" operator="greaterThan">
      <formula>0</formula>
    </cfRule>
  </conditionalFormatting>
  <conditionalFormatting sqref="M2175:M2176">
    <cfRule type="cellIs" dxfId="15" priority="91" stopIfTrue="1" operator="lessThan">
      <formula>0</formula>
    </cfRule>
    <cfRule type="cellIs" dxfId="14" priority="92" stopIfTrue="1" operator="equal">
      <formula>0</formula>
    </cfRule>
    <cfRule type="cellIs" dxfId="13" priority="93" stopIfTrue="1" operator="greaterThan">
      <formula>0</formula>
    </cfRule>
  </conditionalFormatting>
  <conditionalFormatting sqref="M2202:M2203">
    <cfRule type="cellIs" dxfId="12" priority="55" stopIfTrue="1" operator="lessThan">
      <formula>0</formula>
    </cfRule>
    <cfRule type="cellIs" dxfId="11" priority="56" stopIfTrue="1" operator="equal">
      <formula>0</formula>
    </cfRule>
    <cfRule type="cellIs" dxfId="10" priority="57" stopIfTrue="1" operator="greaterThan">
      <formula>0</formula>
    </cfRule>
  </conditionalFormatting>
  <conditionalFormatting sqref="M2252:M2253">
    <cfRule type="cellIs" dxfId="9" priority="40" stopIfTrue="1" operator="lessThan">
      <formula>0</formula>
    </cfRule>
    <cfRule type="cellIs" dxfId="8" priority="41" stopIfTrue="1" operator="equal">
      <formula>0</formula>
    </cfRule>
    <cfRule type="cellIs" dxfId="7" priority="42" stopIfTrue="1" operator="greaterThan">
      <formula>0</formula>
    </cfRule>
  </conditionalFormatting>
  <pageMargins left="0.7" right="0.7" top="0.75" bottom="0.75" header="0.3" footer="0.3"/>
  <pageSetup orientation="portrait" r:id="rId1"/>
  <ignoredErrors>
    <ignoredError sqref="G1813 K1813 O1813 G1831 K1831 O1831 G1848 K1848 O1848 O2009 G1680 K1680 O1680 K1949 K1929" evalError="1"/>
    <ignoredError sqref="Q30 Q40 S447 Q1057 Q1086 Q1060 Q1108 Q1111 Q1176:Q1177 Q1179 Q1183 Q1191 Q1195 Q1197 Q1223:Q1224 Q1457:Q1459 Q1462 Q1483 Q1559 Q2143 Q214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9E8E-B722-47CF-8F89-95679AB861C4}">
  <dimension ref="A1:J35"/>
  <sheetViews>
    <sheetView topLeftCell="H1" workbookViewId="0">
      <selection activeCell="R12" sqref="R12"/>
    </sheetView>
  </sheetViews>
  <sheetFormatPr baseColWidth="10" defaultRowHeight="15" x14ac:dyDescent="0.25"/>
  <cols>
    <col min="1" max="1" width="34.28515625" customWidth="1"/>
    <col min="2" max="2" width="14.28515625" customWidth="1"/>
    <col min="3" max="3" width="15.28515625" customWidth="1"/>
    <col min="4" max="4" width="53.28515625" customWidth="1"/>
    <col min="6" max="8" width="18.140625" customWidth="1"/>
    <col min="9" max="9" width="12.42578125" customWidth="1"/>
    <col min="10" max="10" width="49.5703125" customWidth="1"/>
  </cols>
  <sheetData>
    <row r="1" spans="1:10" ht="18.75" x14ac:dyDescent="0.3">
      <c r="A1" s="78" t="s">
        <v>611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x14ac:dyDescent="0.25">
      <c r="A2" s="79" t="s">
        <v>612</v>
      </c>
      <c r="B2" s="79"/>
      <c r="C2" s="79"/>
      <c r="D2" s="79"/>
      <c r="E2" s="79"/>
      <c r="F2" s="79"/>
      <c r="G2" s="79"/>
      <c r="H2" s="79"/>
      <c r="I2" s="79"/>
      <c r="J2" s="79"/>
    </row>
    <row r="4" spans="1:10" x14ac:dyDescent="0.25">
      <c r="A4" s="91" t="s">
        <v>613</v>
      </c>
      <c r="B4" s="91" t="s">
        <v>614</v>
      </c>
      <c r="C4" s="91" t="s">
        <v>615</v>
      </c>
      <c r="D4" s="91" t="s">
        <v>616</v>
      </c>
      <c r="E4" s="91" t="s">
        <v>617</v>
      </c>
      <c r="F4" s="91" t="s">
        <v>618</v>
      </c>
      <c r="G4" s="91" t="s">
        <v>619</v>
      </c>
      <c r="H4" s="91" t="s">
        <v>620</v>
      </c>
      <c r="I4" s="91" t="s">
        <v>621</v>
      </c>
      <c r="J4" s="91" t="s">
        <v>622</v>
      </c>
    </row>
    <row r="5" spans="1:10" x14ac:dyDescent="0.25">
      <c r="A5" s="80" t="s">
        <v>623</v>
      </c>
      <c r="B5" s="80"/>
      <c r="C5" s="80"/>
      <c r="D5" s="80"/>
      <c r="E5" s="80"/>
      <c r="F5" s="81"/>
      <c r="G5" s="81"/>
      <c r="H5" s="81"/>
      <c r="I5" s="80"/>
      <c r="J5" s="80"/>
    </row>
    <row r="6" spans="1:10" x14ac:dyDescent="0.25">
      <c r="A6" s="82" t="s">
        <v>624</v>
      </c>
      <c r="B6" s="82" t="s">
        <v>112</v>
      </c>
      <c r="C6" s="82" t="s">
        <v>625</v>
      </c>
      <c r="D6" s="82" t="s">
        <v>106</v>
      </c>
      <c r="E6" s="82" t="s">
        <v>149</v>
      </c>
      <c r="F6" s="83"/>
      <c r="G6" s="83">
        <v>99.11</v>
      </c>
      <c r="H6" s="83">
        <v>1.2</v>
      </c>
      <c r="I6" s="84">
        <v>81.59</v>
      </c>
      <c r="J6" s="82"/>
    </row>
    <row r="7" spans="1:10" x14ac:dyDescent="0.25">
      <c r="A7" s="82" t="s">
        <v>624</v>
      </c>
      <c r="B7" s="82" t="s">
        <v>458</v>
      </c>
      <c r="C7" s="82" t="s">
        <v>625</v>
      </c>
      <c r="D7" s="82" t="s">
        <v>456</v>
      </c>
      <c r="E7" s="82" t="s">
        <v>144</v>
      </c>
      <c r="F7" s="83">
        <v>46.93</v>
      </c>
      <c r="G7" s="83"/>
      <c r="H7" s="83">
        <v>0.61</v>
      </c>
      <c r="I7" s="84">
        <v>75.930000000000007</v>
      </c>
      <c r="J7" s="82"/>
    </row>
    <row r="8" spans="1:10" x14ac:dyDescent="0.25">
      <c r="A8" s="82" t="s">
        <v>624</v>
      </c>
      <c r="B8" s="82" t="s">
        <v>141</v>
      </c>
      <c r="C8" s="82" t="s">
        <v>625</v>
      </c>
      <c r="D8" s="82" t="s">
        <v>138</v>
      </c>
      <c r="E8" s="82" t="s">
        <v>30</v>
      </c>
      <c r="F8" s="83">
        <v>1.77</v>
      </c>
      <c r="G8" s="83"/>
      <c r="H8" s="83">
        <v>27.18</v>
      </c>
      <c r="I8" s="84">
        <v>14.36</v>
      </c>
      <c r="J8" s="82"/>
    </row>
    <row r="9" spans="1:10" x14ac:dyDescent="0.25">
      <c r="A9" s="82" t="s">
        <v>624</v>
      </c>
      <c r="B9" s="82" t="s">
        <v>341</v>
      </c>
      <c r="C9" s="82" t="s">
        <v>625</v>
      </c>
      <c r="D9" s="82" t="s">
        <v>229</v>
      </c>
      <c r="E9" s="82" t="s">
        <v>15</v>
      </c>
      <c r="F9" s="83">
        <v>5.59</v>
      </c>
      <c r="G9" s="83"/>
      <c r="H9" s="83">
        <v>71</v>
      </c>
      <c r="I9" s="84">
        <v>11.7</v>
      </c>
      <c r="J9" s="82"/>
    </row>
    <row r="10" spans="1:10" x14ac:dyDescent="0.25">
      <c r="A10" s="82" t="s">
        <v>624</v>
      </c>
      <c r="B10" s="82" t="s">
        <v>444</v>
      </c>
      <c r="C10" s="82" t="s">
        <v>626</v>
      </c>
      <c r="D10" s="82" t="s">
        <v>442</v>
      </c>
      <c r="E10" s="82" t="s">
        <v>6</v>
      </c>
      <c r="F10" s="83"/>
      <c r="G10" s="83">
        <v>36.78</v>
      </c>
      <c r="H10" s="83">
        <v>3.79</v>
      </c>
      <c r="I10" s="84">
        <v>8.6999999999999993</v>
      </c>
      <c r="J10" s="82"/>
    </row>
    <row r="11" spans="1:10" x14ac:dyDescent="0.25">
      <c r="A11" s="80" t="s">
        <v>627</v>
      </c>
      <c r="B11" s="80"/>
      <c r="C11" s="80"/>
      <c r="D11" s="80"/>
      <c r="E11" s="80"/>
      <c r="F11" s="81"/>
      <c r="G11" s="81"/>
      <c r="H11" s="81"/>
      <c r="I11" s="80"/>
      <c r="J11" s="80"/>
    </row>
    <row r="12" spans="1:10" x14ac:dyDescent="0.25">
      <c r="A12" s="85" t="s">
        <v>628</v>
      </c>
      <c r="B12" s="85" t="s">
        <v>341</v>
      </c>
      <c r="C12" s="85" t="s">
        <v>625</v>
      </c>
      <c r="D12" s="85" t="s">
        <v>47</v>
      </c>
      <c r="E12" s="85" t="s">
        <v>6</v>
      </c>
      <c r="F12" s="86">
        <v>71</v>
      </c>
      <c r="G12" s="86"/>
      <c r="H12" s="86">
        <v>12.5</v>
      </c>
      <c r="I12" s="87">
        <v>4.68</v>
      </c>
      <c r="J12" s="85"/>
    </row>
    <row r="13" spans="1:10" x14ac:dyDescent="0.25">
      <c r="A13" s="85" t="s">
        <v>628</v>
      </c>
      <c r="B13" s="85" t="s">
        <v>141</v>
      </c>
      <c r="C13" s="85" t="s">
        <v>629</v>
      </c>
      <c r="D13" s="85" t="s">
        <v>125</v>
      </c>
      <c r="E13" s="85" t="s">
        <v>88</v>
      </c>
      <c r="F13" s="86">
        <v>202.61</v>
      </c>
      <c r="G13" s="86">
        <v>1026.32</v>
      </c>
      <c r="H13" s="86">
        <v>880</v>
      </c>
      <c r="I13" s="87">
        <v>4.07</v>
      </c>
      <c r="J13" s="85"/>
    </row>
    <row r="14" spans="1:10" x14ac:dyDescent="0.25">
      <c r="A14" s="85" t="s">
        <v>628</v>
      </c>
      <c r="B14" s="85" t="s">
        <v>121</v>
      </c>
      <c r="C14" s="85" t="s">
        <v>626</v>
      </c>
      <c r="D14" s="85" t="s">
        <v>116</v>
      </c>
      <c r="E14" s="85" t="s">
        <v>15</v>
      </c>
      <c r="F14" s="86"/>
      <c r="G14" s="86">
        <v>1.82</v>
      </c>
      <c r="H14" s="86">
        <v>0.48</v>
      </c>
      <c r="I14" s="87">
        <v>2.79</v>
      </c>
      <c r="J14" s="85"/>
    </row>
    <row r="15" spans="1:10" x14ac:dyDescent="0.25">
      <c r="A15" s="85" t="s">
        <v>628</v>
      </c>
      <c r="B15" s="85" t="s">
        <v>112</v>
      </c>
      <c r="C15" s="85" t="s">
        <v>625</v>
      </c>
      <c r="D15" s="85" t="s">
        <v>98</v>
      </c>
      <c r="E15" s="85" t="s">
        <v>3</v>
      </c>
      <c r="F15" s="86"/>
      <c r="G15" s="86">
        <v>0.31</v>
      </c>
      <c r="H15" s="86">
        <v>1.1399999999999999</v>
      </c>
      <c r="I15" s="87">
        <v>2.68</v>
      </c>
      <c r="J15" s="85"/>
    </row>
    <row r="16" spans="1:10" x14ac:dyDescent="0.25">
      <c r="A16" s="85" t="s">
        <v>628</v>
      </c>
      <c r="B16" s="85" t="s">
        <v>368</v>
      </c>
      <c r="C16" s="85" t="s">
        <v>625</v>
      </c>
      <c r="D16" s="85" t="s">
        <v>307</v>
      </c>
      <c r="E16" s="85" t="s">
        <v>8</v>
      </c>
      <c r="F16" s="86">
        <v>6.64</v>
      </c>
      <c r="G16" s="86">
        <v>1.9366666666666701</v>
      </c>
      <c r="H16" s="86">
        <v>6.71</v>
      </c>
      <c r="I16" s="87">
        <v>2.46</v>
      </c>
      <c r="J16" s="85"/>
    </row>
    <row r="17" spans="1:10" x14ac:dyDescent="0.25">
      <c r="A17" s="85" t="s">
        <v>628</v>
      </c>
      <c r="B17" s="85" t="s">
        <v>480</v>
      </c>
      <c r="C17" s="85" t="s">
        <v>625</v>
      </c>
      <c r="D17" s="85" t="s">
        <v>478</v>
      </c>
      <c r="E17" s="85" t="s">
        <v>15</v>
      </c>
      <c r="F17" s="86">
        <v>0.32</v>
      </c>
      <c r="G17" s="86">
        <v>1.03</v>
      </c>
      <c r="H17" s="86"/>
      <c r="I17" s="87">
        <v>2.2200000000000002</v>
      </c>
      <c r="J17" s="85"/>
    </row>
    <row r="18" spans="1:10" x14ac:dyDescent="0.25">
      <c r="A18" s="85" t="s">
        <v>628</v>
      </c>
      <c r="B18" s="85" t="s">
        <v>257</v>
      </c>
      <c r="C18" s="85" t="s">
        <v>625</v>
      </c>
      <c r="D18" s="85" t="s">
        <v>251</v>
      </c>
      <c r="E18" s="85" t="s">
        <v>15</v>
      </c>
      <c r="F18" s="86">
        <v>5.0999999999999996</v>
      </c>
      <c r="G18" s="86"/>
      <c r="H18" s="86">
        <v>1.89</v>
      </c>
      <c r="I18" s="87">
        <v>1.7</v>
      </c>
      <c r="J18" s="85"/>
    </row>
    <row r="19" spans="1:10" x14ac:dyDescent="0.25">
      <c r="A19" s="85" t="s">
        <v>628</v>
      </c>
      <c r="B19" s="85" t="s">
        <v>276</v>
      </c>
      <c r="C19" s="85" t="s">
        <v>625</v>
      </c>
      <c r="D19" s="85" t="s">
        <v>250</v>
      </c>
      <c r="E19" s="85" t="s">
        <v>30</v>
      </c>
      <c r="F19" s="86">
        <v>3.02</v>
      </c>
      <c r="G19" s="86">
        <v>7.2</v>
      </c>
      <c r="H19" s="86"/>
      <c r="I19" s="87">
        <v>1.38</v>
      </c>
      <c r="J19" s="85"/>
    </row>
    <row r="20" spans="1:10" x14ac:dyDescent="0.25">
      <c r="A20" s="85" t="s">
        <v>628</v>
      </c>
      <c r="B20" s="85" t="s">
        <v>289</v>
      </c>
      <c r="C20" s="85" t="s">
        <v>629</v>
      </c>
      <c r="D20" s="85" t="s">
        <v>287</v>
      </c>
      <c r="E20" s="85" t="s">
        <v>130</v>
      </c>
      <c r="F20" s="86">
        <v>25.87</v>
      </c>
      <c r="G20" s="86">
        <v>11</v>
      </c>
      <c r="H20" s="86">
        <v>11.5</v>
      </c>
      <c r="I20" s="87">
        <v>1.35</v>
      </c>
      <c r="J20" s="85"/>
    </row>
    <row r="21" spans="1:10" x14ac:dyDescent="0.25">
      <c r="A21" s="85" t="s">
        <v>628</v>
      </c>
      <c r="B21" s="85" t="s">
        <v>254</v>
      </c>
      <c r="C21" s="85" t="s">
        <v>625</v>
      </c>
      <c r="D21" s="85" t="s">
        <v>250</v>
      </c>
      <c r="E21" s="85" t="s">
        <v>30</v>
      </c>
      <c r="F21" s="86">
        <v>3.06</v>
      </c>
      <c r="G21" s="86">
        <v>7.2</v>
      </c>
      <c r="H21" s="86"/>
      <c r="I21" s="87">
        <v>1.35</v>
      </c>
      <c r="J21" s="85"/>
    </row>
    <row r="22" spans="1:10" x14ac:dyDescent="0.25">
      <c r="A22" s="85" t="s">
        <v>628</v>
      </c>
      <c r="B22" s="85" t="s">
        <v>112</v>
      </c>
      <c r="C22" s="85" t="s">
        <v>625</v>
      </c>
      <c r="D22" s="85" t="s">
        <v>93</v>
      </c>
      <c r="E22" s="85" t="s">
        <v>15</v>
      </c>
      <c r="F22" s="86"/>
      <c r="G22" s="86">
        <v>278.69</v>
      </c>
      <c r="H22" s="86">
        <v>118.54</v>
      </c>
      <c r="I22" s="87">
        <v>1.35</v>
      </c>
      <c r="J22" s="85"/>
    </row>
    <row r="23" spans="1:10" x14ac:dyDescent="0.25">
      <c r="A23" s="85" t="s">
        <v>628</v>
      </c>
      <c r="B23" s="85" t="s">
        <v>112</v>
      </c>
      <c r="C23" s="85" t="s">
        <v>625</v>
      </c>
      <c r="D23" s="85" t="s">
        <v>92</v>
      </c>
      <c r="E23" s="85" t="s">
        <v>15</v>
      </c>
      <c r="F23" s="86"/>
      <c r="G23" s="86">
        <v>17.48</v>
      </c>
      <c r="H23" s="86">
        <v>7.51</v>
      </c>
      <c r="I23" s="87">
        <v>1.33</v>
      </c>
      <c r="J23" s="85"/>
    </row>
    <row r="24" spans="1:10" x14ac:dyDescent="0.25">
      <c r="A24" s="85" t="s">
        <v>628</v>
      </c>
      <c r="B24" s="85" t="s">
        <v>121</v>
      </c>
      <c r="C24" s="85" t="s">
        <v>626</v>
      </c>
      <c r="D24" s="85" t="s">
        <v>119</v>
      </c>
      <c r="E24" s="85" t="s">
        <v>15</v>
      </c>
      <c r="F24" s="86">
        <v>9.52</v>
      </c>
      <c r="G24" s="86">
        <v>4.13</v>
      </c>
      <c r="H24" s="86">
        <v>4.12</v>
      </c>
      <c r="I24" s="87">
        <v>1.31</v>
      </c>
      <c r="J24" s="85"/>
    </row>
    <row r="25" spans="1:10" x14ac:dyDescent="0.25">
      <c r="A25" s="85" t="s">
        <v>628</v>
      </c>
      <c r="B25" s="85" t="s">
        <v>257</v>
      </c>
      <c r="C25" s="85" t="s">
        <v>625</v>
      </c>
      <c r="D25" s="85" t="s">
        <v>229</v>
      </c>
      <c r="E25" s="85" t="s">
        <v>15</v>
      </c>
      <c r="F25" s="86">
        <v>5.31</v>
      </c>
      <c r="G25" s="86"/>
      <c r="H25" s="86">
        <v>2.46</v>
      </c>
      <c r="I25" s="87">
        <v>1.1599999999999999</v>
      </c>
      <c r="J25" s="85"/>
    </row>
    <row r="26" spans="1:10" x14ac:dyDescent="0.25">
      <c r="A26" s="85" t="s">
        <v>628</v>
      </c>
      <c r="B26" s="85" t="s">
        <v>112</v>
      </c>
      <c r="C26" s="85" t="s">
        <v>625</v>
      </c>
      <c r="D26" s="85" t="s">
        <v>473</v>
      </c>
      <c r="E26" s="85" t="s">
        <v>15</v>
      </c>
      <c r="F26" s="86">
        <v>0.90600000000000003</v>
      </c>
      <c r="G26" s="86">
        <v>0.44</v>
      </c>
      <c r="H26" s="86">
        <v>0.85</v>
      </c>
      <c r="I26" s="87">
        <v>1.06</v>
      </c>
      <c r="J26" s="85"/>
    </row>
    <row r="27" spans="1:10" x14ac:dyDescent="0.25">
      <c r="A27" s="85" t="s">
        <v>628</v>
      </c>
      <c r="B27" s="85" t="s">
        <v>494</v>
      </c>
      <c r="C27" s="85" t="s">
        <v>629</v>
      </c>
      <c r="D27" s="85" t="s">
        <v>492</v>
      </c>
      <c r="E27" s="85" t="s">
        <v>88</v>
      </c>
      <c r="F27" s="86">
        <v>240</v>
      </c>
      <c r="G27" s="86">
        <v>120</v>
      </c>
      <c r="H27" s="86">
        <v>120</v>
      </c>
      <c r="I27" s="87">
        <v>1</v>
      </c>
      <c r="J27" s="85"/>
    </row>
    <row r="28" spans="1:10" x14ac:dyDescent="0.25">
      <c r="A28" s="85" t="s">
        <v>628</v>
      </c>
      <c r="B28" s="85" t="s">
        <v>305</v>
      </c>
      <c r="C28" s="85" t="s">
        <v>626</v>
      </c>
      <c r="D28" s="85" t="s">
        <v>329</v>
      </c>
      <c r="E28" s="85" t="s">
        <v>88</v>
      </c>
      <c r="F28" s="86">
        <v>60</v>
      </c>
      <c r="G28" s="86">
        <v>40</v>
      </c>
      <c r="H28" s="86">
        <v>80</v>
      </c>
      <c r="I28" s="87">
        <v>1</v>
      </c>
      <c r="J28" s="85"/>
    </row>
    <row r="29" spans="1:10" x14ac:dyDescent="0.25">
      <c r="A29" s="80" t="s">
        <v>630</v>
      </c>
      <c r="B29" s="80"/>
      <c r="C29" s="80"/>
      <c r="D29" s="80"/>
      <c r="E29" s="80"/>
      <c r="F29" s="81"/>
      <c r="G29" s="81"/>
      <c r="H29" s="81"/>
      <c r="I29" s="80"/>
      <c r="J29" s="80"/>
    </row>
    <row r="30" spans="1:10" x14ac:dyDescent="0.25">
      <c r="A30" s="88" t="s">
        <v>631</v>
      </c>
      <c r="B30" s="88" t="s">
        <v>141</v>
      </c>
      <c r="C30" s="88" t="s">
        <v>625</v>
      </c>
      <c r="D30" s="88" t="s">
        <v>137</v>
      </c>
      <c r="E30" s="88" t="s">
        <v>15</v>
      </c>
      <c r="F30" s="89">
        <v>1.5249999999999999</v>
      </c>
      <c r="G30" s="89">
        <v>2.89</v>
      </c>
      <c r="H30" s="89">
        <v>2.95</v>
      </c>
      <c r="I30" s="90">
        <v>0.93</v>
      </c>
      <c r="J30" s="88"/>
    </row>
    <row r="31" spans="1:10" x14ac:dyDescent="0.25">
      <c r="A31" s="88" t="s">
        <v>631</v>
      </c>
      <c r="B31" s="88" t="s">
        <v>214</v>
      </c>
      <c r="C31" s="88" t="s">
        <v>625</v>
      </c>
      <c r="D31" s="88" t="s">
        <v>261</v>
      </c>
      <c r="E31" s="88"/>
      <c r="F31" s="89">
        <v>6.59</v>
      </c>
      <c r="G31" s="89"/>
      <c r="H31" s="89">
        <v>12.27</v>
      </c>
      <c r="I31" s="90">
        <v>0.86</v>
      </c>
      <c r="J31" s="88"/>
    </row>
    <row r="32" spans="1:10" x14ac:dyDescent="0.25">
      <c r="A32" s="88" t="s">
        <v>631</v>
      </c>
      <c r="B32" s="88" t="s">
        <v>327</v>
      </c>
      <c r="C32" s="88" t="s">
        <v>625</v>
      </c>
      <c r="D32" s="88" t="s">
        <v>212</v>
      </c>
      <c r="E32" s="88" t="s">
        <v>6</v>
      </c>
      <c r="F32" s="89">
        <v>21.7</v>
      </c>
      <c r="G32" s="89">
        <v>11.83</v>
      </c>
      <c r="H32" s="89"/>
      <c r="I32" s="90">
        <v>0.83</v>
      </c>
      <c r="J32" s="88"/>
    </row>
    <row r="33" spans="1:10" x14ac:dyDescent="0.25">
      <c r="A33" s="88" t="s">
        <v>631</v>
      </c>
      <c r="B33" s="88" t="s">
        <v>257</v>
      </c>
      <c r="C33" s="88" t="s">
        <v>625</v>
      </c>
      <c r="D33" s="88" t="s">
        <v>597</v>
      </c>
      <c r="E33" s="88" t="s">
        <v>15</v>
      </c>
      <c r="F33" s="89">
        <v>52.87</v>
      </c>
      <c r="G33" s="89"/>
      <c r="H33" s="89">
        <v>87.71</v>
      </c>
      <c r="I33" s="90">
        <v>0.66</v>
      </c>
      <c r="J33" s="88"/>
    </row>
    <row r="34" spans="1:10" x14ac:dyDescent="0.25">
      <c r="A34" s="88" t="s">
        <v>631</v>
      </c>
      <c r="B34" s="88" t="s">
        <v>368</v>
      </c>
      <c r="C34" s="88" t="s">
        <v>625</v>
      </c>
      <c r="D34" s="88" t="s">
        <v>54</v>
      </c>
      <c r="E34" s="88" t="s">
        <v>15</v>
      </c>
      <c r="F34" s="89">
        <v>12.13</v>
      </c>
      <c r="G34" s="89"/>
      <c r="H34" s="89">
        <v>7.4</v>
      </c>
      <c r="I34" s="90">
        <v>0.64</v>
      </c>
      <c r="J34" s="88"/>
    </row>
    <row r="35" spans="1:10" x14ac:dyDescent="0.25">
      <c r="A35" s="88" t="s">
        <v>631</v>
      </c>
      <c r="B35" s="88" t="s">
        <v>121</v>
      </c>
      <c r="C35" s="88" t="s">
        <v>626</v>
      </c>
      <c r="D35" s="88" t="s">
        <v>118</v>
      </c>
      <c r="E35" s="88" t="s">
        <v>102</v>
      </c>
      <c r="F35" s="89">
        <v>1.6400000000000001E-2</v>
      </c>
      <c r="G35" s="89">
        <v>2.2200000000000001E-2</v>
      </c>
      <c r="H35" s="89">
        <v>2.6499999999999999E-2</v>
      </c>
      <c r="I35" s="90">
        <v>0.62</v>
      </c>
      <c r="J35" s="88"/>
    </row>
  </sheetData>
  <mergeCells count="5">
    <mergeCell ref="A1:J1"/>
    <mergeCell ref="A2:J2"/>
    <mergeCell ref="A5:J5"/>
    <mergeCell ref="A11:J11"/>
    <mergeCell ref="A29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FB73-A9DA-42B8-9D7F-2EFEB720FD6F}">
  <dimension ref="A1:M1262"/>
  <sheetViews>
    <sheetView workbookViewId="0">
      <pane ySplit="4" topLeftCell="A5" activePane="bottomLeft" state="frozen"/>
      <selection pane="bottomLeft" activeCell="R12" sqref="R12"/>
    </sheetView>
  </sheetViews>
  <sheetFormatPr baseColWidth="10" defaultRowHeight="15" x14ac:dyDescent="0.25"/>
  <cols>
    <col min="1" max="1" width="16.140625" customWidth="1"/>
    <col min="2" max="2" width="61" customWidth="1"/>
    <col min="3" max="3" width="10.42578125" customWidth="1"/>
    <col min="4" max="4" width="16.140625" customWidth="1"/>
    <col min="5" max="5" width="18.140625" customWidth="1"/>
    <col min="6" max="6" width="19" customWidth="1"/>
    <col min="7" max="12" width="14.28515625" customWidth="1"/>
    <col min="13" max="13" width="41.85546875" customWidth="1"/>
  </cols>
  <sheetData>
    <row r="1" spans="1:13" ht="21" x14ac:dyDescent="0.35">
      <c r="A1" s="92" t="s">
        <v>632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x14ac:dyDescent="0.25">
      <c r="A2" s="93" t="s">
        <v>633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94" t="s">
        <v>634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5" spans="1:13" ht="18" thickBot="1" x14ac:dyDescent="0.35">
      <c r="A5" s="95" t="s">
        <v>495</v>
      </c>
      <c r="B5" s="95"/>
      <c r="C5" s="95"/>
      <c r="D5" s="147"/>
      <c r="E5" s="156"/>
      <c r="F5" s="165"/>
      <c r="G5" s="115"/>
      <c r="H5" s="103"/>
      <c r="I5" s="115"/>
      <c r="J5" s="103"/>
      <c r="K5" s="115"/>
      <c r="L5" s="103"/>
      <c r="M5" s="95"/>
    </row>
    <row r="6" spans="1:13" ht="15.75" thickTop="1" x14ac:dyDescent="0.25">
      <c r="A6" s="97" t="s">
        <v>494</v>
      </c>
      <c r="B6" s="97" t="s">
        <v>493</v>
      </c>
      <c r="C6" s="97" t="s">
        <v>88</v>
      </c>
      <c r="D6" s="148" t="s">
        <v>635</v>
      </c>
      <c r="E6" s="157" t="s">
        <v>636</v>
      </c>
      <c r="F6" s="166" t="s">
        <v>637</v>
      </c>
      <c r="G6" s="116" t="s">
        <v>638</v>
      </c>
      <c r="H6" s="104" t="s">
        <v>639</v>
      </c>
      <c r="I6" s="116" t="s">
        <v>640</v>
      </c>
      <c r="J6" s="104" t="s">
        <v>641</v>
      </c>
      <c r="K6" s="116" t="s">
        <v>642</v>
      </c>
      <c r="L6" s="104" t="s">
        <v>643</v>
      </c>
      <c r="M6" s="97" t="s">
        <v>644</v>
      </c>
    </row>
    <row r="7" spans="1:13" x14ac:dyDescent="0.25">
      <c r="A7" s="99" t="s">
        <v>5</v>
      </c>
      <c r="B7" s="99"/>
      <c r="C7" s="99"/>
      <c r="D7" s="149"/>
      <c r="E7" s="158"/>
      <c r="F7" s="167"/>
      <c r="G7" s="117"/>
      <c r="H7" s="105"/>
      <c r="I7" s="117"/>
      <c r="J7" s="105"/>
      <c r="K7" s="117"/>
      <c r="L7" s="105"/>
      <c r="M7" s="99"/>
    </row>
    <row r="8" spans="1:13" x14ac:dyDescent="0.25">
      <c r="B8" t="s">
        <v>492</v>
      </c>
      <c r="C8" t="s">
        <v>88</v>
      </c>
      <c r="D8" s="150">
        <f>IFERROR(INDEX('BD Rendimientos'!G:G,MATCH("01.01.01|M. Replanteo Topográfico Ejes Estructurales y movimiento tierras|Glb|mano_obra",'BD Rendimientos'!L:L,0)),"")</f>
        <v>1</v>
      </c>
      <c r="E8" s="159">
        <f>IFERROR(INDEX('BD Mano de Obra'!D:D,MATCH("M. Replanteo Topográfico Ejes Estructurales y movimiento tierras",'BD Mano de Obra'!B:B,0)),"")</f>
        <v>160</v>
      </c>
      <c r="F8" s="168">
        <f>IFERROR(D8*E8,"")</f>
        <v>160</v>
      </c>
      <c r="G8" s="118">
        <v>1</v>
      </c>
      <c r="H8" s="106">
        <v>240</v>
      </c>
      <c r="I8" s="118">
        <v>1</v>
      </c>
      <c r="J8" s="106">
        <v>120</v>
      </c>
      <c r="K8" s="118">
        <v>1</v>
      </c>
      <c r="L8" s="106">
        <v>120</v>
      </c>
    </row>
    <row r="9" spans="1:13" x14ac:dyDescent="0.25">
      <c r="A9" s="99" t="s">
        <v>2</v>
      </c>
      <c r="B9" s="99"/>
      <c r="C9" s="99"/>
      <c r="D9" s="149"/>
      <c r="E9" s="158"/>
      <c r="F9" s="167"/>
      <c r="G9" s="117"/>
      <c r="H9" s="105"/>
      <c r="I9" s="117"/>
      <c r="J9" s="105"/>
      <c r="K9" s="117"/>
      <c r="L9" s="105"/>
      <c r="M9" s="99"/>
    </row>
    <row r="10" spans="1:13" ht="16.5" thickBot="1" x14ac:dyDescent="0.3">
      <c r="A10" s="100"/>
      <c r="B10" s="100" t="s">
        <v>645</v>
      </c>
      <c r="C10" s="100" t="s">
        <v>88</v>
      </c>
      <c r="D10" s="151"/>
      <c r="E10" s="160"/>
      <c r="F10" s="169">
        <f>SUM(F8)</f>
        <v>160</v>
      </c>
      <c r="G10" s="119"/>
      <c r="H10" s="107">
        <v>0.73757644672546796</v>
      </c>
      <c r="I10" s="119"/>
      <c r="J10" s="107">
        <v>0.48171490506202103</v>
      </c>
      <c r="K10" s="119"/>
      <c r="L10" s="107">
        <v>0.12609280430396799</v>
      </c>
      <c r="M10" s="100" t="s">
        <v>646</v>
      </c>
    </row>
    <row r="11" spans="1:13" ht="16.5" thickTop="1" thickBot="1" x14ac:dyDescent="0.3">
      <c r="D11" s="150"/>
      <c r="E11" s="159"/>
      <c r="F11" s="168"/>
      <c r="G11" s="118"/>
      <c r="H11" s="106"/>
      <c r="I11" s="118"/>
      <c r="J11" s="106"/>
      <c r="K11" s="118"/>
      <c r="L11" s="106"/>
    </row>
    <row r="12" spans="1:13" ht="15.75" thickTop="1" x14ac:dyDescent="0.25">
      <c r="A12" s="97" t="s">
        <v>491</v>
      </c>
      <c r="B12" s="97" t="s">
        <v>490</v>
      </c>
      <c r="C12" s="97" t="s">
        <v>130</v>
      </c>
      <c r="D12" s="148" t="s">
        <v>635</v>
      </c>
      <c r="E12" s="157" t="s">
        <v>636</v>
      </c>
      <c r="F12" s="166" t="s">
        <v>637</v>
      </c>
      <c r="G12" s="116" t="s">
        <v>638</v>
      </c>
      <c r="H12" s="104" t="s">
        <v>639</v>
      </c>
      <c r="I12" s="116" t="s">
        <v>640</v>
      </c>
      <c r="J12" s="104" t="s">
        <v>641</v>
      </c>
      <c r="K12" s="116" t="s">
        <v>642</v>
      </c>
      <c r="L12" s="104" t="s">
        <v>643</v>
      </c>
      <c r="M12" s="97" t="s">
        <v>644</v>
      </c>
    </row>
    <row r="13" spans="1:13" x14ac:dyDescent="0.25">
      <c r="A13" s="99" t="s">
        <v>11</v>
      </c>
      <c r="B13" s="99"/>
      <c r="C13" s="99"/>
      <c r="D13" s="149"/>
      <c r="E13" s="158"/>
      <c r="F13" s="167"/>
      <c r="G13" s="117"/>
      <c r="H13" s="105"/>
      <c r="I13" s="117"/>
      <c r="J13" s="105"/>
      <c r="K13" s="117"/>
      <c r="L13" s="105"/>
      <c r="M13" s="99"/>
    </row>
    <row r="14" spans="1:13" x14ac:dyDescent="0.25">
      <c r="A14" s="101"/>
      <c r="B14" s="101" t="s">
        <v>701</v>
      </c>
      <c r="C14" s="101" t="s">
        <v>144</v>
      </c>
      <c r="D14" s="152">
        <f>IFERROR(INDEX('BD Rendimientos'!G:G,MATCH("01.01.02|Alambre galvanizado N 14|rollo|materiales",'BD Rendimientos'!L:L,0)),"")</f>
        <v>3.0732351946894496E-3</v>
      </c>
      <c r="E14" s="161">
        <f>IFERROR(INDEX('BD Materiales'!D:D,MATCH("Alambre galvanizado N 14",'BD Materiales'!B:B,0)),"")</f>
        <v>82.972500000000011</v>
      </c>
      <c r="F14" s="170">
        <f>IFERROR(D14*E14,"")</f>
        <v>0.25499400719137039</v>
      </c>
      <c r="G14" s="120">
        <v>1</v>
      </c>
      <c r="H14" s="108">
        <v>83.81</v>
      </c>
      <c r="I14" s="120"/>
      <c r="J14" s="108"/>
      <c r="K14" s="120"/>
      <c r="L14" s="108"/>
      <c r="M14" s="101" t="s">
        <v>647</v>
      </c>
    </row>
    <row r="15" spans="1:13" x14ac:dyDescent="0.25">
      <c r="A15" s="101"/>
      <c r="B15" s="101" t="s">
        <v>754</v>
      </c>
      <c r="C15" s="101" t="s">
        <v>15</v>
      </c>
      <c r="D15" s="152">
        <f>IFERROR(INDEX('BD Rendimientos'!G:G,MATCH("01.01.02|Broca Madera Titanio3/8""|Uni.|materiales",'BD Rendimientos'!L:L,0)),"")</f>
        <v>1.050773369199731E-3</v>
      </c>
      <c r="E15" s="161">
        <f>IFERROR(INDEX('BD Materiales'!D:D,MATCH("Broca Madera Titanio3/8""",'BD Materiales'!B:B,0)),"")</f>
        <v>1.02</v>
      </c>
      <c r="F15" s="170">
        <f>IFERROR(D15*E15,"")</f>
        <v>1.0717888365837256E-3</v>
      </c>
      <c r="G15" s="120"/>
      <c r="H15" s="108"/>
      <c r="I15" s="120"/>
      <c r="J15" s="108"/>
      <c r="K15" s="120">
        <v>1</v>
      </c>
      <c r="L15" s="108">
        <v>1.03</v>
      </c>
      <c r="M15" s="101" t="s">
        <v>647</v>
      </c>
    </row>
    <row r="16" spans="1:13" x14ac:dyDescent="0.25">
      <c r="B16" t="s">
        <v>775</v>
      </c>
      <c r="C16" t="s">
        <v>222</v>
      </c>
      <c r="D16" s="150">
        <f>IFERROR(INDEX('BD Rendimientos'!G:G,MATCH("01.01.02|Caoba Roja|lb|materiales",'BD Rendimientos'!L:L,0)),"")</f>
        <v>1.7743165669784431E-2</v>
      </c>
      <c r="E16" s="159">
        <f>IFERROR(INDEX('BD Materiales'!D:D,MATCH("Caoba Roja",'BD Materiales'!B:B,0)),"")</f>
        <v>0.51700000000000002</v>
      </c>
      <c r="F16" s="168">
        <f>IFERROR(D16*E16,"")</f>
        <v>9.1732166512785516E-3</v>
      </c>
      <c r="G16" s="118">
        <v>19.5</v>
      </c>
      <c r="H16" s="106">
        <v>0.53200000000000003</v>
      </c>
      <c r="I16" s="118">
        <v>4.42</v>
      </c>
      <c r="J16" s="106">
        <v>0.5</v>
      </c>
      <c r="K16" s="118">
        <v>8.11</v>
      </c>
      <c r="L16" s="106">
        <v>0.54</v>
      </c>
      <c r="M16" t="s">
        <v>1920</v>
      </c>
    </row>
    <row r="17" spans="1:13" x14ac:dyDescent="0.25">
      <c r="B17" t="s">
        <v>783</v>
      </c>
      <c r="C17" t="s">
        <v>174</v>
      </c>
      <c r="D17" s="150">
        <f>IFERROR(INDEX('BD Rendimientos'!G:G,MATCH("01.01.02|Cementina|saco|materiales",'BD Rendimientos'!L:L,0)),"")</f>
        <v>2.4467621593491223E-2</v>
      </c>
      <c r="E17" s="159">
        <f>IFERROR(INDEX('BD Materiales'!D:D,MATCH("Cementina",'BD Materiales'!B:B,0)),"")</f>
        <v>1.6360000000000001</v>
      </c>
      <c r="F17" s="168">
        <f>IFERROR(D17*E17,"")</f>
        <v>4.0029028926951642E-2</v>
      </c>
      <c r="G17" s="118">
        <v>7</v>
      </c>
      <c r="H17" s="106">
        <v>1.488</v>
      </c>
      <c r="I17" s="118">
        <v>9</v>
      </c>
      <c r="J17" s="106">
        <v>1.47</v>
      </c>
      <c r="K17" s="118">
        <v>15</v>
      </c>
      <c r="L17" s="106">
        <v>1.95</v>
      </c>
    </row>
    <row r="18" spans="1:13" x14ac:dyDescent="0.25">
      <c r="A18" s="101"/>
      <c r="B18" s="101" t="s">
        <v>810</v>
      </c>
      <c r="C18" s="101" t="s">
        <v>30</v>
      </c>
      <c r="D18" s="152">
        <f>IFERROR(INDEX('BD Rendimientos'!G:G,MATCH("01.01.02|Clavos de acero 2''|Kg.|materiales",'BD Rendimientos'!L:L,0)),"")</f>
        <v>4.6098527920341746E-3</v>
      </c>
      <c r="E18" s="161">
        <f>IFERROR(INDEX('BD Materiales'!D:D,MATCH("Clavos de acero 2''",'BD Materiales'!B:B,0)),"")</f>
        <v>3.2450000000000001</v>
      </c>
      <c r="F18" s="170">
        <f>IFERROR(D18*E18,"")</f>
        <v>1.4958972310150897E-2</v>
      </c>
      <c r="G18" s="120">
        <v>1.5</v>
      </c>
      <c r="H18" s="108">
        <v>3.41</v>
      </c>
      <c r="I18" s="120"/>
      <c r="J18" s="108"/>
      <c r="K18" s="120"/>
      <c r="L18" s="108"/>
      <c r="M18" s="101" t="s">
        <v>647</v>
      </c>
    </row>
    <row r="19" spans="1:13" x14ac:dyDescent="0.25">
      <c r="B19" t="s">
        <v>816</v>
      </c>
      <c r="C19" t="s">
        <v>30</v>
      </c>
      <c r="D19" s="150">
        <f>IFERROR(INDEX('BD Rendimientos'!G:G,MATCH("01.01.02|Clavos de acero 21/2''|Kg.|materiales",'BD Rendimientos'!L:L,0)),"")</f>
        <v>4.0142908755168398E-3</v>
      </c>
      <c r="E19" s="159">
        <f>IFERROR(INDEX('BD Materiales'!D:D,MATCH("Clavos de acero 21/2''",'BD Materiales'!B:B,0)),"")</f>
        <v>3.5214999999999996</v>
      </c>
      <c r="F19" s="168">
        <f>IFERROR(D19*E19,"")</f>
        <v>1.413632531813255E-2</v>
      </c>
      <c r="G19" s="118">
        <v>2</v>
      </c>
      <c r="H19" s="106">
        <v>3.4169999999999998</v>
      </c>
      <c r="I19" s="118">
        <v>1</v>
      </c>
      <c r="J19" s="106">
        <v>3.94</v>
      </c>
      <c r="K19" s="118">
        <v>0.5</v>
      </c>
      <c r="L19" s="106">
        <v>3.94</v>
      </c>
      <c r="M19" t="s">
        <v>1920</v>
      </c>
    </row>
    <row r="20" spans="1:13" x14ac:dyDescent="0.25">
      <c r="B20" t="s">
        <v>824</v>
      </c>
      <c r="C20" t="s">
        <v>30</v>
      </c>
      <c r="D20" s="150">
        <f>IFERROR(INDEX('BD Rendimientos'!G:G,MATCH("01.01.02|Clavos galvanizados 2''|Kg.|materiales",'BD Rendimientos'!L:L,0)),"")</f>
        <v>9.3924524662233767E-3</v>
      </c>
      <c r="E20" s="159">
        <f>IFERROR(INDEX('BD Materiales'!D:D,MATCH("Clavos galvanizados 2''",'BD Materiales'!B:B,0)),"")</f>
        <v>1.9257894736842103</v>
      </c>
      <c r="F20" s="168">
        <f>IFERROR(D20*E20,"")</f>
        <v>1.8087886091532279E-2</v>
      </c>
      <c r="G20" s="118">
        <v>3.5</v>
      </c>
      <c r="H20" s="106">
        <v>1.49</v>
      </c>
      <c r="I20" s="118">
        <v>2</v>
      </c>
      <c r="J20" s="106">
        <v>2.08</v>
      </c>
      <c r="K20" s="118"/>
      <c r="L20" s="106"/>
    </row>
    <row r="21" spans="1:13" x14ac:dyDescent="0.25">
      <c r="B21" t="s">
        <v>820</v>
      </c>
      <c r="C21" t="s">
        <v>30</v>
      </c>
      <c r="D21" s="150">
        <f>IFERROR(INDEX('BD Rendimientos'!G:G,MATCH("01.01.02|Clavos galvanizados 2 1/2''|Kg.|materiales",'BD Rendimientos'!L:L,0)),"")</f>
        <v>6.2778170605288655E-3</v>
      </c>
      <c r="E21" s="159">
        <f>IFERROR(INDEX('BD Materiales'!D:D,MATCH("Clavos galvanizados 2 1/2''",'BD Materiales'!B:B,0)),"")</f>
        <v>1.8223333333333334</v>
      </c>
      <c r="F21" s="168">
        <f>IFERROR(D21*E21,"")</f>
        <v>1.1440275289970436E-2</v>
      </c>
      <c r="G21" s="118">
        <v>4</v>
      </c>
      <c r="H21" s="106">
        <v>1.4379999999999999</v>
      </c>
      <c r="I21" s="118"/>
      <c r="J21" s="106"/>
      <c r="K21" s="118">
        <v>0.25</v>
      </c>
      <c r="L21" s="106">
        <v>2</v>
      </c>
      <c r="M21" t="s">
        <v>1920</v>
      </c>
    </row>
    <row r="22" spans="1:13" x14ac:dyDescent="0.25">
      <c r="A22" s="101"/>
      <c r="B22" s="101" t="s">
        <v>826</v>
      </c>
      <c r="C22" s="101" t="s">
        <v>30</v>
      </c>
      <c r="D22" s="152">
        <f>IFERROR(INDEX('BD Rendimientos'!G:G,MATCH("01.01.02|Clavos galvanizados 3""|Kg.|materiales",'BD Rendimientos'!L:L,0)),"")</f>
        <v>4.0142908755168398E-3</v>
      </c>
      <c r="E22" s="161">
        <f>IFERROR(INDEX('BD Materiales'!D:D,MATCH("Clavos galvanizados 3""",'BD Materiales'!B:B,0)),"")</f>
        <v>2.415</v>
      </c>
      <c r="F22" s="170">
        <f>IFERROR(D22*E22,"")</f>
        <v>9.694512464373169E-3</v>
      </c>
      <c r="G22" s="120"/>
      <c r="H22" s="108"/>
      <c r="I22" s="120">
        <v>1</v>
      </c>
      <c r="J22" s="108">
        <v>2.41</v>
      </c>
      <c r="K22" s="120"/>
      <c r="L22" s="108"/>
      <c r="M22" s="101" t="s">
        <v>647</v>
      </c>
    </row>
    <row r="23" spans="1:13" x14ac:dyDescent="0.25">
      <c r="A23" s="101"/>
      <c r="B23" s="101" t="s">
        <v>836</v>
      </c>
      <c r="C23" s="101" t="s">
        <v>15</v>
      </c>
      <c r="D23" s="152">
        <f>IFERROR(INDEX('BD Rendimientos'!G:G,MATCH("01.01.02|Cuartón 6 x 4 de eucalipto|Uni.|materiales",'BD Rendimientos'!L:L,0)),"")</f>
        <v>1.3660053799596504E-2</v>
      </c>
      <c r="E23" s="161">
        <f>IFERROR(INDEX('BD Materiales'!D:D,MATCH("Cuartón 6 x 4 de eucalipto",'BD Materiales'!B:B,0)),"")</f>
        <v>2.15</v>
      </c>
      <c r="F23" s="170">
        <f>IFERROR(D23*E23,"")</f>
        <v>2.9369115669132483E-2</v>
      </c>
      <c r="G23" s="120"/>
      <c r="H23" s="108"/>
      <c r="I23" s="120"/>
      <c r="J23" s="108"/>
      <c r="K23" s="120">
        <v>13</v>
      </c>
      <c r="L23" s="108">
        <v>2.15</v>
      </c>
      <c r="M23" s="101" t="s">
        <v>647</v>
      </c>
    </row>
    <row r="24" spans="1:13" x14ac:dyDescent="0.25">
      <c r="A24" s="101"/>
      <c r="B24" s="101" t="s">
        <v>914</v>
      </c>
      <c r="C24" s="101" t="s">
        <v>3</v>
      </c>
      <c r="D24" s="152">
        <f>IFERROR(INDEX('BD Rendimientos'!G:G,MATCH("01.01.02|Manguera transparente|ml|materiales",'BD Rendimientos'!L:L,0)),"")</f>
        <v>0.100357271887921</v>
      </c>
      <c r="E24" s="161">
        <f>IFERROR(INDEX('BD Materiales'!D:D,MATCH("Manguera transparente",'BD Materiales'!B:B,0)),"")</f>
        <v>0.4</v>
      </c>
      <c r="F24" s="170">
        <f>IFERROR(D24*E24,"")</f>
        <v>4.0142908755168405E-2</v>
      </c>
      <c r="G24" s="120"/>
      <c r="H24" s="108"/>
      <c r="I24" s="120">
        <v>25</v>
      </c>
      <c r="J24" s="108">
        <v>0.4</v>
      </c>
      <c r="K24" s="120"/>
      <c r="L24" s="108"/>
      <c r="M24" s="101" t="s">
        <v>647</v>
      </c>
    </row>
    <row r="25" spans="1:13" x14ac:dyDescent="0.25">
      <c r="B25" t="s">
        <v>939</v>
      </c>
      <c r="C25" t="s">
        <v>15</v>
      </c>
      <c r="D25" s="150">
        <f>IFERROR(INDEX('BD Rendimientos'!G:G,MATCH("01.01.02|Pingos de 2.5 mts|Uni.|materiales",'BD Rendimientos'!L:L,0)),"")</f>
        <v>4.0142908755168398E-2</v>
      </c>
      <c r="E25" s="159">
        <f>IFERROR(INDEX('BD Materiales'!D:D,MATCH("Pingos de 2.5 mts",'BD Materiales'!B:B,0)),"")</f>
        <v>1.1206818181818179</v>
      </c>
      <c r="F25" s="168">
        <f>IFERROR(D25*E25,"")</f>
        <v>4.4987427970848939E-2</v>
      </c>
      <c r="G25" s="118">
        <v>19</v>
      </c>
      <c r="H25" s="106">
        <v>1.1274999999999999</v>
      </c>
      <c r="I25" s="118">
        <v>10</v>
      </c>
      <c r="J25" s="106">
        <v>1.1000000000000001</v>
      </c>
      <c r="K25" s="118">
        <v>3</v>
      </c>
      <c r="L25" s="106">
        <v>1.1000000000000001</v>
      </c>
      <c r="M25" t="s">
        <v>1920</v>
      </c>
    </row>
    <row r="26" spans="1:13" x14ac:dyDescent="0.25">
      <c r="B26" t="s">
        <v>941</v>
      </c>
      <c r="C26" t="s">
        <v>15</v>
      </c>
      <c r="D26" s="150">
        <f>IFERROR(INDEX('BD Rendimientos'!G:G,MATCH("01.01.02|Pingos de 3 mts|Uni.|materiales",'BD Rendimientos'!L:L,0)),"")</f>
        <v>2.2698387800583527E-2</v>
      </c>
      <c r="E26" s="159">
        <f>IFERROR(INDEX('BD Materiales'!D:D,MATCH("Pingos de 3 mts",'BD Materiales'!B:B,0)),"")</f>
        <v>1.1400000000000001</v>
      </c>
      <c r="F26" s="168">
        <f>IFERROR(D26*E26,"")</f>
        <v>2.5876162092665224E-2</v>
      </c>
      <c r="G26" s="118"/>
      <c r="H26" s="106"/>
      <c r="I26" s="118">
        <v>10</v>
      </c>
      <c r="J26" s="106">
        <v>1.08</v>
      </c>
      <c r="K26" s="118">
        <v>5</v>
      </c>
      <c r="L26" s="106">
        <v>1.2</v>
      </c>
      <c r="M26" t="s">
        <v>1920</v>
      </c>
    </row>
    <row r="27" spans="1:13" x14ac:dyDescent="0.25">
      <c r="B27" t="s">
        <v>976</v>
      </c>
      <c r="C27" t="s">
        <v>15</v>
      </c>
      <c r="D27" s="150">
        <f>IFERROR(INDEX('BD Rendimientos'!G:G,MATCH("01.01.02|Riel de eucalipto|Uni.|materiales",'BD Rendimientos'!L:L,0)),"")</f>
        <v>6.9243217492615389E-2</v>
      </c>
      <c r="E27" s="159">
        <f>IFERROR(INDEX('BD Materiales'!D:D,MATCH("Riel de eucalipto",'BD Materiales'!B:B,0)),"")</f>
        <v>1.8182499999999999</v>
      </c>
      <c r="F27" s="168">
        <f>IFERROR(D27*E27,"")</f>
        <v>0.12590148020594794</v>
      </c>
      <c r="G27" s="118">
        <v>32</v>
      </c>
      <c r="H27" s="106">
        <v>1.7669999999999999</v>
      </c>
      <c r="I27" s="118">
        <v>10</v>
      </c>
      <c r="J27" s="106">
        <v>1.82</v>
      </c>
      <c r="K27" s="118"/>
      <c r="L27" s="106"/>
    </row>
    <row r="28" spans="1:13" x14ac:dyDescent="0.25">
      <c r="B28" t="s">
        <v>1008</v>
      </c>
      <c r="C28" t="s">
        <v>15</v>
      </c>
      <c r="D28" s="150">
        <f>IFERROR(INDEX('BD Rendimientos'!G:G,MATCH("01.01.02|Spray Rojo|Uni.|materiales",'BD Rendimientos'!L:L,0)),"")</f>
        <v>9.2197055840683492E-3</v>
      </c>
      <c r="E28" s="159">
        <f>IFERROR(INDEX('BD Materiales'!D:D,MATCH("Spray Rojo",'BD Materiales'!B:B,0)),"")</f>
        <v>1.8281666666666669</v>
      </c>
      <c r="F28" s="168">
        <f>IFERROR(D28*E28,"")</f>
        <v>1.685515842527429E-2</v>
      </c>
      <c r="G28" s="118">
        <v>3</v>
      </c>
      <c r="H28" s="106">
        <v>1.4844999999999999</v>
      </c>
      <c r="I28" s="118">
        <v>5</v>
      </c>
      <c r="J28" s="106">
        <v>1.78</v>
      </c>
      <c r="K28" s="118">
        <v>2</v>
      </c>
      <c r="L28" s="106">
        <v>2.2200000000000002</v>
      </c>
      <c r="M28" t="s">
        <v>1920</v>
      </c>
    </row>
    <row r="29" spans="1:13" x14ac:dyDescent="0.25">
      <c r="B29" t="s">
        <v>606</v>
      </c>
      <c r="C29" t="s">
        <v>15</v>
      </c>
      <c r="D29" s="150">
        <f>IFERROR(INDEX('BD Rendimientos'!G:G,MATCH("01.01.02|Tablas de Monte|Uni.|materiales",'BD Rendimientos'!L:L,0)),"")</f>
        <v>3.0827777558997273E-2</v>
      </c>
      <c r="E29" s="159">
        <f>IFERROR(INDEX('BD Materiales'!D:D,MATCH("Tablas de Monte",'BD Materiales'!B:B,0)),"")</f>
        <v>2.4034925925925932</v>
      </c>
      <c r="F29" s="168">
        <f>IFERROR(D29*E29,"")</f>
        <v>7.4094335009142115E-2</v>
      </c>
      <c r="G29" s="118">
        <v>7</v>
      </c>
      <c r="H29" s="106">
        <v>2.34</v>
      </c>
      <c r="I29" s="118">
        <v>10</v>
      </c>
      <c r="J29" s="106">
        <v>2.44</v>
      </c>
      <c r="K29" s="118"/>
      <c r="L29" s="106"/>
    </row>
    <row r="30" spans="1:13" x14ac:dyDescent="0.25">
      <c r="A30" s="99" t="s">
        <v>5</v>
      </c>
      <c r="B30" s="99"/>
      <c r="C30" s="99"/>
      <c r="D30" s="149"/>
      <c r="E30" s="158"/>
      <c r="F30" s="167"/>
      <c r="G30" s="117"/>
      <c r="H30" s="105"/>
      <c r="I30" s="117"/>
      <c r="J30" s="105"/>
      <c r="K30" s="117"/>
      <c r="L30" s="105"/>
      <c r="M30" s="99"/>
    </row>
    <row r="31" spans="1:13" x14ac:dyDescent="0.25">
      <c r="B31" t="s">
        <v>485</v>
      </c>
      <c r="C31" t="s">
        <v>130</v>
      </c>
      <c r="D31" s="150">
        <f>IFERROR(INDEX('BD Rendimientos'!G:G,MATCH("01.01.02|M. Replanteo Y Nivelación|m2|mano_obra",'BD Rendimientos'!L:L,0)),"")</f>
        <v>1</v>
      </c>
      <c r="E31" s="159">
        <f>IFERROR(INDEX('BD Mano de Obra'!D:D,MATCH("M. Replanteo Y Nivelación",'BD Mano de Obra'!B:B,0)),"")</f>
        <v>0.77666666666666673</v>
      </c>
      <c r="F31" s="168">
        <f>IFERROR(D31*E31,"")</f>
        <v>0.77666666666666673</v>
      </c>
      <c r="G31" s="118">
        <v>325.39</v>
      </c>
      <c r="H31" s="106">
        <v>0.72</v>
      </c>
      <c r="I31" s="118">
        <v>249.11</v>
      </c>
      <c r="J31" s="106">
        <v>0.72</v>
      </c>
      <c r="K31" s="118">
        <v>951.68</v>
      </c>
      <c r="L31" s="106">
        <v>0.89</v>
      </c>
    </row>
    <row r="32" spans="1:13" ht="16.5" thickBot="1" x14ac:dyDescent="0.3">
      <c r="A32" s="100"/>
      <c r="B32" s="100" t="s">
        <v>645</v>
      </c>
      <c r="C32" s="100" t="s">
        <v>130</v>
      </c>
      <c r="D32" s="151"/>
      <c r="E32" s="160"/>
      <c r="F32" s="169">
        <f>SUM(F14,F15,F16,F17,F18,F19,F20,F21,F22,F23,F24,F25,F26,F27,F28,F29,F31)</f>
        <v>1.5074792678751896</v>
      </c>
      <c r="G32" s="119"/>
      <c r="H32" s="107">
        <v>1.4155222963213401</v>
      </c>
      <c r="I32" s="119"/>
      <c r="J32" s="107">
        <v>1.1585612781502099</v>
      </c>
      <c r="K32" s="119"/>
      <c r="L32" s="107">
        <v>0.97282132649630104</v>
      </c>
      <c r="M32" s="100" t="s">
        <v>646</v>
      </c>
    </row>
    <row r="33" spans="1:13" ht="16.5" thickTop="1" thickBot="1" x14ac:dyDescent="0.3">
      <c r="D33" s="150"/>
      <c r="E33" s="159"/>
      <c r="F33" s="168"/>
      <c r="G33" s="118"/>
      <c r="H33" s="106"/>
      <c r="I33" s="118"/>
      <c r="J33" s="106"/>
      <c r="K33" s="118"/>
      <c r="L33" s="106"/>
    </row>
    <row r="34" spans="1:13" ht="15.75" thickTop="1" x14ac:dyDescent="0.25">
      <c r="A34" s="97" t="s">
        <v>484</v>
      </c>
      <c r="B34" s="97" t="s">
        <v>483</v>
      </c>
      <c r="C34" s="97" t="s">
        <v>88</v>
      </c>
      <c r="D34" s="148" t="s">
        <v>635</v>
      </c>
      <c r="E34" s="157" t="s">
        <v>636</v>
      </c>
      <c r="F34" s="166" t="s">
        <v>637</v>
      </c>
      <c r="G34" s="116" t="s">
        <v>638</v>
      </c>
      <c r="H34" s="104" t="s">
        <v>639</v>
      </c>
      <c r="I34" s="116" t="s">
        <v>640</v>
      </c>
      <c r="J34" s="104" t="s">
        <v>641</v>
      </c>
      <c r="K34" s="116" t="s">
        <v>642</v>
      </c>
      <c r="L34" s="104" t="s">
        <v>643</v>
      </c>
      <c r="M34" s="97" t="s">
        <v>644</v>
      </c>
    </row>
    <row r="35" spans="1:13" x14ac:dyDescent="0.25">
      <c r="A35" s="99" t="s">
        <v>5</v>
      </c>
      <c r="B35" s="99"/>
      <c r="C35" s="99"/>
      <c r="D35" s="149"/>
      <c r="E35" s="158"/>
      <c r="F35" s="167"/>
      <c r="G35" s="117"/>
      <c r="H35" s="105"/>
      <c r="I35" s="117"/>
      <c r="J35" s="105"/>
      <c r="K35" s="117"/>
      <c r="L35" s="105"/>
      <c r="M35" s="99"/>
    </row>
    <row r="36" spans="1:13" x14ac:dyDescent="0.25">
      <c r="A36" s="99"/>
      <c r="B36" s="99" t="s">
        <v>1923</v>
      </c>
      <c r="C36" s="99" t="s">
        <v>88</v>
      </c>
      <c r="D36" s="149">
        <f>IFERROR(INDEX('BD Rendimientos'!G:G,MATCH("01.01.03|M. Instalaciones eléctricas provisionales|Glb|mano_obra",'BD Rendimientos'!L:L,0)),"")</f>
        <v>1</v>
      </c>
      <c r="E36" s="158">
        <f>IFERROR(INDEX('BD Mano de Obra'!D:D,MATCH("M. Instalaciones eléctricas provisionales",'BD Mano de Obra'!B:B,0)),"")</f>
        <v>300</v>
      </c>
      <c r="F36" s="167">
        <f>IFERROR(D36*E36,"")</f>
        <v>300</v>
      </c>
      <c r="G36" s="117">
        <v>300</v>
      </c>
      <c r="H36" s="105">
        <v>300</v>
      </c>
      <c r="I36" s="117"/>
      <c r="J36" s="105">
        <v>300</v>
      </c>
      <c r="K36" s="117"/>
      <c r="L36" s="105">
        <v>300</v>
      </c>
      <c r="M36" s="99" t="s">
        <v>1931</v>
      </c>
    </row>
    <row r="37" spans="1:13" x14ac:dyDescent="0.25">
      <c r="A37" s="99" t="s">
        <v>2</v>
      </c>
      <c r="B37" s="99"/>
      <c r="C37" s="99"/>
      <c r="D37" s="149"/>
      <c r="E37" s="158"/>
      <c r="F37" s="167"/>
      <c r="G37" s="117"/>
      <c r="H37" s="105"/>
      <c r="I37" s="117"/>
      <c r="J37" s="105"/>
      <c r="K37" s="117"/>
      <c r="L37" s="105"/>
      <c r="M37" s="99"/>
    </row>
    <row r="38" spans="1:13" ht="16.5" thickBot="1" x14ac:dyDescent="0.3">
      <c r="A38" s="100"/>
      <c r="B38" s="100" t="s">
        <v>645</v>
      </c>
      <c r="C38" s="100" t="s">
        <v>88</v>
      </c>
      <c r="D38" s="151"/>
      <c r="E38" s="160"/>
      <c r="F38" s="169">
        <f>F36</f>
        <v>300</v>
      </c>
      <c r="G38" s="119"/>
      <c r="H38" s="107">
        <v>0.92197055840683495</v>
      </c>
      <c r="I38" s="119"/>
      <c r="J38" s="107">
        <v>1.20428726265505</v>
      </c>
      <c r="K38" s="119"/>
      <c r="L38" s="107">
        <v>0.31523201075991902</v>
      </c>
      <c r="M38" s="100" t="s">
        <v>646</v>
      </c>
    </row>
    <row r="39" spans="1:13" ht="16.5" thickTop="1" thickBot="1" x14ac:dyDescent="0.3">
      <c r="D39" s="150"/>
      <c r="E39" s="159"/>
      <c r="F39" s="168"/>
      <c r="G39" s="118"/>
      <c r="H39" s="106"/>
      <c r="I39" s="118"/>
      <c r="J39" s="106"/>
      <c r="K39" s="118"/>
      <c r="L39" s="106"/>
    </row>
    <row r="40" spans="1:13" ht="15.75" thickTop="1" x14ac:dyDescent="0.25">
      <c r="A40" s="97" t="s">
        <v>482</v>
      </c>
      <c r="B40" s="97" t="s">
        <v>481</v>
      </c>
      <c r="C40" s="97" t="s">
        <v>88</v>
      </c>
      <c r="D40" s="148" t="s">
        <v>635</v>
      </c>
      <c r="E40" s="157" t="s">
        <v>636</v>
      </c>
      <c r="F40" s="166" t="s">
        <v>637</v>
      </c>
      <c r="G40" s="116" t="s">
        <v>638</v>
      </c>
      <c r="H40" s="104" t="s">
        <v>639</v>
      </c>
      <c r="I40" s="116" t="s">
        <v>640</v>
      </c>
      <c r="J40" s="104" t="s">
        <v>641</v>
      </c>
      <c r="K40" s="116" t="s">
        <v>642</v>
      </c>
      <c r="L40" s="104" t="s">
        <v>643</v>
      </c>
      <c r="M40" s="97" t="s">
        <v>644</v>
      </c>
    </row>
    <row r="41" spans="1:13" x14ac:dyDescent="0.25">
      <c r="A41" s="99" t="s">
        <v>5</v>
      </c>
      <c r="B41" s="99"/>
      <c r="C41" s="99"/>
      <c r="D41" s="149"/>
      <c r="E41" s="158"/>
      <c r="F41" s="167"/>
      <c r="G41" s="117"/>
      <c r="H41" s="105"/>
      <c r="I41" s="117"/>
      <c r="J41" s="105"/>
      <c r="K41" s="117"/>
      <c r="L41" s="105"/>
      <c r="M41" s="99"/>
    </row>
    <row r="42" spans="1:13" x14ac:dyDescent="0.25">
      <c r="A42" s="99"/>
      <c r="B42" s="99" t="s">
        <v>1925</v>
      </c>
      <c r="C42" s="99" t="s">
        <v>88</v>
      </c>
      <c r="D42" s="149">
        <f>IFERROR(INDEX('BD Rendimientos'!G:G,MATCH("01.01.04|M. Instalaciones hidrosanitarias provisionales|Glb|mano_obra",'BD Rendimientos'!L:L,0)),"")</f>
        <v>1</v>
      </c>
      <c r="E42" s="158">
        <f>IFERROR(INDEX('BD Mano de Obra'!D:D,MATCH("M. Instalaciones hidrosanitarias provisionales",'BD Mano de Obra'!B:B,0)),"")</f>
        <v>300</v>
      </c>
      <c r="F42" s="167">
        <f>IFERROR(D42*E42,"")</f>
        <v>300</v>
      </c>
      <c r="G42" s="117">
        <v>300</v>
      </c>
      <c r="H42" s="105">
        <v>300</v>
      </c>
      <c r="I42" s="117"/>
      <c r="J42" s="105">
        <v>300</v>
      </c>
      <c r="K42" s="117"/>
      <c r="L42" s="105">
        <v>300</v>
      </c>
      <c r="M42" s="99" t="s">
        <v>1931</v>
      </c>
    </row>
    <row r="43" spans="1:13" ht="16.5" thickBot="1" x14ac:dyDescent="0.3">
      <c r="A43" s="100"/>
      <c r="B43" s="100" t="s">
        <v>645</v>
      </c>
      <c r="C43" s="100" t="s">
        <v>88</v>
      </c>
      <c r="D43" s="151"/>
      <c r="E43" s="160"/>
      <c r="F43" s="169">
        <f>F42</f>
        <v>300</v>
      </c>
      <c r="G43" s="119"/>
      <c r="H43" s="107">
        <v>300</v>
      </c>
      <c r="I43" s="119"/>
      <c r="J43" s="107">
        <v>300</v>
      </c>
      <c r="K43" s="119"/>
      <c r="L43" s="107">
        <v>300</v>
      </c>
      <c r="M43" s="100" t="s">
        <v>646</v>
      </c>
    </row>
    <row r="44" spans="1:13" ht="16.5" thickTop="1" thickBot="1" x14ac:dyDescent="0.3">
      <c r="D44" s="150"/>
      <c r="E44" s="159"/>
      <c r="F44" s="168"/>
      <c r="G44" s="118"/>
      <c r="H44" s="106"/>
      <c r="I44" s="118"/>
      <c r="J44" s="106"/>
      <c r="K44" s="118"/>
      <c r="L44" s="106"/>
    </row>
    <row r="45" spans="1:13" ht="15.75" thickTop="1" x14ac:dyDescent="0.25">
      <c r="A45" s="97" t="s">
        <v>480</v>
      </c>
      <c r="B45" s="97" t="s">
        <v>479</v>
      </c>
      <c r="C45" s="97" t="s">
        <v>88</v>
      </c>
      <c r="D45" s="148" t="s">
        <v>635</v>
      </c>
      <c r="E45" s="157" t="s">
        <v>636</v>
      </c>
      <c r="F45" s="166" t="s">
        <v>637</v>
      </c>
      <c r="G45" s="116" t="s">
        <v>638</v>
      </c>
      <c r="H45" s="104" t="s">
        <v>639</v>
      </c>
      <c r="I45" s="116" t="s">
        <v>640</v>
      </c>
      <c r="J45" s="104" t="s">
        <v>641</v>
      </c>
      <c r="K45" s="116" t="s">
        <v>642</v>
      </c>
      <c r="L45" s="104" t="s">
        <v>643</v>
      </c>
      <c r="M45" s="97" t="s">
        <v>644</v>
      </c>
    </row>
    <row r="46" spans="1:13" x14ac:dyDescent="0.25">
      <c r="A46" s="99" t="s">
        <v>11</v>
      </c>
      <c r="B46" s="99"/>
      <c r="C46" s="99"/>
      <c r="D46" s="149"/>
      <c r="E46" s="158"/>
      <c r="F46" s="167"/>
      <c r="G46" s="117"/>
      <c r="H46" s="105"/>
      <c r="I46" s="117"/>
      <c r="J46" s="105"/>
      <c r="K46" s="117"/>
      <c r="L46" s="105"/>
      <c r="M46" s="99"/>
    </row>
    <row r="47" spans="1:13" x14ac:dyDescent="0.25">
      <c r="A47" s="101"/>
      <c r="B47" s="101" t="s">
        <v>701</v>
      </c>
      <c r="C47" s="101" t="s">
        <v>144</v>
      </c>
      <c r="D47" s="152">
        <f>IFERROR(INDEX('BD Rendimientos'!G:G,MATCH("01.01.05|Alambre galvanizado N 14|rollo|materiales",'BD Rendimientos'!L:L,0)),"")</f>
        <v>1</v>
      </c>
      <c r="E47" s="161">
        <f>IFERROR(INDEX('BD Materiales'!D:D,MATCH("Alambre galvanizado N 14",'BD Materiales'!B:B,0)),"")</f>
        <v>82.972500000000011</v>
      </c>
      <c r="F47" s="170">
        <f>IFERROR(D47*E47,"")</f>
        <v>82.972500000000011</v>
      </c>
      <c r="G47" s="120">
        <v>1</v>
      </c>
      <c r="H47" s="108">
        <v>75.739999999999995</v>
      </c>
      <c r="I47" s="120"/>
      <c r="J47" s="108"/>
      <c r="K47" s="120"/>
      <c r="L47" s="108"/>
      <c r="M47" s="101" t="s">
        <v>647</v>
      </c>
    </row>
    <row r="48" spans="1:13" x14ac:dyDescent="0.25">
      <c r="A48" s="102"/>
      <c r="B48" s="102" t="s">
        <v>709</v>
      </c>
      <c r="C48" s="102" t="s">
        <v>15</v>
      </c>
      <c r="D48" s="153">
        <f>IFERROR(INDEX('BD Rendimientos'!G:G,MATCH("01.01.05|Aldaba Galvanizada 2''|Uni.|materiales",'BD Rendimientos'!L:L,0)),"")</f>
        <v>1.5</v>
      </c>
      <c r="E48" s="162">
        <f>IFERROR(INDEX('BD Materiales'!D:D,MATCH("Aldaba Galvanizada 2''",'BD Materiales'!B:B,0)),"")</f>
        <v>0.67500000000000004</v>
      </c>
      <c r="F48" s="171">
        <f>IFERROR(D48*E48,"")</f>
        <v>1.0125000000000002</v>
      </c>
      <c r="G48" s="121">
        <v>1</v>
      </c>
      <c r="H48" s="109">
        <v>0.32</v>
      </c>
      <c r="I48" s="121">
        <v>2</v>
      </c>
      <c r="J48" s="109">
        <v>1.03</v>
      </c>
      <c r="K48" s="121"/>
      <c r="L48" s="109"/>
      <c r="M48" s="102" t="s">
        <v>648</v>
      </c>
    </row>
    <row r="49" spans="1:13" x14ac:dyDescent="0.25">
      <c r="B49" t="s">
        <v>470</v>
      </c>
      <c r="C49" t="s">
        <v>15</v>
      </c>
      <c r="D49" s="150">
        <f>IFERROR(INDEX('BD Rendimientos'!G:G,MATCH("01.01.05|Armellas (Par de Armellas)|Uni.|materiales",'BD Rendimientos'!L:L,0)),"")</f>
        <v>3</v>
      </c>
      <c r="E49" s="159">
        <f>IFERROR(INDEX('BD Materiales'!D:D,MATCH("Armellas (Par de Armellas)",'BD Materiales'!B:B,0)),"")</f>
        <v>0.55000000000000004</v>
      </c>
      <c r="F49" s="168">
        <f>IFERROR(D49*E49,"")</f>
        <v>1.6500000000000001</v>
      </c>
      <c r="G49" s="118"/>
      <c r="H49" s="106"/>
      <c r="I49" s="118">
        <v>2</v>
      </c>
      <c r="J49" s="106">
        <v>0.53</v>
      </c>
      <c r="K49" s="118">
        <v>4</v>
      </c>
      <c r="L49" s="106">
        <v>0.56999999999999995</v>
      </c>
    </row>
    <row r="50" spans="1:13" x14ac:dyDescent="0.25">
      <c r="B50" t="s">
        <v>727</v>
      </c>
      <c r="C50" t="s">
        <v>15</v>
      </c>
      <c r="D50" s="150">
        <f>IFERROR(INDEX('BD Rendimientos'!G:G,MATCH("01.01.05|Bisagra Negra 3""|Uni.|materiales",'BD Rendimientos'!L:L,0)),"")</f>
        <v>6</v>
      </c>
      <c r="E50" s="159">
        <f>IFERROR(INDEX('BD Materiales'!D:D,MATCH("Bisagra Negra 3""",'BD Materiales'!B:B,0)),"")</f>
        <v>0.61</v>
      </c>
      <c r="F50" s="168">
        <f>IFERROR(D50*E50,"")</f>
        <v>3.66</v>
      </c>
      <c r="G50" s="118">
        <v>6</v>
      </c>
      <c r="H50" s="106">
        <v>0.48</v>
      </c>
      <c r="I50" s="118">
        <v>6</v>
      </c>
      <c r="J50" s="106">
        <v>0.74</v>
      </c>
      <c r="K50" s="118"/>
      <c r="L50" s="106"/>
    </row>
    <row r="51" spans="1:13" x14ac:dyDescent="0.25">
      <c r="A51" s="101"/>
      <c r="B51" s="101" t="s">
        <v>731</v>
      </c>
      <c r="C51" s="101" t="s">
        <v>15</v>
      </c>
      <c r="D51" s="152">
        <f>IFERROR(INDEX('BD Rendimientos'!G:G,MATCH("01.01.05|Bloque alivianado 15x20x40|Uni.|materiales",'BD Rendimientos'!L:L,0)),"")</f>
        <v>700</v>
      </c>
      <c r="E51" s="161">
        <f>IFERROR(INDEX('BD Materiales'!D:D,MATCH("Bloque alivianado 15x20x40",'BD Materiales'!B:B,0)),"")</f>
        <v>0.34599999999999997</v>
      </c>
      <c r="F51" s="170">
        <f>IFERROR(D51*E51,"")</f>
        <v>242.2</v>
      </c>
      <c r="G51" s="120">
        <v>700</v>
      </c>
      <c r="H51" s="108">
        <v>0.35</v>
      </c>
      <c r="I51" s="120"/>
      <c r="J51" s="108"/>
      <c r="K51" s="120"/>
      <c r="L51" s="108"/>
      <c r="M51" s="101" t="s">
        <v>647</v>
      </c>
    </row>
    <row r="52" spans="1:13" x14ac:dyDescent="0.25">
      <c r="A52" s="101"/>
      <c r="B52" s="101" t="s">
        <v>769</v>
      </c>
      <c r="C52" s="101" t="s">
        <v>15</v>
      </c>
      <c r="D52" s="152">
        <f>IFERROR(INDEX('BD Rendimientos'!G:G,MATCH("01.01.05|Candado Viro Fai Anticizalla 70|Uni.|materiales",'BD Rendimientos'!L:L,0)),"")</f>
        <v>1</v>
      </c>
      <c r="E52" s="161">
        <f>IFERROR(INDEX('BD Materiales'!D:D,MATCH("Candado Viro Fai Anticizalla 70",'BD Materiales'!B:B,0)),"")</f>
        <v>27.1</v>
      </c>
      <c r="F52" s="170">
        <f>IFERROR(D52*E52,"")</f>
        <v>27.1</v>
      </c>
      <c r="G52" s="120"/>
      <c r="H52" s="108"/>
      <c r="I52" s="120"/>
      <c r="J52" s="108"/>
      <c r="K52" s="120">
        <v>1</v>
      </c>
      <c r="L52" s="108">
        <v>27.1</v>
      </c>
      <c r="M52" s="101" t="s">
        <v>647</v>
      </c>
    </row>
    <row r="53" spans="1:13" x14ac:dyDescent="0.25">
      <c r="B53" t="s">
        <v>790</v>
      </c>
      <c r="C53" t="s">
        <v>174</v>
      </c>
      <c r="D53" s="150">
        <f>IFERROR(INDEX('BD Rendimientos'!G:G,MATCH("01.01.05|Cemento Campeón|saco|materiales",'BD Rendimientos'!L:L,0)),"")</f>
        <v>3</v>
      </c>
      <c r="E53" s="159">
        <f>IFERROR(INDEX('BD Materiales'!D:D,MATCH("Cemento Campeón",'BD Materiales'!B:B,0)),"")</f>
        <v>6.7</v>
      </c>
      <c r="F53" s="168">
        <f>IFERROR(D53*E53,"")</f>
        <v>20.100000000000001</v>
      </c>
      <c r="G53" s="118">
        <v>12</v>
      </c>
      <c r="H53" s="106">
        <v>6.6619999999999999</v>
      </c>
      <c r="I53" s="118">
        <v>3</v>
      </c>
      <c r="J53" s="106">
        <v>6.7</v>
      </c>
      <c r="K53" s="118">
        <v>1</v>
      </c>
      <c r="L53" s="106">
        <v>6.7</v>
      </c>
      <c r="M53" t="s">
        <v>1920</v>
      </c>
    </row>
    <row r="54" spans="1:13" x14ac:dyDescent="0.25">
      <c r="A54" s="101"/>
      <c r="B54" s="101" t="s">
        <v>364</v>
      </c>
      <c r="C54" s="101" t="s">
        <v>30</v>
      </c>
      <c r="D54" s="152">
        <f>IFERROR(INDEX('BD Rendimientos'!G:G,MATCH("01.01.05|Clavos de acero 2.1/2” (Clavos de acero 2.1/2” (1 kilo))|Kg.|materiales",'BD Rendimientos'!L:L,0)),"")</f>
        <v>0.5</v>
      </c>
      <c r="E54" s="161">
        <f>IFERROR(INDEX('BD Materiales'!D:D,MATCH("Clavos de acero 2.1/2” (Clavos de acero 2.1/2” (1 kilo))",'BD Materiales'!B:B,0)),"")</f>
        <v>3.94</v>
      </c>
      <c r="F54" s="170">
        <f>IFERROR(D54*E54,"")</f>
        <v>1.97</v>
      </c>
      <c r="G54" s="120"/>
      <c r="H54" s="108"/>
      <c r="I54" s="120"/>
      <c r="J54" s="108"/>
      <c r="K54" s="120">
        <v>0.5</v>
      </c>
      <c r="L54" s="108">
        <v>3.94</v>
      </c>
      <c r="M54" s="101" t="s">
        <v>647</v>
      </c>
    </row>
    <row r="55" spans="1:13" x14ac:dyDescent="0.25">
      <c r="B55" t="s">
        <v>824</v>
      </c>
      <c r="C55" t="s">
        <v>30</v>
      </c>
      <c r="D55" s="150">
        <f>IFERROR(INDEX('BD Rendimientos'!G:G,MATCH("01.01.05|Clavos galvanizados 2''|Kg.|materiales",'BD Rendimientos'!L:L,0)),"")</f>
        <v>2.3333333333333335</v>
      </c>
      <c r="E55" s="159">
        <f>IFERROR(INDEX('BD Materiales'!D:D,MATCH("Clavos galvanizados 2''",'BD Materiales'!B:B,0)),"")</f>
        <v>1.9257894736842103</v>
      </c>
      <c r="F55" s="168">
        <f>IFERROR(D55*E55,"")</f>
        <v>4.4935087719298243</v>
      </c>
      <c r="G55" s="118">
        <v>2.5</v>
      </c>
      <c r="H55" s="106">
        <v>1.4950000000000001</v>
      </c>
      <c r="I55" s="118">
        <v>1.5</v>
      </c>
      <c r="J55" s="106">
        <v>2.13</v>
      </c>
      <c r="K55" s="118">
        <v>3</v>
      </c>
      <c r="L55" s="106">
        <v>2.08</v>
      </c>
    </row>
    <row r="56" spans="1:13" x14ac:dyDescent="0.25">
      <c r="B56" t="s">
        <v>820</v>
      </c>
      <c r="C56" t="s">
        <v>30</v>
      </c>
      <c r="D56" s="150">
        <f>IFERROR(INDEX('BD Rendimientos'!G:G,MATCH("01.01.05|Clavos galvanizados 2 1/2''|Kg.|materiales",'BD Rendimientos'!L:L,0)),"")</f>
        <v>2.25</v>
      </c>
      <c r="E56" s="159">
        <f>IFERROR(INDEX('BD Materiales'!D:D,MATCH("Clavos galvanizados 2 1/2''",'BD Materiales'!B:B,0)),"")</f>
        <v>1.8223333333333334</v>
      </c>
      <c r="F56" s="168">
        <f>IFERROR(D56*E56,"")</f>
        <v>4.10025</v>
      </c>
      <c r="G56" s="118">
        <v>2.5</v>
      </c>
      <c r="H56" s="106">
        <v>1.4450000000000001</v>
      </c>
      <c r="I56" s="118"/>
      <c r="J56" s="106"/>
      <c r="K56" s="118">
        <v>2</v>
      </c>
      <c r="L56" s="106">
        <v>2.02</v>
      </c>
    </row>
    <row r="57" spans="1:13" x14ac:dyDescent="0.25">
      <c r="B57" t="s">
        <v>463</v>
      </c>
      <c r="C57" t="s">
        <v>30</v>
      </c>
      <c r="D57" s="150">
        <f>IFERROR(INDEX('BD Rendimientos'!G:G,MATCH("01.01.05|Clavos Zinc 2 1/2""x9 (Caja 20kg (Clavos Zinc 2 1/2""x9 (Caja 20kg))|Kg.|materiales",'BD Rendimientos'!L:L,0)),"")</f>
        <v>1.25</v>
      </c>
      <c r="E57" s="159">
        <f>IFERROR(INDEX('BD Materiales'!D:D,MATCH("Clavos Zinc 2 1/2""x9 (Caja 20kg (Clavos Zinc 2 1/2""x9 (Caja 20kg))",'BD Materiales'!B:B,0)),"")</f>
        <v>3.125</v>
      </c>
      <c r="F57" s="168">
        <f>IFERROR(D57*E57,"")</f>
        <v>3.90625</v>
      </c>
      <c r="G57" s="118"/>
      <c r="H57" s="106"/>
      <c r="I57" s="118">
        <v>0.5</v>
      </c>
      <c r="J57" s="106">
        <v>3.04</v>
      </c>
      <c r="K57" s="118">
        <v>2</v>
      </c>
      <c r="L57" s="106">
        <v>3.21</v>
      </c>
      <c r="M57" t="s">
        <v>1920</v>
      </c>
    </row>
    <row r="58" spans="1:13" x14ac:dyDescent="0.25">
      <c r="A58" s="101"/>
      <c r="B58" s="101" t="s">
        <v>836</v>
      </c>
      <c r="C58" s="101" t="s">
        <v>15</v>
      </c>
      <c r="D58" s="152">
        <f>IFERROR(INDEX('BD Rendimientos'!G:G,MATCH("01.01.05|Cuartón 6 x 4 de eucalipto|Uni.|materiales",'BD Rendimientos'!L:L,0)),"")</f>
        <v>54</v>
      </c>
      <c r="E58" s="161">
        <f>IFERROR(INDEX('BD Materiales'!D:D,MATCH("Cuartón 6 x 4 de eucalipto",'BD Materiales'!B:B,0)),"")</f>
        <v>2.15</v>
      </c>
      <c r="F58" s="170">
        <f>IFERROR(D58*E58,"")</f>
        <v>116.1</v>
      </c>
      <c r="G58" s="120"/>
      <c r="H58" s="108"/>
      <c r="I58" s="120"/>
      <c r="J58" s="108"/>
      <c r="K58" s="120">
        <v>54</v>
      </c>
      <c r="L58" s="108">
        <v>2.15</v>
      </c>
      <c r="M58" s="101" t="s">
        <v>647</v>
      </c>
    </row>
    <row r="59" spans="1:13" x14ac:dyDescent="0.25">
      <c r="A59" s="101"/>
      <c r="B59" s="101" t="s">
        <v>856</v>
      </c>
      <c r="C59" s="101" t="s">
        <v>15</v>
      </c>
      <c r="D59" s="152">
        <f>IFERROR(INDEX('BD Rendimientos'!G:G,MATCH("01.01.05|Disco diamante segmentado 9""|Uni.|materiales",'BD Rendimientos'!L:L,0)),"")</f>
        <v>1</v>
      </c>
      <c r="E59" s="161">
        <f>IFERROR(INDEX('BD Materiales'!D:D,MATCH("Disco diamante segmentado 9""",'BD Materiales'!B:B,0)),"")</f>
        <v>5.35</v>
      </c>
      <c r="F59" s="170">
        <f>IFERROR(D59*E59,"")</f>
        <v>5.35</v>
      </c>
      <c r="G59" s="120">
        <v>1</v>
      </c>
      <c r="H59" s="108">
        <v>5.59</v>
      </c>
      <c r="I59" s="120"/>
      <c r="J59" s="108"/>
      <c r="K59" s="120"/>
      <c r="L59" s="108"/>
      <c r="M59" s="101" t="s">
        <v>647</v>
      </c>
    </row>
    <row r="60" spans="1:13" x14ac:dyDescent="0.25">
      <c r="B60" t="s">
        <v>886</v>
      </c>
      <c r="C60" t="s">
        <v>15</v>
      </c>
      <c r="D60" s="150">
        <f>IFERROR(INDEX('BD Rendimientos'!G:G,MATCH("01.01.05|Inodoro Guachimania|Uni.|materiales",'BD Rendimientos'!L:L,0)),"")</f>
        <v>1</v>
      </c>
      <c r="E60" s="159">
        <f>IFERROR(INDEX('BD Materiales'!D:D,MATCH("Inodoro Guachimania",'BD Materiales'!B:B,0)),"")</f>
        <v>44</v>
      </c>
      <c r="F60" s="168">
        <f>IFERROR(D60*E60,"")</f>
        <v>44</v>
      </c>
      <c r="G60" s="118"/>
      <c r="H60" s="106"/>
      <c r="I60" s="118">
        <v>1</v>
      </c>
      <c r="J60" s="106">
        <v>42.47</v>
      </c>
      <c r="K60" s="118">
        <v>1</v>
      </c>
      <c r="L60" s="106">
        <v>45.53</v>
      </c>
    </row>
    <row r="61" spans="1:13" x14ac:dyDescent="0.25">
      <c r="B61" t="s">
        <v>891</v>
      </c>
      <c r="C61" t="s">
        <v>15</v>
      </c>
      <c r="D61" s="150">
        <f>IFERROR(INDEX('BD Rendimientos'!G:G,MATCH("01.01.05|Lavabo Guachimania|Uni.|materiales",'BD Rendimientos'!L:L,0)),"")</f>
        <v>1</v>
      </c>
      <c r="E61" s="159">
        <f>IFERROR(INDEX('BD Materiales'!D:D,MATCH("Lavabo Guachimania",'BD Materiales'!B:B,0)),"")</f>
        <v>44</v>
      </c>
      <c r="F61" s="168">
        <f>IFERROR(D61*E61,"")</f>
        <v>44</v>
      </c>
      <c r="G61" s="118"/>
      <c r="H61" s="106"/>
      <c r="I61" s="118">
        <v>1</v>
      </c>
      <c r="J61" s="106">
        <v>42.47</v>
      </c>
      <c r="K61" s="118">
        <v>1</v>
      </c>
      <c r="L61" s="106">
        <v>45.53</v>
      </c>
    </row>
    <row r="62" spans="1:13" x14ac:dyDescent="0.25">
      <c r="B62" t="s">
        <v>939</v>
      </c>
      <c r="C62" t="s">
        <v>15</v>
      </c>
      <c r="D62" s="150">
        <f>IFERROR(INDEX('BD Rendimientos'!G:G,MATCH("01.01.05|Pingos de 2.5 mts|Uni.|materiales",'BD Rendimientos'!L:L,0)),"")</f>
        <v>8.5</v>
      </c>
      <c r="E62" s="159">
        <f>IFERROR(INDEX('BD Materiales'!D:D,MATCH("Pingos de 2.5 mts",'BD Materiales'!B:B,0)),"")</f>
        <v>1.1206818181818179</v>
      </c>
      <c r="F62" s="168">
        <f>IFERROR(D62*E62,"")</f>
        <v>9.5257954545454524</v>
      </c>
      <c r="G62" s="118"/>
      <c r="H62" s="106"/>
      <c r="I62" s="118">
        <v>6</v>
      </c>
      <c r="J62" s="106">
        <v>1.1000000000000001</v>
      </c>
      <c r="K62" s="118">
        <v>11</v>
      </c>
      <c r="L62" s="106">
        <v>1.1000000000000001</v>
      </c>
    </row>
    <row r="63" spans="1:13" x14ac:dyDescent="0.25">
      <c r="A63" s="101"/>
      <c r="B63" s="101" t="s">
        <v>943</v>
      </c>
      <c r="C63" s="101" t="s">
        <v>15</v>
      </c>
      <c r="D63" s="152">
        <f>IFERROR(INDEX('BD Rendimientos'!G:G,MATCH("01.01.05|Pingos de 3 mts.|Uni.|materiales",'BD Rendimientos'!L:L,0)),"")</f>
        <v>24</v>
      </c>
      <c r="E63" s="161">
        <f>IFERROR(INDEX('BD Materiales'!D:D,MATCH("Pingos de 3 mts.",'BD Materiales'!B:B,0)),"")</f>
        <v>1.2</v>
      </c>
      <c r="F63" s="170">
        <f>IFERROR(D63*E63,"")</f>
        <v>28.799999999999997</v>
      </c>
      <c r="G63" s="120"/>
      <c r="H63" s="108"/>
      <c r="I63" s="120"/>
      <c r="J63" s="108"/>
      <c r="K63" s="120">
        <v>24</v>
      </c>
      <c r="L63" s="108">
        <v>1.2</v>
      </c>
      <c r="M63" s="101" t="s">
        <v>647</v>
      </c>
    </row>
    <row r="64" spans="1:13" x14ac:dyDescent="0.25">
      <c r="B64" t="s">
        <v>945</v>
      </c>
      <c r="C64" t="s">
        <v>15</v>
      </c>
      <c r="D64" s="150">
        <f>IFERROR(INDEX('BD Rendimientos'!G:G,MATCH("01.01.05|Pingos de 4 mts.|Uni.|materiales",'BD Rendimientos'!L:L,0)),"")</f>
        <v>4.5</v>
      </c>
      <c r="E64" s="159">
        <f>IFERROR(INDEX('BD Materiales'!D:D,MATCH("Pingos de 4 mts.",'BD Materiales'!B:B,0)),"")</f>
        <v>5.16</v>
      </c>
      <c r="F64" s="168">
        <f>IFERROR(D64*E64,"")</f>
        <v>23.22</v>
      </c>
      <c r="G64" s="118">
        <v>5</v>
      </c>
      <c r="H64" s="106">
        <v>6</v>
      </c>
      <c r="I64" s="118"/>
      <c r="J64" s="106"/>
      <c r="K64" s="118">
        <v>4</v>
      </c>
      <c r="L64" s="106">
        <v>4.32</v>
      </c>
    </row>
    <row r="65" spans="1:13" x14ac:dyDescent="0.25">
      <c r="B65" t="s">
        <v>947</v>
      </c>
      <c r="C65" t="s">
        <v>15</v>
      </c>
      <c r="D65" s="150">
        <f>IFERROR(INDEX('BD Rendimientos'!G:G,MATCH("01.01.05|Pingos de 6 mts.|Uni.|materiales",'BD Rendimientos'!L:L,0)),"")</f>
        <v>8.6666666666666661</v>
      </c>
      <c r="E65" s="159">
        <f>IFERROR(INDEX('BD Materiales'!D:D,MATCH("Pingos de 6 mts.",'BD Materiales'!B:B,0)),"")</f>
        <v>6.96</v>
      </c>
      <c r="F65" s="168">
        <f>IFERROR(D65*E65,"")</f>
        <v>60.319999999999993</v>
      </c>
      <c r="G65" s="118">
        <v>10</v>
      </c>
      <c r="H65" s="106">
        <v>7.2</v>
      </c>
      <c r="I65" s="118">
        <v>4</v>
      </c>
      <c r="J65" s="106">
        <v>6.48</v>
      </c>
      <c r="K65" s="118">
        <v>12</v>
      </c>
      <c r="L65" s="106">
        <v>7.2</v>
      </c>
    </row>
    <row r="66" spans="1:13" x14ac:dyDescent="0.25">
      <c r="B66" t="s">
        <v>145</v>
      </c>
      <c r="C66" t="s">
        <v>144</v>
      </c>
      <c r="D66" s="150">
        <f>IFERROR(INDEX('BD Rendimientos'!G:G,MATCH("01.01.05|Plastico Negro 1.5 mts (Plastico Negro 1.5 mts (2.20 mts x kg) (45 kilos))|rollo|materiales",'BD Rendimientos'!L:L,0)),"")</f>
        <v>0.80499999999999994</v>
      </c>
      <c r="E66" s="159">
        <f>IFERROR(INDEX('BD Materiales'!D:D,MATCH("Plastico Negro 1.5 mts (Plastico Negro 1.5 mts (2.20 mts x kg) (45 kilos))",'BD Materiales'!B:B,0)),"")</f>
        <v>67.732222222222219</v>
      </c>
      <c r="F66" s="168">
        <f>IFERROR(D66*E66,"")</f>
        <v>54.524438888888881</v>
      </c>
      <c r="G66" s="118"/>
      <c r="H66" s="106"/>
      <c r="I66" s="118">
        <v>1.2</v>
      </c>
      <c r="J66" s="106">
        <v>64.73</v>
      </c>
      <c r="K66" s="118">
        <v>0.41</v>
      </c>
      <c r="L66" s="106">
        <v>72.290000000000006</v>
      </c>
    </row>
    <row r="67" spans="1:13" x14ac:dyDescent="0.25">
      <c r="B67" t="s">
        <v>976</v>
      </c>
      <c r="C67" t="s">
        <v>15</v>
      </c>
      <c r="D67" s="150">
        <f>IFERROR(INDEX('BD Rendimientos'!G:G,MATCH("01.01.05|Riel de eucalipto|Uni.|materiales",'BD Rendimientos'!L:L,0)),"")</f>
        <v>18</v>
      </c>
      <c r="E67" s="159">
        <f>IFERROR(INDEX('BD Materiales'!D:D,MATCH("Riel de eucalipto",'BD Materiales'!B:B,0)),"")</f>
        <v>1.8182499999999999</v>
      </c>
      <c r="F67" s="168">
        <f>IFERROR(D67*E67,"")</f>
        <v>32.728499999999997</v>
      </c>
      <c r="G67" s="118">
        <v>18</v>
      </c>
      <c r="H67" s="106">
        <v>1.8025</v>
      </c>
      <c r="I67" s="118">
        <v>6</v>
      </c>
      <c r="J67" s="106">
        <v>1.82</v>
      </c>
      <c r="K67" s="118">
        <v>23</v>
      </c>
      <c r="L67" s="106">
        <v>1.85</v>
      </c>
      <c r="M67" t="s">
        <v>1920</v>
      </c>
    </row>
    <row r="68" spans="1:13" x14ac:dyDescent="0.25">
      <c r="B68" t="s">
        <v>606</v>
      </c>
      <c r="C68" t="s">
        <v>15</v>
      </c>
      <c r="D68" s="150">
        <f>IFERROR(INDEX('BD Rendimientos'!G:G,MATCH("01.01.05|Tablas de Monte|Uni.|materiales",'BD Rendimientos'!L:L,0)),"")</f>
        <v>34.666666666666664</v>
      </c>
      <c r="E68" s="159">
        <f>IFERROR(INDEX('BD Materiales'!D:D,MATCH("Tablas de Monte",'BD Materiales'!B:B,0)),"")</f>
        <v>2.4034925925925932</v>
      </c>
      <c r="F68" s="168">
        <f>IFERROR(D68*E68,"")</f>
        <v>83.321076543209898</v>
      </c>
      <c r="G68" s="118">
        <v>30</v>
      </c>
      <c r="H68" s="106">
        <v>2.3732000000000002</v>
      </c>
      <c r="I68" s="118">
        <v>32</v>
      </c>
      <c r="J68" s="106">
        <v>2.44</v>
      </c>
      <c r="K68" s="118">
        <v>42</v>
      </c>
      <c r="L68" s="106">
        <v>2.39</v>
      </c>
    </row>
    <row r="69" spans="1:13" x14ac:dyDescent="0.25">
      <c r="A69" s="101"/>
      <c r="B69" s="101" t="s">
        <v>1012</v>
      </c>
      <c r="C69" s="101" t="s">
        <v>15</v>
      </c>
      <c r="D69" s="152">
        <f>IFERROR(INDEX('BD Rendimientos'!G:G,MATCH("01.01.05|Tablón Rustico|Uni.|materiales",'BD Rendimientos'!L:L,0)),"")</f>
        <v>2</v>
      </c>
      <c r="E69" s="161">
        <f>IFERROR(INDEX('BD Materiales'!D:D,MATCH("Tablón Rustico",'BD Materiales'!B:B,0)),"")</f>
        <v>6.35</v>
      </c>
      <c r="F69" s="170">
        <f>IFERROR(D69*E69,"")</f>
        <v>12.7</v>
      </c>
      <c r="G69" s="120">
        <v>2</v>
      </c>
      <c r="H69" s="108">
        <v>6.35</v>
      </c>
      <c r="I69" s="120"/>
      <c r="J69" s="108"/>
      <c r="K69" s="120"/>
      <c r="L69" s="108"/>
      <c r="M69" s="101" t="s">
        <v>647</v>
      </c>
    </row>
    <row r="70" spans="1:13" x14ac:dyDescent="0.25">
      <c r="A70" s="101"/>
      <c r="B70" s="101" t="s">
        <v>456</v>
      </c>
      <c r="C70" s="101" t="s">
        <v>144</v>
      </c>
      <c r="D70" s="152">
        <f>IFERROR(INDEX('BD Rendimientos'!G:G,MATCH("01.01.05|Tela Arpillera Verde 1.90m (Tela Arpillera Verde 1.90m (Rollo 100m))|rollo|materiales",'BD Rendimientos'!L:L,0)),"")</f>
        <v>1.3</v>
      </c>
      <c r="E70" s="161">
        <f>IFERROR(INDEX('BD Materiales'!D:D,MATCH("Tela Arpillera Verde 1.90m (Tela Arpillera Verde 1.90m (Rollo 100m))",'BD Materiales'!B:B,0)),"")</f>
        <v>46.92</v>
      </c>
      <c r="F70" s="170">
        <f>IFERROR(D70*E70,"")</f>
        <v>60.996000000000002</v>
      </c>
      <c r="G70" s="120">
        <v>1.3</v>
      </c>
      <c r="H70" s="108">
        <v>46.92</v>
      </c>
      <c r="I70" s="120"/>
      <c r="J70" s="108"/>
      <c r="K70" s="120"/>
      <c r="L70" s="108"/>
      <c r="M70" s="101" t="s">
        <v>647</v>
      </c>
    </row>
    <row r="71" spans="1:13" x14ac:dyDescent="0.25">
      <c r="A71" s="101"/>
      <c r="B71" s="101" t="s">
        <v>1061</v>
      </c>
      <c r="C71" s="101" t="s">
        <v>15</v>
      </c>
      <c r="D71" s="152">
        <f>IFERROR(INDEX('BD Rendimientos'!G:G,MATCH("01.01.05|Zinc 2.40mts x 0.80 cm Cal.0.20|Uni.|materiales",'BD Rendimientos'!L:L,0)),"")</f>
        <v>2</v>
      </c>
      <c r="E71" s="161">
        <f>IFERROR(INDEX('BD Materiales'!D:D,MATCH("Zinc 2.40mts x 0.80 cm Cal.0.20",'BD Materiales'!B:B,0)),"")</f>
        <v>4.1849999999999996</v>
      </c>
      <c r="F71" s="170">
        <f>IFERROR(D71*E71,"")</f>
        <v>8.3699999999999992</v>
      </c>
      <c r="G71" s="120">
        <v>2</v>
      </c>
      <c r="H71" s="108">
        <v>4.1849999999999996</v>
      </c>
      <c r="I71" s="120"/>
      <c r="J71" s="108"/>
      <c r="K71" s="120"/>
      <c r="L71" s="108"/>
      <c r="M71" s="101" t="s">
        <v>647</v>
      </c>
    </row>
    <row r="72" spans="1:13" x14ac:dyDescent="0.25">
      <c r="B72" t="s">
        <v>1063</v>
      </c>
      <c r="C72" t="s">
        <v>15</v>
      </c>
      <c r="D72" s="150">
        <f>IFERROR(INDEX('BD Rendimientos'!G:G,MATCH("01.01.05|Zinc 3.60mts x 0.8mts Cal.0.20|Uni.|materiales",'BD Rendimientos'!L:L,0)),"")</f>
        <v>14</v>
      </c>
      <c r="E72" s="159">
        <f>IFERROR(INDEX('BD Materiales'!D:D,MATCH("Zinc 3.60mts x 0.8mts Cal.0.20",'BD Materiales'!B:B,0)),"")</f>
        <v>7.5173333333333332</v>
      </c>
      <c r="F72" s="168">
        <f>IFERROR(D72*E72,"")</f>
        <v>105.24266666666666</v>
      </c>
      <c r="G72" s="118">
        <v>16</v>
      </c>
      <c r="H72" s="106">
        <v>6.4020000000000001</v>
      </c>
      <c r="I72" s="118">
        <v>12</v>
      </c>
      <c r="J72" s="106">
        <v>7.91</v>
      </c>
      <c r="K72" s="118">
        <v>14</v>
      </c>
      <c r="L72" s="106">
        <v>8.24</v>
      </c>
    </row>
    <row r="73" spans="1:13" x14ac:dyDescent="0.25">
      <c r="A73" s="99" t="s">
        <v>5</v>
      </c>
      <c r="B73" s="99"/>
      <c r="C73" s="99"/>
      <c r="D73" s="149"/>
      <c r="E73" s="158"/>
      <c r="F73" s="167"/>
      <c r="G73" s="117"/>
      <c r="H73" s="105"/>
      <c r="I73" s="117"/>
      <c r="J73" s="105"/>
      <c r="K73" s="117"/>
      <c r="L73" s="105"/>
      <c r="M73" s="99"/>
    </row>
    <row r="74" spans="1:13" x14ac:dyDescent="0.25">
      <c r="B74" t="s">
        <v>459</v>
      </c>
      <c r="C74" t="s">
        <v>88</v>
      </c>
      <c r="D74" s="150">
        <f>IFERROR(INDEX('BD Rendimientos'!G:G,MATCH("01.01.05|M. Guachimanía de obra, baños, vestidores de obra y otros provisionales|Glb|mano_obra",'BD Rendimientos'!L:L,0)),"")</f>
        <v>1</v>
      </c>
      <c r="E74" s="159">
        <f>IFERROR(INDEX('BD Mano de Obra'!D:D,MATCH("M. Guachimanía de obra, baños, vestidores de obra y otros provisionales",'BD Mano de Obra'!B:B,0)),"")</f>
        <v>200</v>
      </c>
      <c r="F74" s="168">
        <f>IFERROR(D74*E74,"")</f>
        <v>200</v>
      </c>
      <c r="G74" s="118">
        <v>1</v>
      </c>
      <c r="H74" s="106">
        <v>200</v>
      </c>
      <c r="I74" s="118">
        <v>1</v>
      </c>
      <c r="J74" s="106">
        <v>200</v>
      </c>
      <c r="K74" s="118">
        <v>1</v>
      </c>
      <c r="L74" s="106">
        <v>200</v>
      </c>
    </row>
    <row r="75" spans="1:13" ht="16.5" thickBot="1" x14ac:dyDescent="0.3">
      <c r="A75" s="100"/>
      <c r="B75" s="100" t="s">
        <v>645</v>
      </c>
      <c r="C75" s="100" t="s">
        <v>88</v>
      </c>
      <c r="D75" s="151"/>
      <c r="E75" s="160"/>
      <c r="F75" s="169">
        <f>SUM(F47,F48,F49,F50,F51,F52,F53,F54,F55,F56,F57,F58,F59,F60,F61,F62,F63,F64,F65,F66,F67,F68,F69,F70,F71,F72,F74)</f>
        <v>1282.3634863252407</v>
      </c>
      <c r="G75" s="119"/>
      <c r="H75" s="107">
        <v>3.09463413135007</v>
      </c>
      <c r="I75" s="119"/>
      <c r="J75" s="107">
        <v>2.4544618843081398</v>
      </c>
      <c r="K75" s="119"/>
      <c r="L75" s="107">
        <v>0.93983156102891696</v>
      </c>
      <c r="M75" s="100" t="s">
        <v>646</v>
      </c>
    </row>
    <row r="76" spans="1:13" ht="16.5" thickTop="1" thickBot="1" x14ac:dyDescent="0.3">
      <c r="D76" s="150"/>
      <c r="E76" s="159"/>
      <c r="F76" s="168"/>
      <c r="G76" s="118"/>
      <c r="H76" s="106"/>
      <c r="I76" s="118"/>
      <c r="J76" s="106"/>
      <c r="K76" s="118"/>
      <c r="L76" s="106"/>
    </row>
    <row r="77" spans="1:13" ht="15.75" thickTop="1" x14ac:dyDescent="0.25">
      <c r="A77" s="97" t="s">
        <v>458</v>
      </c>
      <c r="B77" s="97" t="s">
        <v>457</v>
      </c>
      <c r="C77" s="97" t="s">
        <v>3</v>
      </c>
      <c r="D77" s="148" t="s">
        <v>635</v>
      </c>
      <c r="E77" s="157" t="s">
        <v>636</v>
      </c>
      <c r="F77" s="166" t="s">
        <v>637</v>
      </c>
      <c r="G77" s="116" t="s">
        <v>638</v>
      </c>
      <c r="H77" s="104" t="s">
        <v>639</v>
      </c>
      <c r="I77" s="116" t="s">
        <v>640</v>
      </c>
      <c r="J77" s="104" t="s">
        <v>641</v>
      </c>
      <c r="K77" s="116" t="s">
        <v>642</v>
      </c>
      <c r="L77" s="104" t="s">
        <v>643</v>
      </c>
      <c r="M77" s="97" t="s">
        <v>644</v>
      </c>
    </row>
    <row r="78" spans="1:13" x14ac:dyDescent="0.25">
      <c r="A78" s="99" t="s">
        <v>11</v>
      </c>
      <c r="B78" s="99"/>
      <c r="C78" s="99"/>
      <c r="D78" s="149"/>
      <c r="E78" s="158"/>
      <c r="F78" s="167"/>
      <c r="G78" s="117"/>
      <c r="H78" s="105"/>
      <c r="I78" s="117"/>
      <c r="J78" s="105"/>
      <c r="K78" s="117"/>
      <c r="L78" s="105"/>
      <c r="M78" s="99"/>
    </row>
    <row r="79" spans="1:13" x14ac:dyDescent="0.25">
      <c r="A79" s="101"/>
      <c r="B79" s="101" t="s">
        <v>788</v>
      </c>
      <c r="C79" s="101" t="s">
        <v>8</v>
      </c>
      <c r="D79" s="152">
        <f>IFERROR(INDEX('BD Rendimientos'!G:G,MATCH("01.01.08|Cemento Campeon HS 50KG|qq|materiales",'BD Rendimientos'!L:L,0)),"")</f>
        <v>4.9920127795527154E-3</v>
      </c>
      <c r="E79" s="161">
        <f>IFERROR(INDEX('BD Materiales'!D:D,MATCH("Cemento Campeon HS 50KG",'BD Materiales'!B:B,0)),"")</f>
        <v>6.7489472778273614</v>
      </c>
      <c r="F79" s="170">
        <f>IFERROR(D79*E79,"")</f>
        <v>3.3690831059441699E-2</v>
      </c>
      <c r="G79" s="120"/>
      <c r="H79" s="108"/>
      <c r="I79" s="120"/>
      <c r="J79" s="108"/>
      <c r="K79" s="120">
        <v>1</v>
      </c>
      <c r="L79" s="108">
        <v>6.76</v>
      </c>
      <c r="M79" s="101" t="s">
        <v>647</v>
      </c>
    </row>
    <row r="80" spans="1:13" x14ac:dyDescent="0.25">
      <c r="B80" t="s">
        <v>824</v>
      </c>
      <c r="C80" t="s">
        <v>30</v>
      </c>
      <c r="D80" s="150">
        <f>IFERROR(INDEX('BD Rendimientos'!G:G,MATCH("01.01.08|Clavos galvanizados 2''|Kg.|materiales",'BD Rendimientos'!L:L,0)),"")</f>
        <v>3.0673839200908295E-2</v>
      </c>
      <c r="E80" s="159">
        <f>IFERROR(INDEX('BD Materiales'!D:D,MATCH("Clavos galvanizados 2''",'BD Materiales'!B:B,0)),"")</f>
        <v>1.9257894736842103</v>
      </c>
      <c r="F80" s="168">
        <f>IFERROR(D80*E80,"")</f>
        <v>5.9071356650591281E-2</v>
      </c>
      <c r="G80" s="118">
        <v>7.9</v>
      </c>
      <c r="H80" s="106">
        <v>1.59</v>
      </c>
      <c r="I80" s="118">
        <v>0.5</v>
      </c>
      <c r="J80" s="106">
        <v>2.2999999999999998</v>
      </c>
      <c r="K80" s="118"/>
      <c r="L80" s="106"/>
      <c r="M80" t="s">
        <v>1920</v>
      </c>
    </row>
    <row r="81" spans="1:13" x14ac:dyDescent="0.25">
      <c r="B81" t="s">
        <v>820</v>
      </c>
      <c r="C81" t="s">
        <v>30</v>
      </c>
      <c r="D81" s="150">
        <f>IFERROR(INDEX('BD Rendimientos'!G:G,MATCH("01.01.08|Clavos galvanizados 2 1/2''|Kg.|materiales",'BD Rendimientos'!L:L,0)),"")</f>
        <v>1.0940919037199124E-2</v>
      </c>
      <c r="E81" s="159">
        <f>IFERROR(INDEX('BD Materiales'!D:D,MATCH("Clavos galvanizados 2 1/2''",'BD Materiales'!B:B,0)),"")</f>
        <v>1.8223333333333334</v>
      </c>
      <c r="F81" s="168">
        <f>IFERROR(D81*E81,"")</f>
        <v>1.9938001458789205E-2</v>
      </c>
      <c r="G81" s="118">
        <v>1.5</v>
      </c>
      <c r="H81" s="106">
        <v>1.71</v>
      </c>
      <c r="I81" s="118">
        <v>5</v>
      </c>
      <c r="J81" s="106">
        <v>1.94</v>
      </c>
      <c r="K81" s="118">
        <v>1.5</v>
      </c>
      <c r="L81" s="106">
        <v>1.96</v>
      </c>
      <c r="M81" t="s">
        <v>1920</v>
      </c>
    </row>
    <row r="82" spans="1:13" x14ac:dyDescent="0.25">
      <c r="A82" s="101"/>
      <c r="B82" s="101" t="s">
        <v>836</v>
      </c>
      <c r="C82" s="101" t="s">
        <v>15</v>
      </c>
      <c r="D82" s="152">
        <f>IFERROR(INDEX('BD Rendimientos'!G:G,MATCH("01.01.08|Cuartón 6 x 4 de eucalipto|Uni.|materiales",'BD Rendimientos'!L:L,0)),"")</f>
        <v>0.3865791393143691</v>
      </c>
      <c r="E82" s="161">
        <f>IFERROR(INDEX('BD Materiales'!D:D,MATCH("Cuartón 6 x 4 de eucalipto",'BD Materiales'!B:B,0)),"")</f>
        <v>2.15</v>
      </c>
      <c r="F82" s="170">
        <f>IFERROR(D82*E82,"")</f>
        <v>0.83114514952589358</v>
      </c>
      <c r="G82" s="120">
        <v>53</v>
      </c>
      <c r="H82" s="108">
        <v>2.15</v>
      </c>
      <c r="I82" s="120"/>
      <c r="J82" s="108"/>
      <c r="K82" s="120"/>
      <c r="L82" s="108"/>
      <c r="M82" s="101" t="s">
        <v>647</v>
      </c>
    </row>
    <row r="83" spans="1:13" x14ac:dyDescent="0.25">
      <c r="B83" t="s">
        <v>939</v>
      </c>
      <c r="C83" t="s">
        <v>15</v>
      </c>
      <c r="D83" s="150">
        <f>IFERROR(INDEX('BD Rendimientos'!G:G,MATCH("01.01.08|Pingos de 2.5 mts|Uni.|materiales",'BD Rendimientos'!L:L,0)),"")</f>
        <v>0.16046681254558717</v>
      </c>
      <c r="E83" s="159">
        <f>IFERROR(INDEX('BD Materiales'!D:D,MATCH("Pingos de 2.5 mts",'BD Materiales'!B:B,0)),"")</f>
        <v>1.1206818181818179</v>
      </c>
      <c r="F83" s="168">
        <f>IFERROR(D83*E83,"")</f>
        <v>0.17983223924142958</v>
      </c>
      <c r="G83" s="118">
        <v>22</v>
      </c>
      <c r="H83" s="106">
        <v>1.17</v>
      </c>
      <c r="I83" s="118">
        <v>35</v>
      </c>
      <c r="J83" s="106">
        <v>1.1000000000000001</v>
      </c>
      <c r="K83" s="118">
        <v>15</v>
      </c>
      <c r="L83" s="106">
        <v>1.1000000000000001</v>
      </c>
      <c r="M83" t="s">
        <v>1920</v>
      </c>
    </row>
    <row r="84" spans="1:13" x14ac:dyDescent="0.25">
      <c r="B84" t="s">
        <v>943</v>
      </c>
      <c r="C84" t="s">
        <v>15</v>
      </c>
      <c r="D84" s="150">
        <f>IFERROR(INDEX('BD Rendimientos'!G:G,MATCH("01.01.08|Pingos de 3 mts.|Uni.|materiales",'BD Rendimientos'!L:L,0)),"")</f>
        <v>0.21479673368707808</v>
      </c>
      <c r="E84" s="159">
        <f>IFERROR(INDEX('BD Materiales'!D:D,MATCH("Pingos de 3 mts.",'BD Materiales'!B:B,0)),"")</f>
        <v>1.2</v>
      </c>
      <c r="F84" s="168">
        <f>IFERROR(D84*E84,"")</f>
        <v>0.25775608042449366</v>
      </c>
      <c r="G84" s="118">
        <v>50</v>
      </c>
      <c r="H84" s="106">
        <v>1.2</v>
      </c>
      <c r="I84" s="118"/>
      <c r="J84" s="106"/>
      <c r="K84" s="118">
        <v>13</v>
      </c>
      <c r="L84" s="106">
        <v>1.2</v>
      </c>
      <c r="M84" t="s">
        <v>1920</v>
      </c>
    </row>
    <row r="85" spans="1:13" x14ac:dyDescent="0.25">
      <c r="A85" s="102"/>
      <c r="B85" s="102" t="s">
        <v>456</v>
      </c>
      <c r="C85" s="102" t="s">
        <v>144</v>
      </c>
      <c r="D85" s="153">
        <f>IFERROR(INDEX('BD Rendimientos'!G:G,MATCH("01.01.08|Tela Arpillera Verde 1.90m (Tela Arpillera Verde 1.90m (Rollo 100m))|rollo|materiales",'BD Rendimientos'!L:L,0)),"")</f>
        <v>0.4518340312684242</v>
      </c>
      <c r="E85" s="162">
        <f>IFERROR(INDEX('BD Materiales'!D:D,MATCH("Tela Arpillera Verde 1.90m (Tela Arpillera Verde 1.90m (Rollo 100m))",'BD Materiales'!B:B,0)),"")</f>
        <v>46.92</v>
      </c>
      <c r="F85" s="171">
        <f>IFERROR(D85*E85,"")</f>
        <v>21.200052747114466</v>
      </c>
      <c r="G85" s="121">
        <v>0.7</v>
      </c>
      <c r="H85" s="109">
        <v>46.93</v>
      </c>
      <c r="I85" s="121"/>
      <c r="J85" s="109"/>
      <c r="K85" s="121">
        <v>180</v>
      </c>
      <c r="L85" s="109">
        <v>0.61</v>
      </c>
      <c r="M85" s="102" t="s">
        <v>649</v>
      </c>
    </row>
    <row r="86" spans="1:13" x14ac:dyDescent="0.25">
      <c r="A86" s="101"/>
      <c r="B86" s="101" t="s">
        <v>454</v>
      </c>
      <c r="C86" s="101" t="s">
        <v>102</v>
      </c>
      <c r="D86" s="152">
        <f>IFERROR(INDEX('BD Rendimientos'!G:G,MATCH("01.01.08|Tela Verde UV 2.00 mts. (Tela Verde UV 2.00 mts)|mts.|materiales",'BD Rendimientos'!L:L,0)),"")</f>
        <v>0.3494408945686901</v>
      </c>
      <c r="E86" s="161">
        <f>IFERROR(INDEX('BD Materiales'!D:D,MATCH("Tela Verde UV 2.00 mts. (Tela Verde UV 2.00 mts)",'BD Materiales'!B:B,0)),"")</f>
        <v>0.56000000000000005</v>
      </c>
      <c r="F86" s="170">
        <f>IFERROR(D86*E86,"")</f>
        <v>0.19568690095846647</v>
      </c>
      <c r="G86" s="120"/>
      <c r="H86" s="108"/>
      <c r="I86" s="120"/>
      <c r="J86" s="108"/>
      <c r="K86" s="120">
        <v>70</v>
      </c>
      <c r="L86" s="108">
        <v>0.56000000000000005</v>
      </c>
      <c r="M86" s="101" t="s">
        <v>647</v>
      </c>
    </row>
    <row r="87" spans="1:13" x14ac:dyDescent="0.25">
      <c r="A87" s="101"/>
      <c r="B87" s="101" t="s">
        <v>239</v>
      </c>
      <c r="C87" s="101" t="s">
        <v>3</v>
      </c>
      <c r="D87" s="152">
        <f>IFERROR(INDEX('BD Rendimientos'!G:G,MATCH("01.01.08|Tela Zaran Verde 2.10m (Tela Zaran Verde 2.10m (Rollo 100m))|ml|materiales",'BD Rendimientos'!L:L,0)),"")</f>
        <v>1.1176514417703598</v>
      </c>
      <c r="E87" s="161">
        <f>IFERROR(INDEX('BD Materiales'!D:D,MATCH("Tela Zaran Verde 2.10m (Tela Zaran Verde 2.10m (Rollo 100m))",'BD Materiales'!B:B,0)),"")</f>
        <v>0.64426666666666699</v>
      </c>
      <c r="F87" s="170">
        <f>IFERROR(D87*E87,"")</f>
        <v>0.72006556888458417</v>
      </c>
      <c r="G87" s="120"/>
      <c r="H87" s="108"/>
      <c r="I87" s="120">
        <v>150</v>
      </c>
      <c r="J87" s="108">
        <v>0.64426666666666699</v>
      </c>
      <c r="K87" s="120"/>
      <c r="L87" s="108"/>
      <c r="M87" s="101" t="s">
        <v>647</v>
      </c>
    </row>
    <row r="88" spans="1:13" x14ac:dyDescent="0.25">
      <c r="B88" t="s">
        <v>1027</v>
      </c>
      <c r="C88" t="s">
        <v>15</v>
      </c>
      <c r="D88" s="150">
        <f>IFERROR(INDEX('BD Rendimientos'!G:G,MATCH("01.01.08|Tiras de 3x3|Uni.|materiales",'BD Rendimientos'!L:L,0)),"")</f>
        <v>0.27627158870253032</v>
      </c>
      <c r="E88" s="159">
        <f>IFERROR(INDEX('BD Materiales'!D:D,MATCH("Tiras de 3x3",'BD Materiales'!B:B,0)),"")</f>
        <v>1.5349999999999999</v>
      </c>
      <c r="F88" s="168">
        <f>IFERROR(D88*E88,"")</f>
        <v>0.424076888658384</v>
      </c>
      <c r="G88" s="118">
        <v>40</v>
      </c>
      <c r="H88" s="106">
        <v>1.68</v>
      </c>
      <c r="I88" s="118">
        <v>35</v>
      </c>
      <c r="J88" s="106">
        <v>1.39</v>
      </c>
      <c r="K88" s="118"/>
      <c r="L88" s="106"/>
    </row>
    <row r="89" spans="1:13" x14ac:dyDescent="0.25">
      <c r="A89" s="99" t="s">
        <v>5</v>
      </c>
      <c r="B89" s="99"/>
      <c r="C89" s="99"/>
      <c r="D89" s="149"/>
      <c r="E89" s="158"/>
      <c r="F89" s="167"/>
      <c r="G89" s="117"/>
      <c r="H89" s="105"/>
      <c r="I89" s="117"/>
      <c r="J89" s="105"/>
      <c r="K89" s="117"/>
      <c r="L89" s="105"/>
      <c r="M89" s="99"/>
    </row>
    <row r="90" spans="1:13" x14ac:dyDescent="0.25">
      <c r="B90" t="s">
        <v>453</v>
      </c>
      <c r="C90" t="s">
        <v>3</v>
      </c>
      <c r="D90" s="150">
        <f>IFERROR(INDEX('BD Rendimientos'!G:G,MATCH("01.01.08|M. Cerramiento provisional de zaram y pingos|ml|mano_obra",'BD Rendimientos'!L:L,0)),"")</f>
        <v>1</v>
      </c>
      <c r="E90" s="159">
        <f>IFERROR(INDEX('BD Mano de Obra'!D:D,MATCH("M. Cerramiento provisional de zaram y pingos",'BD Mano de Obra'!B:B,0)),"")</f>
        <v>2.14</v>
      </c>
      <c r="F90" s="168">
        <f>IFERROR(D90*E90,"")</f>
        <v>2.14</v>
      </c>
      <c r="G90" s="118">
        <v>137.1</v>
      </c>
      <c r="H90" s="106">
        <v>2.14</v>
      </c>
      <c r="I90" s="118">
        <v>134.21</v>
      </c>
      <c r="J90" s="106">
        <v>2.14</v>
      </c>
      <c r="K90" s="118">
        <v>200.32</v>
      </c>
      <c r="L90" s="106">
        <v>2.14</v>
      </c>
    </row>
    <row r="91" spans="1:13" ht="16.5" thickBot="1" x14ac:dyDescent="0.3">
      <c r="A91" s="100"/>
      <c r="B91" s="100" t="s">
        <v>645</v>
      </c>
      <c r="C91" s="100" t="s">
        <v>3</v>
      </c>
      <c r="D91" s="151"/>
      <c r="E91" s="160"/>
      <c r="F91" s="169">
        <f>SUM(F79,F80,F81,F82,F83,F84,F85,F86,F87,F88,F90)</f>
        <v>26.061315763976541</v>
      </c>
      <c r="G91" s="119"/>
      <c r="H91" s="107">
        <v>4.4366229029905204</v>
      </c>
      <c r="I91" s="119"/>
      <c r="J91" s="107">
        <v>3.5902645108412199</v>
      </c>
      <c r="K91" s="119"/>
      <c r="L91" s="107">
        <v>3.0924760383386598</v>
      </c>
      <c r="M91" s="100" t="s">
        <v>646</v>
      </c>
    </row>
    <row r="92" spans="1:13" ht="16.5" thickTop="1" thickBot="1" x14ac:dyDescent="0.3">
      <c r="D92" s="150"/>
      <c r="E92" s="159"/>
      <c r="F92" s="168"/>
      <c r="G92" s="118"/>
      <c r="H92" s="106"/>
      <c r="I92" s="118"/>
      <c r="J92" s="106"/>
      <c r="K92" s="118"/>
      <c r="L92" s="106"/>
    </row>
    <row r="93" spans="1:13" ht="15.75" thickTop="1" x14ac:dyDescent="0.25">
      <c r="A93" s="98" t="s">
        <v>452</v>
      </c>
      <c r="B93" s="98" t="s">
        <v>451</v>
      </c>
      <c r="C93" s="98" t="s">
        <v>88</v>
      </c>
      <c r="D93" s="154" t="s">
        <v>635</v>
      </c>
      <c r="E93" s="163" t="s">
        <v>636</v>
      </c>
      <c r="F93" s="172" t="s">
        <v>637</v>
      </c>
      <c r="G93" s="122" t="s">
        <v>638</v>
      </c>
      <c r="H93" s="110" t="s">
        <v>639</v>
      </c>
      <c r="I93" s="122" t="s">
        <v>640</v>
      </c>
      <c r="J93" s="110" t="s">
        <v>641</v>
      </c>
      <c r="K93" s="122" t="s">
        <v>642</v>
      </c>
      <c r="L93" s="110" t="s">
        <v>643</v>
      </c>
      <c r="M93" s="98" t="s">
        <v>668</v>
      </c>
    </row>
    <row r="94" spans="1:13" x14ac:dyDescent="0.25">
      <c r="A94" s="99" t="s">
        <v>5</v>
      </c>
      <c r="B94" s="99"/>
      <c r="C94" s="99"/>
      <c r="D94" s="149"/>
      <c r="E94" s="158"/>
      <c r="F94" s="167"/>
      <c r="G94" s="117"/>
      <c r="H94" s="105"/>
      <c r="I94" s="117"/>
      <c r="J94" s="105"/>
      <c r="K94" s="117"/>
      <c r="L94" s="105"/>
      <c r="M94" s="99"/>
    </row>
    <row r="95" spans="1:13" x14ac:dyDescent="0.25">
      <c r="A95" s="101"/>
      <c r="B95" s="101" t="s">
        <v>450</v>
      </c>
      <c r="C95" s="101" t="s">
        <v>88</v>
      </c>
      <c r="D95" s="152">
        <f>IFERROR(INDEX('BD Rendimientos'!G:G,MATCH("01.01.09|M. Desmontaje de guachimanía de obra, baños, vestidores de obra y otros provisionales|Glb|mano_obra",'BD Rendimientos'!L:L,0)),"")</f>
        <v>1</v>
      </c>
      <c r="E95" s="161">
        <f>IFERROR(INDEX('BD Mano de Obra'!D:D,MATCH("M. Desmontaje de guachimanía de obra, baños, vestidores de obra y otros provisionales",'BD Mano de Obra'!B:B,0)),"")</f>
        <v>89.29</v>
      </c>
      <c r="F95" s="170">
        <f>IFERROR(D95*E95,"")</f>
        <v>89.29</v>
      </c>
      <c r="G95" s="120"/>
      <c r="H95" s="108"/>
      <c r="I95" s="120"/>
      <c r="J95" s="108"/>
      <c r="K95" s="120">
        <v>1</v>
      </c>
      <c r="L95" s="108">
        <v>89.29</v>
      </c>
      <c r="M95" s="101" t="s">
        <v>647</v>
      </c>
    </row>
    <row r="96" spans="1:13" ht="16.5" thickBot="1" x14ac:dyDescent="0.3">
      <c r="A96" s="100"/>
      <c r="B96" s="100" t="s">
        <v>645</v>
      </c>
      <c r="C96" s="100" t="s">
        <v>88</v>
      </c>
      <c r="D96" s="151"/>
      <c r="E96" s="160"/>
      <c r="F96" s="169">
        <f>SUM(F95)</f>
        <v>89.29</v>
      </c>
      <c r="G96" s="119"/>
      <c r="H96" s="107"/>
      <c r="I96" s="119"/>
      <c r="J96" s="107"/>
      <c r="K96" s="119"/>
      <c r="L96" s="107">
        <v>89.29</v>
      </c>
      <c r="M96" s="100" t="s">
        <v>646</v>
      </c>
    </row>
    <row r="97" spans="1:13" ht="15.75" thickTop="1" x14ac:dyDescent="0.25">
      <c r="D97" s="150"/>
      <c r="E97" s="159"/>
      <c r="F97" s="168"/>
      <c r="G97" s="118"/>
      <c r="H97" s="106"/>
      <c r="I97" s="118"/>
      <c r="J97" s="106"/>
      <c r="K97" s="118"/>
      <c r="L97" s="106"/>
    </row>
    <row r="98" spans="1:13" ht="17.25" x14ac:dyDescent="0.3">
      <c r="A98" s="95" t="s">
        <v>449</v>
      </c>
      <c r="B98" s="95"/>
      <c r="C98" s="95"/>
      <c r="D98" s="147"/>
      <c r="E98" s="156"/>
      <c r="F98" s="165"/>
      <c r="G98" s="115"/>
      <c r="H98" s="103"/>
      <c r="I98" s="115"/>
      <c r="J98" s="103"/>
      <c r="K98" s="115"/>
      <c r="L98" s="103"/>
      <c r="M98" s="95"/>
    </row>
    <row r="99" spans="1:13" ht="15.75" thickBot="1" x14ac:dyDescent="0.3">
      <c r="A99" s="96" t="s">
        <v>448</v>
      </c>
      <c r="B99" s="96"/>
      <c r="C99" s="96"/>
      <c r="D99" s="155"/>
      <c r="E99" s="164"/>
      <c r="F99" s="173"/>
      <c r="G99" s="123"/>
      <c r="H99" s="111"/>
      <c r="I99" s="123"/>
      <c r="J99" s="111"/>
      <c r="K99" s="123"/>
      <c r="L99" s="111"/>
      <c r="M99" s="96"/>
    </row>
    <row r="100" spans="1:13" ht="15.75" thickTop="1" x14ac:dyDescent="0.25">
      <c r="A100" s="97" t="s">
        <v>447</v>
      </c>
      <c r="B100" s="97" t="s">
        <v>446</v>
      </c>
      <c r="C100" s="97" t="s">
        <v>6</v>
      </c>
      <c r="D100" s="148" t="s">
        <v>635</v>
      </c>
      <c r="E100" s="157" t="s">
        <v>636</v>
      </c>
      <c r="F100" s="166" t="s">
        <v>637</v>
      </c>
      <c r="G100" s="116" t="s">
        <v>638</v>
      </c>
      <c r="H100" s="104" t="s">
        <v>639</v>
      </c>
      <c r="I100" s="116" t="s">
        <v>640</v>
      </c>
      <c r="J100" s="104" t="s">
        <v>641</v>
      </c>
      <c r="K100" s="116" t="s">
        <v>642</v>
      </c>
      <c r="L100" s="104" t="s">
        <v>643</v>
      </c>
      <c r="M100" s="97" t="s">
        <v>644</v>
      </c>
    </row>
    <row r="101" spans="1:13" x14ac:dyDescent="0.25">
      <c r="A101" s="99" t="s">
        <v>2</v>
      </c>
      <c r="B101" s="99"/>
      <c r="C101" s="99"/>
      <c r="D101" s="149"/>
      <c r="E101" s="158"/>
      <c r="F101" s="167"/>
      <c r="G101" s="117"/>
      <c r="H101" s="105"/>
      <c r="I101" s="117"/>
      <c r="J101" s="105"/>
      <c r="K101" s="117"/>
      <c r="L101" s="105"/>
      <c r="M101" s="99"/>
    </row>
    <row r="102" spans="1:13" x14ac:dyDescent="0.25">
      <c r="B102" t="s">
        <v>445</v>
      </c>
      <c r="C102" t="s">
        <v>6</v>
      </c>
      <c r="D102" s="150">
        <f>IFERROR(INDEX('BD Rendimientos'!G:G,MATCH("02.01.01|M. Excavación mecánica en banco para conformación de plataforma|m3|equipo",'BD Rendimientos'!L:L,0)),"")</f>
        <v>1</v>
      </c>
      <c r="E102" s="159">
        <f>IFERROR(INDEX('BD Equipo'!D:D,MATCH("M. Excavación mecánica en banco para conformación de plataforma",'BD Equipo'!B:B,0)),"")</f>
        <v>1.1600000000000001</v>
      </c>
      <c r="F102" s="168">
        <f>IFERROR(D102*E102,"")</f>
        <v>1.1600000000000001</v>
      </c>
      <c r="G102" s="118"/>
      <c r="H102" s="106"/>
      <c r="I102" s="118">
        <v>618</v>
      </c>
      <c r="J102" s="106">
        <v>1.25</v>
      </c>
      <c r="K102" s="118">
        <v>3661.87</v>
      </c>
      <c r="L102" s="106">
        <v>1.07</v>
      </c>
    </row>
    <row r="103" spans="1:13" ht="16.5" thickBot="1" x14ac:dyDescent="0.3">
      <c r="A103" s="100"/>
      <c r="B103" s="100" t="s">
        <v>645</v>
      </c>
      <c r="C103" s="100" t="s">
        <v>6</v>
      </c>
      <c r="D103" s="151"/>
      <c r="E103" s="160"/>
      <c r="F103" s="169">
        <f>SUM(F102)</f>
        <v>1.1600000000000001</v>
      </c>
      <c r="G103" s="119"/>
      <c r="H103" s="107"/>
      <c r="I103" s="119"/>
      <c r="J103" s="107">
        <v>1.25</v>
      </c>
      <c r="K103" s="119"/>
      <c r="L103" s="107">
        <v>1.07</v>
      </c>
      <c r="M103" s="100" t="s">
        <v>646</v>
      </c>
    </row>
    <row r="104" spans="1:13" ht="15.75" thickTop="1" x14ac:dyDescent="0.25">
      <c r="D104" s="150"/>
      <c r="E104" s="159"/>
      <c r="F104" s="168"/>
      <c r="G104" s="118"/>
      <c r="H104" s="106"/>
      <c r="I104" s="118"/>
      <c r="J104" s="106"/>
      <c r="K104" s="118"/>
      <c r="L104" s="106"/>
    </row>
    <row r="105" spans="1:13" ht="15.75" thickBot="1" x14ac:dyDescent="0.3">
      <c r="A105" s="96" t="s">
        <v>448</v>
      </c>
      <c r="B105" s="96"/>
      <c r="C105" s="96"/>
      <c r="D105" s="155"/>
      <c r="E105" s="164"/>
      <c r="F105" s="173"/>
      <c r="G105" s="123"/>
      <c r="H105" s="111"/>
      <c r="I105" s="123"/>
      <c r="J105" s="111"/>
      <c r="K105" s="123"/>
      <c r="L105" s="111"/>
      <c r="M105" s="96"/>
    </row>
    <row r="106" spans="1:13" ht="15.75" thickTop="1" x14ac:dyDescent="0.25">
      <c r="A106" s="97" t="s">
        <v>444</v>
      </c>
      <c r="B106" s="97" t="s">
        <v>443</v>
      </c>
      <c r="C106" s="97" t="s">
        <v>6</v>
      </c>
      <c r="D106" s="148" t="s">
        <v>635</v>
      </c>
      <c r="E106" s="157" t="s">
        <v>636</v>
      </c>
      <c r="F106" s="166" t="s">
        <v>637</v>
      </c>
      <c r="G106" s="116" t="s">
        <v>638</v>
      </c>
      <c r="H106" s="104" t="s">
        <v>639</v>
      </c>
      <c r="I106" s="116" t="s">
        <v>640</v>
      </c>
      <c r="J106" s="104" t="s">
        <v>641</v>
      </c>
      <c r="K106" s="116" t="s">
        <v>642</v>
      </c>
      <c r="L106" s="104" t="s">
        <v>643</v>
      </c>
      <c r="M106" s="97" t="s">
        <v>644</v>
      </c>
    </row>
    <row r="107" spans="1:13" x14ac:dyDescent="0.25">
      <c r="A107" s="99" t="s">
        <v>2</v>
      </c>
      <c r="B107" s="99"/>
      <c r="C107" s="99"/>
      <c r="D107" s="149"/>
      <c r="E107" s="158"/>
      <c r="F107" s="167"/>
      <c r="G107" s="117"/>
      <c r="H107" s="105"/>
      <c r="I107" s="117"/>
      <c r="J107" s="105"/>
      <c r="K107" s="117"/>
      <c r="L107" s="105"/>
      <c r="M107" s="99"/>
    </row>
    <row r="108" spans="1:13" x14ac:dyDescent="0.25">
      <c r="A108" s="102"/>
      <c r="B108" s="102" t="s">
        <v>442</v>
      </c>
      <c r="C108" s="102" t="s">
        <v>6</v>
      </c>
      <c r="D108" s="153">
        <f>IFERROR(INDEX('BD Rendimientos'!G:G,MATCH("02.01.02|M. Transporte desalojo de material a botadero|m3|equipo",'BD Rendimientos'!L:L,0)),"")</f>
        <v>1</v>
      </c>
      <c r="E108" s="162">
        <f>IFERROR(INDEX('BD Equipo'!D:D,MATCH("M. Transporte desalojo de material a botadero",'BD Equipo'!B:B,0)),"")</f>
        <v>20.285</v>
      </c>
      <c r="F108" s="171">
        <f>IFERROR(D108*E108,"")</f>
        <v>20.285</v>
      </c>
      <c r="G108" s="121"/>
      <c r="H108" s="109"/>
      <c r="I108" s="121">
        <v>48.89</v>
      </c>
      <c r="J108" s="109">
        <v>36.78</v>
      </c>
      <c r="K108" s="121">
        <v>912.76</v>
      </c>
      <c r="L108" s="109">
        <v>3.79</v>
      </c>
      <c r="M108" s="102" t="s">
        <v>650</v>
      </c>
    </row>
    <row r="109" spans="1:13" ht="16.5" thickBot="1" x14ac:dyDescent="0.3">
      <c r="A109" s="100"/>
      <c r="B109" s="100" t="s">
        <v>645</v>
      </c>
      <c r="C109" s="100" t="s">
        <v>6</v>
      </c>
      <c r="D109" s="151"/>
      <c r="E109" s="160"/>
      <c r="F109" s="169">
        <f>SUM(F108)</f>
        <v>20.285</v>
      </c>
      <c r="G109" s="119"/>
      <c r="H109" s="107"/>
      <c r="I109" s="119"/>
      <c r="J109" s="107">
        <v>36.78</v>
      </c>
      <c r="K109" s="119"/>
      <c r="L109" s="107">
        <v>3.79</v>
      </c>
      <c r="M109" s="100" t="s">
        <v>646</v>
      </c>
    </row>
    <row r="110" spans="1:13" ht="15.75" thickTop="1" x14ac:dyDescent="0.25">
      <c r="D110" s="150"/>
      <c r="E110" s="159"/>
      <c r="F110" s="168"/>
      <c r="G110" s="118"/>
      <c r="H110" s="106"/>
      <c r="I110" s="118"/>
      <c r="J110" s="106"/>
      <c r="K110" s="118"/>
      <c r="L110" s="106"/>
    </row>
    <row r="111" spans="1:13" ht="15.75" thickBot="1" x14ac:dyDescent="0.3">
      <c r="A111" s="96" t="s">
        <v>448</v>
      </c>
      <c r="B111" s="96"/>
      <c r="C111" s="96"/>
      <c r="D111" s="155"/>
      <c r="E111" s="164"/>
      <c r="F111" s="173"/>
      <c r="G111" s="123"/>
      <c r="H111" s="111"/>
      <c r="I111" s="123"/>
      <c r="J111" s="111"/>
      <c r="K111" s="123"/>
      <c r="L111" s="111"/>
      <c r="M111" s="96"/>
    </row>
    <row r="112" spans="1:13" ht="15.75" thickTop="1" x14ac:dyDescent="0.25">
      <c r="A112" s="97" t="s">
        <v>441</v>
      </c>
      <c r="B112" s="97" t="s">
        <v>440</v>
      </c>
      <c r="C112" s="97" t="s">
        <v>6</v>
      </c>
      <c r="D112" s="148" t="s">
        <v>635</v>
      </c>
      <c r="E112" s="157" t="s">
        <v>636</v>
      </c>
      <c r="F112" s="166" t="s">
        <v>637</v>
      </c>
      <c r="G112" s="116" t="s">
        <v>638</v>
      </c>
      <c r="H112" s="104" t="s">
        <v>639</v>
      </c>
      <c r="I112" s="116" t="s">
        <v>640</v>
      </c>
      <c r="J112" s="104" t="s">
        <v>641</v>
      </c>
      <c r="K112" s="116" t="s">
        <v>642</v>
      </c>
      <c r="L112" s="104" t="s">
        <v>643</v>
      </c>
      <c r="M112" s="97" t="s">
        <v>644</v>
      </c>
    </row>
    <row r="113" spans="1:13" x14ac:dyDescent="0.25">
      <c r="A113" s="99" t="s">
        <v>5</v>
      </c>
      <c r="B113" s="99"/>
      <c r="C113" s="99"/>
      <c r="D113" s="149"/>
      <c r="E113" s="158"/>
      <c r="F113" s="167"/>
      <c r="G113" s="117"/>
      <c r="H113" s="105"/>
      <c r="I113" s="117"/>
      <c r="J113" s="105"/>
      <c r="K113" s="117"/>
      <c r="L113" s="105"/>
      <c r="M113" s="99"/>
    </row>
    <row r="114" spans="1:13" x14ac:dyDescent="0.25">
      <c r="B114" t="s">
        <v>439</v>
      </c>
      <c r="C114" t="s">
        <v>6</v>
      </c>
      <c r="D114" s="150">
        <f>IFERROR(INDEX('BD Rendimientos'!G:G,MATCH("02.01.03|M. Relleno compactado|m3|mano_obra",'BD Rendimientos'!L:L,0)),"")</f>
        <v>1</v>
      </c>
      <c r="E114" s="159">
        <f>IFERROR(INDEX('BD Mano de Obra'!D:D,MATCH("M. Relleno compactado",'BD Mano de Obra'!B:B,0)),"")</f>
        <v>2.8833333333333333</v>
      </c>
      <c r="F114" s="168">
        <f>IFERROR(D114*E114,"")</f>
        <v>2.8833333333333333</v>
      </c>
      <c r="G114" s="118">
        <v>1029.5899999999999</v>
      </c>
      <c r="H114" s="106">
        <v>3</v>
      </c>
      <c r="I114" s="118">
        <v>41.7</v>
      </c>
      <c r="J114" s="106">
        <v>3</v>
      </c>
      <c r="K114" s="118">
        <v>2171.83</v>
      </c>
      <c r="L114" s="106">
        <v>2.65</v>
      </c>
    </row>
    <row r="115" spans="1:13" ht="16.5" thickBot="1" x14ac:dyDescent="0.3">
      <c r="A115" s="100"/>
      <c r="B115" s="100" t="s">
        <v>645</v>
      </c>
      <c r="C115" s="100" t="s">
        <v>6</v>
      </c>
      <c r="D115" s="151"/>
      <c r="E115" s="160"/>
      <c r="F115" s="169">
        <f>SUM(F114)</f>
        <v>2.8833333333333333</v>
      </c>
      <c r="G115" s="119"/>
      <c r="H115" s="107">
        <v>3</v>
      </c>
      <c r="I115" s="119"/>
      <c r="J115" s="107">
        <v>3</v>
      </c>
      <c r="K115" s="119"/>
      <c r="L115" s="107">
        <v>2.65</v>
      </c>
      <c r="M115" s="100" t="s">
        <v>646</v>
      </c>
    </row>
    <row r="116" spans="1:13" ht="15.75" thickTop="1" x14ac:dyDescent="0.25">
      <c r="D116" s="150"/>
      <c r="E116" s="159"/>
      <c r="F116" s="168"/>
      <c r="G116" s="118"/>
      <c r="H116" s="106"/>
      <c r="I116" s="118"/>
      <c r="J116" s="106"/>
      <c r="K116" s="118"/>
      <c r="L116" s="106"/>
    </row>
    <row r="117" spans="1:13" ht="15.75" thickBot="1" x14ac:dyDescent="0.3">
      <c r="A117" s="96" t="s">
        <v>448</v>
      </c>
      <c r="B117" s="96"/>
      <c r="C117" s="96"/>
      <c r="D117" s="155"/>
      <c r="E117" s="164"/>
      <c r="F117" s="173"/>
      <c r="G117" s="123"/>
      <c r="H117" s="111"/>
      <c r="I117" s="123"/>
      <c r="J117" s="111"/>
      <c r="K117" s="123"/>
      <c r="L117" s="111"/>
      <c r="M117" s="96"/>
    </row>
    <row r="118" spans="1:13" ht="15.75" thickTop="1" x14ac:dyDescent="0.25">
      <c r="A118" s="97" t="s">
        <v>438</v>
      </c>
      <c r="B118" s="97" t="s">
        <v>437</v>
      </c>
      <c r="C118" s="97" t="s">
        <v>130</v>
      </c>
      <c r="D118" s="148" t="s">
        <v>635</v>
      </c>
      <c r="E118" s="157" t="s">
        <v>636</v>
      </c>
      <c r="F118" s="166" t="s">
        <v>637</v>
      </c>
      <c r="G118" s="116" t="s">
        <v>638</v>
      </c>
      <c r="H118" s="104" t="s">
        <v>639</v>
      </c>
      <c r="I118" s="116" t="s">
        <v>640</v>
      </c>
      <c r="J118" s="104" t="s">
        <v>641</v>
      </c>
      <c r="K118" s="116" t="s">
        <v>642</v>
      </c>
      <c r="L118" s="104" t="s">
        <v>643</v>
      </c>
      <c r="M118" s="97" t="s">
        <v>644</v>
      </c>
    </row>
    <row r="119" spans="1:13" x14ac:dyDescent="0.25">
      <c r="A119" s="99" t="s">
        <v>2</v>
      </c>
      <c r="B119" s="99"/>
      <c r="C119" s="99"/>
      <c r="D119" s="149"/>
      <c r="E119" s="158"/>
      <c r="F119" s="167"/>
      <c r="G119" s="117"/>
      <c r="H119" s="105"/>
      <c r="I119" s="117"/>
      <c r="J119" s="105"/>
      <c r="K119" s="117"/>
      <c r="L119" s="105"/>
      <c r="M119" s="99"/>
    </row>
    <row r="120" spans="1:13" x14ac:dyDescent="0.25">
      <c r="B120" t="s">
        <v>436</v>
      </c>
      <c r="C120" t="s">
        <v>130</v>
      </c>
      <c r="D120" s="150">
        <f>IFERROR(INDEX('BD Rendimientos'!G:G,MATCH("02.01.04|M. Desbroce de Capa Vegetal|m2|equipo",'BD Rendimientos'!L:L,0)),"")</f>
        <v>1</v>
      </c>
      <c r="E120" s="159">
        <f>IFERROR(INDEX('BD Equipo'!D:D,MATCH("M. Desbroce de Capa Vegetal",'BD Equipo'!B:B,0)),"")</f>
        <v>0.62666666666666659</v>
      </c>
      <c r="F120" s="168">
        <f>IFERROR(D120*E120,"")</f>
        <v>0.62666666666666659</v>
      </c>
      <c r="G120" s="118">
        <v>1729.61</v>
      </c>
      <c r="H120" s="106">
        <v>0.65</v>
      </c>
      <c r="I120" s="118">
        <v>892.62</v>
      </c>
      <c r="J120" s="106">
        <v>0.65</v>
      </c>
      <c r="K120" s="118">
        <v>3141.25</v>
      </c>
      <c r="L120" s="106">
        <v>0.57999999999999996</v>
      </c>
    </row>
    <row r="121" spans="1:13" ht="16.5" thickBot="1" x14ac:dyDescent="0.3">
      <c r="A121" s="100"/>
      <c r="B121" s="100" t="s">
        <v>645</v>
      </c>
      <c r="C121" s="100" t="s">
        <v>130</v>
      </c>
      <c r="D121" s="151"/>
      <c r="E121" s="160"/>
      <c r="F121" s="169">
        <f>SUM(F120)</f>
        <v>0.62666666666666659</v>
      </c>
      <c r="G121" s="119"/>
      <c r="H121" s="107">
        <v>0.65</v>
      </c>
      <c r="I121" s="119"/>
      <c r="J121" s="107">
        <v>0.65</v>
      </c>
      <c r="K121" s="119"/>
      <c r="L121" s="107">
        <v>0.57999999999999996</v>
      </c>
      <c r="M121" s="100" t="s">
        <v>646</v>
      </c>
    </row>
    <row r="122" spans="1:13" ht="15.75" thickTop="1" x14ac:dyDescent="0.25">
      <c r="D122" s="150"/>
      <c r="E122" s="159"/>
      <c r="F122" s="168"/>
      <c r="G122" s="118"/>
      <c r="H122" s="106"/>
      <c r="I122" s="118"/>
      <c r="J122" s="106"/>
      <c r="K122" s="118"/>
      <c r="L122" s="106"/>
    </row>
    <row r="123" spans="1:13" ht="15.75" thickBot="1" x14ac:dyDescent="0.3">
      <c r="A123" s="96" t="s">
        <v>448</v>
      </c>
      <c r="B123" s="96"/>
      <c r="C123" s="96"/>
      <c r="D123" s="155"/>
      <c r="E123" s="164"/>
      <c r="F123" s="173"/>
      <c r="G123" s="123"/>
      <c r="H123" s="111"/>
      <c r="I123" s="123"/>
      <c r="J123" s="111"/>
      <c r="K123" s="123"/>
      <c r="L123" s="111"/>
      <c r="M123" s="96"/>
    </row>
    <row r="124" spans="1:13" ht="15.75" thickTop="1" x14ac:dyDescent="0.25">
      <c r="A124" s="97" t="s">
        <v>435</v>
      </c>
      <c r="B124" s="97" t="s">
        <v>434</v>
      </c>
      <c r="C124" s="97" t="s">
        <v>130</v>
      </c>
      <c r="D124" s="148" t="s">
        <v>635</v>
      </c>
      <c r="E124" s="157" t="s">
        <v>636</v>
      </c>
      <c r="F124" s="166" t="s">
        <v>637</v>
      </c>
      <c r="G124" s="116" t="s">
        <v>638</v>
      </c>
      <c r="H124" s="104" t="s">
        <v>639</v>
      </c>
      <c r="I124" s="116" t="s">
        <v>640</v>
      </c>
      <c r="J124" s="104" t="s">
        <v>641</v>
      </c>
      <c r="K124" s="116" t="s">
        <v>642</v>
      </c>
      <c r="L124" s="104" t="s">
        <v>643</v>
      </c>
      <c r="M124" s="97" t="s">
        <v>644</v>
      </c>
    </row>
    <row r="125" spans="1:13" x14ac:dyDescent="0.25">
      <c r="A125" s="99" t="s">
        <v>5</v>
      </c>
      <c r="B125" s="99"/>
      <c r="C125" s="99"/>
      <c r="D125" s="149"/>
      <c r="E125" s="158"/>
      <c r="F125" s="167"/>
      <c r="G125" s="117"/>
      <c r="H125" s="105"/>
      <c r="I125" s="117"/>
      <c r="J125" s="105"/>
      <c r="K125" s="117"/>
      <c r="L125" s="105"/>
      <c r="M125" s="99"/>
    </row>
    <row r="126" spans="1:13" x14ac:dyDescent="0.25">
      <c r="B126" t="s">
        <v>433</v>
      </c>
      <c r="C126" t="s">
        <v>130</v>
      </c>
      <c r="D126" s="150">
        <f>IFERROR(INDEX('BD Rendimientos'!G:G,MATCH("02.01.05|M. Rasanteo Y Conformación Manual De Plataformas|m2|mano_obra",'BD Rendimientos'!L:L,0)),"")</f>
        <v>1</v>
      </c>
      <c r="E126" s="159">
        <f>IFERROR(INDEX('BD Mano de Obra'!D:D,MATCH("M. Rasanteo Y Conformación Manual De Plataformas",'BD Mano de Obra'!B:B,0)),"")</f>
        <v>0.69999999999999984</v>
      </c>
      <c r="F126" s="168">
        <f>IFERROR(D126*E126,"")</f>
        <v>0.69999999999999984</v>
      </c>
      <c r="G126" s="118">
        <v>325.39</v>
      </c>
      <c r="H126" s="106">
        <v>0.7</v>
      </c>
      <c r="I126" s="118">
        <v>206.5</v>
      </c>
      <c r="J126" s="106">
        <v>0.7</v>
      </c>
      <c r="K126" s="118">
        <v>542.9</v>
      </c>
      <c r="L126" s="106">
        <v>0.7</v>
      </c>
    </row>
    <row r="127" spans="1:13" x14ac:dyDescent="0.25">
      <c r="A127" s="99" t="s">
        <v>2</v>
      </c>
      <c r="B127" s="99"/>
      <c r="C127" s="99"/>
      <c r="D127" s="149"/>
      <c r="E127" s="158"/>
      <c r="F127" s="167"/>
      <c r="G127" s="117"/>
      <c r="H127" s="105"/>
      <c r="I127" s="117"/>
      <c r="J127" s="105"/>
      <c r="K127" s="117"/>
      <c r="L127" s="105"/>
      <c r="M127" s="99"/>
    </row>
    <row r="128" spans="1:13" x14ac:dyDescent="0.25">
      <c r="A128" s="101"/>
      <c r="B128" s="101" t="s">
        <v>328</v>
      </c>
      <c r="C128" s="101" t="s">
        <v>432</v>
      </c>
      <c r="D128" s="152">
        <f>IFERROR(INDEX('BD Rendimientos'!G:G,MATCH("02.01.05|Alquiler de Maquinaria (retroex (Alquiler de Maquinaria (retroexcavadora))|Hr,|equipo",'BD Rendimientos'!L:L,0)),"")</f>
        <v>1.8419598452753731E-3</v>
      </c>
      <c r="E128" s="161">
        <f>IFERROR(INDEX('BD Equipo'!D:D,MATCH("Alquiler de Maquinaria (retroex (Alquiler de Maquinaria (retroexcavadora))",'BD Equipo'!B:B,0)),"")</f>
        <v>22</v>
      </c>
      <c r="F128" s="170">
        <f>IFERROR(D128*E128,"")</f>
        <v>4.0523116596058208E-2</v>
      </c>
      <c r="G128" s="120"/>
      <c r="H128" s="108"/>
      <c r="I128" s="120"/>
      <c r="J128" s="108"/>
      <c r="K128" s="120">
        <v>1</v>
      </c>
      <c r="L128" s="108">
        <v>22</v>
      </c>
      <c r="M128" s="101" t="s">
        <v>647</v>
      </c>
    </row>
    <row r="129" spans="1:13" ht="16.5" thickBot="1" x14ac:dyDescent="0.3">
      <c r="A129" s="100"/>
      <c r="B129" s="100" t="s">
        <v>645</v>
      </c>
      <c r="C129" s="100" t="s">
        <v>130</v>
      </c>
      <c r="D129" s="151"/>
      <c r="E129" s="160"/>
      <c r="F129" s="169">
        <f>SUM(F126,F128)</f>
        <v>0.74052311659605807</v>
      </c>
      <c r="G129" s="119"/>
      <c r="H129" s="107">
        <v>0.7</v>
      </c>
      <c r="I129" s="119"/>
      <c r="J129" s="107">
        <v>0.7</v>
      </c>
      <c r="K129" s="119"/>
      <c r="L129" s="107">
        <v>0.74052311659605796</v>
      </c>
      <c r="M129" s="100" t="s">
        <v>646</v>
      </c>
    </row>
    <row r="130" spans="1:13" ht="15.75" thickTop="1" x14ac:dyDescent="0.25">
      <c r="D130" s="150"/>
      <c r="E130" s="159"/>
      <c r="F130" s="168"/>
      <c r="G130" s="118"/>
      <c r="H130" s="106"/>
      <c r="I130" s="118"/>
      <c r="J130" s="106"/>
      <c r="K130" s="118"/>
      <c r="L130" s="106"/>
    </row>
    <row r="131" spans="1:13" ht="15.75" thickBot="1" x14ac:dyDescent="0.3">
      <c r="A131" s="96" t="s">
        <v>448</v>
      </c>
      <c r="B131" s="96"/>
      <c r="C131" s="96"/>
      <c r="D131" s="155"/>
      <c r="E131" s="164"/>
      <c r="F131" s="173"/>
      <c r="G131" s="123"/>
      <c r="H131" s="111"/>
      <c r="I131" s="123"/>
      <c r="J131" s="111"/>
      <c r="K131" s="123"/>
      <c r="L131" s="111"/>
      <c r="M131" s="96"/>
    </row>
    <row r="132" spans="1:13" ht="15.75" thickTop="1" x14ac:dyDescent="0.25">
      <c r="A132" s="98" t="s">
        <v>431</v>
      </c>
      <c r="B132" s="98" t="s">
        <v>430</v>
      </c>
      <c r="C132" s="98" t="s">
        <v>6</v>
      </c>
      <c r="D132" s="154" t="s">
        <v>635</v>
      </c>
      <c r="E132" s="163" t="s">
        <v>636</v>
      </c>
      <c r="F132" s="172" t="s">
        <v>637</v>
      </c>
      <c r="G132" s="122" t="s">
        <v>638</v>
      </c>
      <c r="H132" s="110" t="s">
        <v>639</v>
      </c>
      <c r="I132" s="122" t="s">
        <v>640</v>
      </c>
      <c r="J132" s="110" t="s">
        <v>641</v>
      </c>
      <c r="K132" s="122" t="s">
        <v>642</v>
      </c>
      <c r="L132" s="110" t="s">
        <v>643</v>
      </c>
      <c r="M132" s="98" t="s">
        <v>668</v>
      </c>
    </row>
    <row r="133" spans="1:13" x14ac:dyDescent="0.25">
      <c r="A133" s="99" t="s">
        <v>2</v>
      </c>
      <c r="B133" s="99"/>
      <c r="C133" s="99"/>
      <c r="D133" s="149"/>
      <c r="E133" s="158"/>
      <c r="F133" s="167"/>
      <c r="G133" s="117"/>
      <c r="H133" s="105"/>
      <c r="I133" s="117"/>
      <c r="J133" s="105"/>
      <c r="K133" s="117"/>
      <c r="L133" s="105"/>
      <c r="M133" s="99"/>
    </row>
    <row r="134" spans="1:13" x14ac:dyDescent="0.25">
      <c r="A134" s="101"/>
      <c r="B134" s="101" t="s">
        <v>429</v>
      </c>
      <c r="C134" s="101" t="s">
        <v>6</v>
      </c>
      <c r="D134" s="152">
        <f>IFERROR(INDEX('BD Rendimientos'!G:G,MATCH("02.01.06|M. Transporte de material para relleno|m3|equipo",'BD Rendimientos'!L:L,0)),"")</f>
        <v>1</v>
      </c>
      <c r="E134" s="161">
        <f>IFERROR(INDEX('BD Equipo'!D:D,MATCH("M. Transporte de material para relleno",'BD Equipo'!B:B,0)),"")</f>
        <v>3.92</v>
      </c>
      <c r="F134" s="170">
        <f>IFERROR(D134*E134,"")</f>
        <v>3.92</v>
      </c>
      <c r="G134" s="120">
        <v>787.49</v>
      </c>
      <c r="H134" s="108">
        <v>3.92</v>
      </c>
      <c r="I134" s="120"/>
      <c r="J134" s="108"/>
      <c r="K134" s="120"/>
      <c r="L134" s="108"/>
      <c r="M134" s="101" t="s">
        <v>647</v>
      </c>
    </row>
    <row r="135" spans="1:13" ht="16.5" thickBot="1" x14ac:dyDescent="0.3">
      <c r="A135" s="100"/>
      <c r="B135" s="100" t="s">
        <v>645</v>
      </c>
      <c r="C135" s="100" t="s">
        <v>6</v>
      </c>
      <c r="D135" s="151"/>
      <c r="E135" s="160"/>
      <c r="F135" s="169">
        <f>SUM(F134)</f>
        <v>3.92</v>
      </c>
      <c r="G135" s="119"/>
      <c r="H135" s="107">
        <v>3.92</v>
      </c>
      <c r="I135" s="119"/>
      <c r="J135" s="107"/>
      <c r="K135" s="119"/>
      <c r="L135" s="107"/>
      <c r="M135" s="100" t="s">
        <v>646</v>
      </c>
    </row>
    <row r="136" spans="1:13" ht="15.75" thickTop="1" x14ac:dyDescent="0.25">
      <c r="D136" s="150"/>
      <c r="E136" s="159"/>
      <c r="F136" s="168"/>
      <c r="G136" s="118"/>
      <c r="H136" s="106"/>
      <c r="I136" s="118"/>
      <c r="J136" s="106"/>
      <c r="K136" s="118"/>
      <c r="L136" s="106"/>
    </row>
    <row r="137" spans="1:13" ht="15.75" thickBot="1" x14ac:dyDescent="0.3">
      <c r="A137" s="96" t="s">
        <v>448</v>
      </c>
      <c r="B137" s="96"/>
      <c r="C137" s="96"/>
      <c r="D137" s="155"/>
      <c r="E137" s="164"/>
      <c r="F137" s="173"/>
      <c r="G137" s="123"/>
      <c r="H137" s="111"/>
      <c r="I137" s="123"/>
      <c r="J137" s="111"/>
      <c r="K137" s="123"/>
      <c r="L137" s="111"/>
      <c r="M137" s="96"/>
    </row>
    <row r="138" spans="1:13" ht="15.75" thickTop="1" x14ac:dyDescent="0.25">
      <c r="A138" s="97" t="s">
        <v>428</v>
      </c>
      <c r="B138" s="97" t="s">
        <v>427</v>
      </c>
      <c r="C138" s="97" t="s">
        <v>88</v>
      </c>
      <c r="D138" s="148" t="s">
        <v>635</v>
      </c>
      <c r="E138" s="157" t="s">
        <v>636</v>
      </c>
      <c r="F138" s="166" t="s">
        <v>637</v>
      </c>
      <c r="G138" s="116" t="s">
        <v>638</v>
      </c>
      <c r="H138" s="104" t="s">
        <v>639</v>
      </c>
      <c r="I138" s="116" t="s">
        <v>640</v>
      </c>
      <c r="J138" s="104" t="s">
        <v>641</v>
      </c>
      <c r="K138" s="116" t="s">
        <v>642</v>
      </c>
      <c r="L138" s="104" t="s">
        <v>643</v>
      </c>
      <c r="M138" s="97" t="s">
        <v>644</v>
      </c>
    </row>
    <row r="139" spans="1:13" x14ac:dyDescent="0.25">
      <c r="A139" s="99" t="s">
        <v>2</v>
      </c>
      <c r="B139" s="99"/>
      <c r="C139" s="99"/>
      <c r="D139" s="149"/>
      <c r="E139" s="158"/>
      <c r="F139" s="167"/>
      <c r="G139" s="117"/>
      <c r="H139" s="105"/>
      <c r="I139" s="117"/>
      <c r="J139" s="105"/>
      <c r="K139" s="117"/>
      <c r="L139" s="105"/>
      <c r="M139" s="99"/>
    </row>
    <row r="140" spans="1:13" x14ac:dyDescent="0.25">
      <c r="B140" t="s">
        <v>303</v>
      </c>
      <c r="C140" t="s">
        <v>88</v>
      </c>
      <c r="D140" s="150">
        <f>IFERROR(INDEX('BD Rendimientos'!G:G,MATCH("02.01.07|M. Pruebas de compactación en plataformas|Glb|equipo",'BD Rendimientos'!L:L,0)),"")</f>
        <v>1</v>
      </c>
      <c r="E140" s="159">
        <f>IFERROR(INDEX('BD Equipo'!D:D,MATCH("M. Pruebas de compactación en plataformas",'BD Equipo'!B:B,0)),"")</f>
        <v>400</v>
      </c>
      <c r="F140" s="168">
        <f>IFERROR(D140*E140,"")</f>
        <v>400</v>
      </c>
      <c r="G140" s="118">
        <v>1</v>
      </c>
      <c r="H140" s="106">
        <v>350</v>
      </c>
      <c r="I140" s="118">
        <v>1</v>
      </c>
      <c r="J140" s="106">
        <v>350</v>
      </c>
      <c r="K140" s="118">
        <v>1</v>
      </c>
      <c r="L140" s="106">
        <v>500</v>
      </c>
    </row>
    <row r="141" spans="1:13" ht="16.5" thickBot="1" x14ac:dyDescent="0.3">
      <c r="A141" s="100"/>
      <c r="B141" s="100" t="s">
        <v>645</v>
      </c>
      <c r="C141" s="100" t="s">
        <v>88</v>
      </c>
      <c r="D141" s="151"/>
      <c r="E141" s="160"/>
      <c r="F141" s="169">
        <f>SUM(F140)</f>
        <v>400</v>
      </c>
      <c r="G141" s="119"/>
      <c r="H141" s="107">
        <v>350</v>
      </c>
      <c r="I141" s="119"/>
      <c r="J141" s="107">
        <v>350</v>
      </c>
      <c r="K141" s="119"/>
      <c r="L141" s="107">
        <v>500</v>
      </c>
      <c r="M141" s="100" t="s">
        <v>646</v>
      </c>
    </row>
    <row r="142" spans="1:13" ht="15.75" thickTop="1" x14ac:dyDescent="0.25">
      <c r="D142" s="150"/>
      <c r="E142" s="159"/>
      <c r="F142" s="168"/>
      <c r="G142" s="118"/>
      <c r="H142" s="106"/>
      <c r="I142" s="118"/>
      <c r="J142" s="106"/>
      <c r="K142" s="118"/>
      <c r="L142" s="106"/>
    </row>
    <row r="143" spans="1:13" ht="15.75" thickBot="1" x14ac:dyDescent="0.3">
      <c r="A143" s="96" t="s">
        <v>426</v>
      </c>
      <c r="B143" s="96"/>
      <c r="C143" s="96"/>
      <c r="D143" s="155"/>
      <c r="E143" s="164"/>
      <c r="F143" s="173"/>
      <c r="G143" s="123"/>
      <c r="H143" s="111"/>
      <c r="I143" s="123"/>
      <c r="J143" s="111"/>
      <c r="K143" s="123"/>
      <c r="L143" s="111"/>
      <c r="M143" s="96"/>
    </row>
    <row r="144" spans="1:13" ht="15.75" thickTop="1" x14ac:dyDescent="0.25">
      <c r="A144" s="97" t="s">
        <v>425</v>
      </c>
      <c r="B144" s="97" t="s">
        <v>424</v>
      </c>
      <c r="C144" s="97" t="s">
        <v>3</v>
      </c>
      <c r="D144" s="148" t="s">
        <v>635</v>
      </c>
      <c r="E144" s="157" t="s">
        <v>636</v>
      </c>
      <c r="F144" s="166" t="s">
        <v>637</v>
      </c>
      <c r="G144" s="116" t="s">
        <v>638</v>
      </c>
      <c r="H144" s="104" t="s">
        <v>639</v>
      </c>
      <c r="I144" s="116" t="s">
        <v>640</v>
      </c>
      <c r="J144" s="104" t="s">
        <v>641</v>
      </c>
      <c r="K144" s="116" t="s">
        <v>642</v>
      </c>
      <c r="L144" s="104" t="s">
        <v>643</v>
      </c>
      <c r="M144" s="97" t="s">
        <v>644</v>
      </c>
    </row>
    <row r="145" spans="1:13" x14ac:dyDescent="0.25">
      <c r="A145" s="99" t="s">
        <v>5</v>
      </c>
      <c r="B145" s="99"/>
      <c r="C145" s="99"/>
      <c r="D145" s="149"/>
      <c r="E145" s="158"/>
      <c r="F145" s="167"/>
      <c r="G145" s="117"/>
      <c r="H145" s="105"/>
      <c r="I145" s="117"/>
      <c r="J145" s="105"/>
      <c r="K145" s="117"/>
      <c r="L145" s="105"/>
      <c r="M145" s="99"/>
    </row>
    <row r="146" spans="1:13" x14ac:dyDescent="0.25">
      <c r="B146" t="s">
        <v>423</v>
      </c>
      <c r="C146" t="s">
        <v>3</v>
      </c>
      <c r="D146" s="150">
        <f>IFERROR(INDEX('BD Rendimientos'!G:G,MATCH("02.02.01|M. Excavaciones Y Relleno Compactado Para Instalaciones Hidrosanitarias|ml|mano_obra",'BD Rendimientos'!L:L,0)),"")</f>
        <v>1</v>
      </c>
      <c r="E146" s="159">
        <f>IFERROR(INDEX('BD Mano de Obra'!D:D,MATCH("M. Excavaciones Y Relleno Compactado Para Instalaciones Hidrosanitarias",'BD Mano de Obra'!B:B,0)),"")</f>
        <v>3.9</v>
      </c>
      <c r="F146" s="168">
        <f>IFERROR(D146*E146,"")</f>
        <v>3.9</v>
      </c>
      <c r="G146" s="118"/>
      <c r="H146" s="106"/>
      <c r="I146" s="118">
        <v>37</v>
      </c>
      <c r="J146" s="106">
        <v>3.9</v>
      </c>
      <c r="K146" s="118">
        <v>34.94</v>
      </c>
      <c r="L146" s="106">
        <v>3.9</v>
      </c>
    </row>
    <row r="147" spans="1:13" ht="16.5" thickBot="1" x14ac:dyDescent="0.3">
      <c r="A147" s="100"/>
      <c r="B147" s="100" t="s">
        <v>645</v>
      </c>
      <c r="C147" s="100" t="s">
        <v>3</v>
      </c>
      <c r="D147" s="151"/>
      <c r="E147" s="160"/>
      <c r="F147" s="169">
        <f>SUM(F146)</f>
        <v>3.9</v>
      </c>
      <c r="G147" s="119"/>
      <c r="H147" s="107"/>
      <c r="I147" s="119"/>
      <c r="J147" s="107">
        <v>3.9</v>
      </c>
      <c r="K147" s="119"/>
      <c r="L147" s="107">
        <v>3.9</v>
      </c>
      <c r="M147" s="100" t="s">
        <v>646</v>
      </c>
    </row>
    <row r="148" spans="1:13" ht="15.75" thickTop="1" x14ac:dyDescent="0.25">
      <c r="D148" s="150"/>
      <c r="E148" s="159"/>
      <c r="F148" s="168"/>
      <c r="G148" s="118"/>
      <c r="H148" s="106"/>
      <c r="I148" s="118"/>
      <c r="J148" s="106"/>
      <c r="K148" s="118"/>
      <c r="L148" s="106"/>
    </row>
    <row r="149" spans="1:13" ht="15.75" thickBot="1" x14ac:dyDescent="0.3">
      <c r="A149" s="96" t="s">
        <v>426</v>
      </c>
      <c r="B149" s="96"/>
      <c r="C149" s="96"/>
      <c r="D149" s="155"/>
      <c r="E149" s="164"/>
      <c r="F149" s="173"/>
      <c r="G149" s="123"/>
      <c r="H149" s="111"/>
      <c r="I149" s="123"/>
      <c r="J149" s="111"/>
      <c r="K149" s="123"/>
      <c r="L149" s="111"/>
      <c r="M149" s="96"/>
    </row>
    <row r="150" spans="1:13" ht="15.75" thickTop="1" x14ac:dyDescent="0.25">
      <c r="A150" s="98" t="s">
        <v>422</v>
      </c>
      <c r="B150" s="98" t="s">
        <v>421</v>
      </c>
      <c r="C150" s="98" t="s">
        <v>3</v>
      </c>
      <c r="D150" s="154" t="s">
        <v>635</v>
      </c>
      <c r="E150" s="163" t="s">
        <v>636</v>
      </c>
      <c r="F150" s="172" t="s">
        <v>637</v>
      </c>
      <c r="G150" s="122" t="s">
        <v>638</v>
      </c>
      <c r="H150" s="110" t="s">
        <v>639</v>
      </c>
      <c r="I150" s="122" t="s">
        <v>640</v>
      </c>
      <c r="J150" s="110" t="s">
        <v>641</v>
      </c>
      <c r="K150" s="122" t="s">
        <v>642</v>
      </c>
      <c r="L150" s="110" t="s">
        <v>643</v>
      </c>
      <c r="M150" s="98" t="s">
        <v>668</v>
      </c>
    </row>
    <row r="151" spans="1:13" x14ac:dyDescent="0.25">
      <c r="A151" s="99" t="s">
        <v>5</v>
      </c>
      <c r="B151" s="99"/>
      <c r="C151" s="99"/>
      <c r="D151" s="149"/>
      <c r="E151" s="158"/>
      <c r="F151" s="167"/>
      <c r="G151" s="117"/>
      <c r="H151" s="105"/>
      <c r="I151" s="117"/>
      <c r="J151" s="105"/>
      <c r="K151" s="117"/>
      <c r="L151" s="105"/>
      <c r="M151" s="99"/>
    </row>
    <row r="152" spans="1:13" x14ac:dyDescent="0.25">
      <c r="A152" s="101"/>
      <c r="B152" s="101" t="s">
        <v>420</v>
      </c>
      <c r="C152" s="101" t="s">
        <v>3</v>
      </c>
      <c r="D152" s="152">
        <f>IFERROR(INDEX('BD Rendimientos'!G:G,MATCH("02.02.02|M. Excavaciones Y Relleno Compactado Para Instalaciones Eléctricas|ml|mano_obra",'BD Rendimientos'!L:L,0)),"")</f>
        <v>1</v>
      </c>
      <c r="E152" s="161">
        <f>IFERROR(INDEX('BD Mano de Obra'!D:D,MATCH("M. Excavaciones Y Relleno Compactado Para Instalaciones Eléctricas",'BD Mano de Obra'!B:B,0)),"")</f>
        <v>3.9</v>
      </c>
      <c r="F152" s="170">
        <f>IFERROR(D152*E152,"")</f>
        <v>3.9</v>
      </c>
      <c r="G152" s="120"/>
      <c r="H152" s="108"/>
      <c r="I152" s="120">
        <v>25</v>
      </c>
      <c r="J152" s="108">
        <v>3.9</v>
      </c>
      <c r="K152" s="120"/>
      <c r="L152" s="108"/>
      <c r="M152" s="101" t="s">
        <v>647</v>
      </c>
    </row>
    <row r="153" spans="1:13" ht="16.5" thickBot="1" x14ac:dyDescent="0.3">
      <c r="A153" s="100"/>
      <c r="B153" s="100" t="s">
        <v>645</v>
      </c>
      <c r="C153" s="100" t="s">
        <v>3</v>
      </c>
      <c r="D153" s="151"/>
      <c r="E153" s="160"/>
      <c r="F153" s="169">
        <f>SUM(F152)</f>
        <v>3.9</v>
      </c>
      <c r="G153" s="119"/>
      <c r="H153" s="107"/>
      <c r="I153" s="119"/>
      <c r="J153" s="107">
        <v>3.9</v>
      </c>
      <c r="K153" s="119"/>
      <c r="L153" s="107"/>
      <c r="M153" s="100" t="s">
        <v>646</v>
      </c>
    </row>
    <row r="154" spans="1:13" ht="15.75" thickTop="1" x14ac:dyDescent="0.25">
      <c r="D154" s="150"/>
      <c r="E154" s="159"/>
      <c r="F154" s="168"/>
      <c r="G154" s="118"/>
      <c r="H154" s="106"/>
      <c r="I154" s="118"/>
      <c r="J154" s="106"/>
      <c r="K154" s="118"/>
      <c r="L154" s="106"/>
    </row>
    <row r="155" spans="1:13" ht="15.75" thickBot="1" x14ac:dyDescent="0.3">
      <c r="A155" s="96" t="s">
        <v>426</v>
      </c>
      <c r="B155" s="96"/>
      <c r="C155" s="96"/>
      <c r="D155" s="155"/>
      <c r="E155" s="164"/>
      <c r="F155" s="173"/>
      <c r="G155" s="123"/>
      <c r="H155" s="111"/>
      <c r="I155" s="123"/>
      <c r="J155" s="111"/>
      <c r="K155" s="123"/>
      <c r="L155" s="111"/>
      <c r="M155" s="96"/>
    </row>
    <row r="156" spans="1:13" ht="15.75" thickTop="1" x14ac:dyDescent="0.25">
      <c r="A156" s="177" t="s">
        <v>419</v>
      </c>
      <c r="B156" s="177" t="s">
        <v>418</v>
      </c>
      <c r="C156" s="177" t="s">
        <v>210</v>
      </c>
      <c r="D156" s="178" t="s">
        <v>635</v>
      </c>
      <c r="E156" s="179" t="s">
        <v>636</v>
      </c>
      <c r="F156" s="180" t="s">
        <v>637</v>
      </c>
      <c r="G156" s="181" t="s">
        <v>638</v>
      </c>
      <c r="H156" s="182" t="s">
        <v>639</v>
      </c>
      <c r="I156" s="181" t="s">
        <v>640</v>
      </c>
      <c r="J156" s="182" t="s">
        <v>641</v>
      </c>
      <c r="K156" s="181" t="s">
        <v>642</v>
      </c>
      <c r="L156" s="182" t="s">
        <v>643</v>
      </c>
      <c r="M156" s="177" t="s">
        <v>1932</v>
      </c>
    </row>
    <row r="157" spans="1:13" ht="16.5" thickBot="1" x14ac:dyDescent="0.3">
      <c r="A157" s="183"/>
      <c r="B157" s="183" t="s">
        <v>645</v>
      </c>
      <c r="C157" s="183" t="s">
        <v>210</v>
      </c>
      <c r="D157" s="184"/>
      <c r="E157" s="185"/>
      <c r="F157" s="186">
        <v>0</v>
      </c>
      <c r="G157" s="187"/>
      <c r="H157" s="188"/>
      <c r="I157" s="187"/>
      <c r="J157" s="188"/>
      <c r="K157" s="187"/>
      <c r="L157" s="188"/>
      <c r="M157" s="183" t="s">
        <v>646</v>
      </c>
    </row>
    <row r="158" spans="1:13" ht="15.75" thickTop="1" x14ac:dyDescent="0.25">
      <c r="D158" s="150"/>
      <c r="E158" s="159"/>
      <c r="F158" s="168"/>
      <c r="G158" s="118"/>
      <c r="H158" s="106"/>
      <c r="I158" s="118"/>
      <c r="J158" s="106"/>
      <c r="K158" s="118"/>
      <c r="L158" s="106"/>
    </row>
    <row r="159" spans="1:13" ht="15.75" thickBot="1" x14ac:dyDescent="0.3">
      <c r="A159" s="96" t="s">
        <v>426</v>
      </c>
      <c r="B159" s="96"/>
      <c r="C159" s="96"/>
      <c r="D159" s="155"/>
      <c r="E159" s="164"/>
      <c r="F159" s="173"/>
      <c r="G159" s="123"/>
      <c r="H159" s="111"/>
      <c r="I159" s="123"/>
      <c r="J159" s="111"/>
      <c r="K159" s="123"/>
      <c r="L159" s="111"/>
      <c r="M159" s="96"/>
    </row>
    <row r="160" spans="1:13" ht="15.75" thickTop="1" x14ac:dyDescent="0.25">
      <c r="A160" s="97" t="s">
        <v>417</v>
      </c>
      <c r="B160" s="97" t="s">
        <v>416</v>
      </c>
      <c r="C160" s="97" t="s">
        <v>6</v>
      </c>
      <c r="D160" s="148" t="s">
        <v>635</v>
      </c>
      <c r="E160" s="157" t="s">
        <v>636</v>
      </c>
      <c r="F160" s="166" t="s">
        <v>637</v>
      </c>
      <c r="G160" s="116" t="s">
        <v>638</v>
      </c>
      <c r="H160" s="104" t="s">
        <v>639</v>
      </c>
      <c r="I160" s="116" t="s">
        <v>640</v>
      </c>
      <c r="J160" s="104" t="s">
        <v>641</v>
      </c>
      <c r="K160" s="116" t="s">
        <v>642</v>
      </c>
      <c r="L160" s="104" t="s">
        <v>643</v>
      </c>
      <c r="M160" s="97" t="s">
        <v>644</v>
      </c>
    </row>
    <row r="161" spans="1:13" x14ac:dyDescent="0.25">
      <c r="A161" s="99" t="s">
        <v>5</v>
      </c>
      <c r="B161" s="99"/>
      <c r="C161" s="99"/>
      <c r="D161" s="149"/>
      <c r="E161" s="158"/>
      <c r="F161" s="167"/>
      <c r="G161" s="117"/>
      <c r="H161" s="105"/>
      <c r="I161" s="117"/>
      <c r="J161" s="105"/>
      <c r="K161" s="117"/>
      <c r="L161" s="105"/>
      <c r="M161" s="99"/>
    </row>
    <row r="162" spans="1:13" x14ac:dyDescent="0.25">
      <c r="B162" t="s">
        <v>415</v>
      </c>
      <c r="C162" t="s">
        <v>6</v>
      </c>
      <c r="D162" s="150">
        <f>IFERROR(INDEX('BD Rendimientos'!G:G,MATCH("02.02.04|M. Excavaciones Para Plintos Y Cimientos ( Maquina Y Perfilado Manual)|m3|mano_obra",'BD Rendimientos'!L:L,0)),"")</f>
        <v>1</v>
      </c>
      <c r="E162" s="159">
        <f>IFERROR(INDEX('BD Mano de Obra'!D:D,MATCH("M. Excavaciones Para Plintos Y Cimientos ( Maquina Y Perfilado Manual)",'BD Mano de Obra'!B:B,0)),"")</f>
        <v>7.833333333333333</v>
      </c>
      <c r="F162" s="168">
        <f>IFERROR(D162*E162,"")</f>
        <v>7.833333333333333</v>
      </c>
      <c r="G162" s="118">
        <v>76.569999999999993</v>
      </c>
      <c r="H162" s="106">
        <v>7.5</v>
      </c>
      <c r="I162" s="118">
        <v>61.92</v>
      </c>
      <c r="J162" s="106">
        <v>7.5</v>
      </c>
      <c r="K162" s="118">
        <v>253.39</v>
      </c>
      <c r="L162" s="106">
        <v>8.5</v>
      </c>
    </row>
    <row r="163" spans="1:13" x14ac:dyDescent="0.25">
      <c r="A163" s="99" t="s">
        <v>2</v>
      </c>
      <c r="B163" s="99"/>
      <c r="C163" s="99"/>
      <c r="D163" s="149"/>
      <c r="E163" s="158"/>
      <c r="F163" s="167"/>
      <c r="G163" s="117"/>
      <c r="H163" s="105"/>
      <c r="I163" s="117"/>
      <c r="J163" s="105"/>
      <c r="K163" s="117"/>
      <c r="L163" s="105"/>
      <c r="M163" s="99"/>
    </row>
    <row r="164" spans="1:13" x14ac:dyDescent="0.25">
      <c r="B164" t="s">
        <v>328</v>
      </c>
      <c r="C164" t="s">
        <v>78</v>
      </c>
      <c r="D164" s="150">
        <f>IFERROR(INDEX('BD Rendimientos'!G:G,MATCH("02.02.04|Alquiler de Maquinaria (retroex (Alquiler de Maquinaria (retroexcavadora))|Hr.|equipo",'BD Rendimientos'!L:L,0)),"")</f>
        <v>0.2185713687913636</v>
      </c>
      <c r="E164" s="159">
        <f>IFERROR(INDEX('BD Equipo'!D:D,MATCH("Alquiler de Maquinaria (retroex (Alquiler de Maquinaria (retroexcavadora))",'BD Equipo'!B:B,0)),"")</f>
        <v>22</v>
      </c>
      <c r="F164" s="168">
        <f>IFERROR(D164*E164,"")</f>
        <v>4.8085701134099992</v>
      </c>
      <c r="G164" s="118">
        <v>23.5</v>
      </c>
      <c r="H164" s="106">
        <v>22</v>
      </c>
      <c r="I164" s="118"/>
      <c r="J164" s="106"/>
      <c r="K164" s="118">
        <v>33</v>
      </c>
      <c r="L164" s="106">
        <v>22</v>
      </c>
    </row>
    <row r="165" spans="1:13" ht="16.5" thickBot="1" x14ac:dyDescent="0.3">
      <c r="A165" s="100"/>
      <c r="B165" s="100" t="s">
        <v>645</v>
      </c>
      <c r="C165" s="100" t="s">
        <v>6</v>
      </c>
      <c r="D165" s="151"/>
      <c r="E165" s="160"/>
      <c r="F165" s="169">
        <f>SUM(F162,F164)</f>
        <v>12.641903446743331</v>
      </c>
      <c r="G165" s="119"/>
      <c r="H165" s="107">
        <v>14.251991641635099</v>
      </c>
      <c r="I165" s="119"/>
      <c r="J165" s="107">
        <v>7.5</v>
      </c>
      <c r="K165" s="119"/>
      <c r="L165" s="107">
        <v>11.365148585184899</v>
      </c>
      <c r="M165" s="100" t="s">
        <v>646</v>
      </c>
    </row>
    <row r="166" spans="1:13" ht="15.75" thickTop="1" x14ac:dyDescent="0.25">
      <c r="D166" s="150"/>
      <c r="E166" s="159"/>
      <c r="F166" s="168"/>
      <c r="G166" s="118"/>
      <c r="H166" s="106"/>
      <c r="I166" s="118"/>
      <c r="J166" s="106"/>
      <c r="K166" s="118"/>
      <c r="L166" s="106"/>
    </row>
    <row r="167" spans="1:13" ht="15.75" thickBot="1" x14ac:dyDescent="0.3">
      <c r="A167" s="96" t="s">
        <v>426</v>
      </c>
      <c r="B167" s="96"/>
      <c r="C167" s="96"/>
      <c r="D167" s="155"/>
      <c r="E167" s="164"/>
      <c r="F167" s="173"/>
      <c r="G167" s="123"/>
      <c r="H167" s="111"/>
      <c r="I167" s="123"/>
      <c r="J167" s="111"/>
      <c r="K167" s="123"/>
      <c r="L167" s="111"/>
      <c r="M167" s="96"/>
    </row>
    <row r="168" spans="1:13" ht="15.75" thickTop="1" x14ac:dyDescent="0.25">
      <c r="A168" s="97" t="s">
        <v>414</v>
      </c>
      <c r="B168" s="97" t="s">
        <v>413</v>
      </c>
      <c r="C168" s="97" t="s">
        <v>6</v>
      </c>
      <c r="D168" s="148" t="s">
        <v>635</v>
      </c>
      <c r="E168" s="157" t="s">
        <v>636</v>
      </c>
      <c r="F168" s="166" t="s">
        <v>637</v>
      </c>
      <c r="G168" s="116" t="s">
        <v>638</v>
      </c>
      <c r="H168" s="104" t="s">
        <v>639</v>
      </c>
      <c r="I168" s="116" t="s">
        <v>640</v>
      </c>
      <c r="J168" s="104" t="s">
        <v>641</v>
      </c>
      <c r="K168" s="116" t="s">
        <v>642</v>
      </c>
      <c r="L168" s="104" t="s">
        <v>643</v>
      </c>
      <c r="M168" s="97" t="s">
        <v>644</v>
      </c>
    </row>
    <row r="169" spans="1:13" x14ac:dyDescent="0.25">
      <c r="A169" s="99" t="s">
        <v>11</v>
      </c>
      <c r="B169" s="99"/>
      <c r="C169" s="99"/>
      <c r="D169" s="149"/>
      <c r="E169" s="158"/>
      <c r="F169" s="167"/>
      <c r="G169" s="117"/>
      <c r="H169" s="105"/>
      <c r="I169" s="117"/>
      <c r="J169" s="105"/>
      <c r="K169" s="117"/>
      <c r="L169" s="105"/>
      <c r="M169" s="99"/>
    </row>
    <row r="170" spans="1:13" x14ac:dyDescent="0.25">
      <c r="B170" t="s">
        <v>879</v>
      </c>
      <c r="C170" t="s">
        <v>23</v>
      </c>
      <c r="D170" s="150">
        <f>IFERROR(INDEX('BD Rendimientos'!G:G,MATCH("02.02.05|Gasolina Extra|gal|materiales",'BD Rendimientos'!L:L,0)),"")</f>
        <v>0.31120331950207469</v>
      </c>
      <c r="E170" s="159">
        <f>IFERROR(INDEX('BD Materiales'!D:D,MATCH("Gasolina Extra",'BD Materiales'!B:B,0)),"")</f>
        <v>2.14</v>
      </c>
      <c r="F170" s="168">
        <f>IFERROR(D170*E170,"")</f>
        <v>0.66597510373443991</v>
      </c>
      <c r="G170" s="118">
        <v>17.25</v>
      </c>
      <c r="H170" s="106">
        <v>2.14</v>
      </c>
      <c r="I170" s="118">
        <v>12</v>
      </c>
      <c r="J170" s="106">
        <v>2.14</v>
      </c>
      <c r="K170" s="118">
        <v>20.48</v>
      </c>
      <c r="L170" s="106">
        <v>2.14</v>
      </c>
      <c r="M170" t="s">
        <v>1920</v>
      </c>
    </row>
    <row r="171" spans="1:13" x14ac:dyDescent="0.25">
      <c r="A171" s="99" t="s">
        <v>5</v>
      </c>
      <c r="B171" s="99"/>
      <c r="C171" s="99"/>
      <c r="D171" s="149"/>
      <c r="E171" s="158"/>
      <c r="F171" s="167"/>
      <c r="G171" s="117"/>
      <c r="H171" s="105"/>
      <c r="I171" s="117"/>
      <c r="J171" s="105"/>
      <c r="K171" s="117"/>
      <c r="L171" s="105"/>
      <c r="M171" s="99"/>
    </row>
    <row r="172" spans="1:13" x14ac:dyDescent="0.25">
      <c r="B172" t="s">
        <v>411</v>
      </c>
      <c r="C172" t="s">
        <v>6</v>
      </c>
      <c r="D172" s="150">
        <f>IFERROR(INDEX('BD Rendimientos'!G:G,MATCH("02.02.05|M. Relleno Compactado Con Material Local (Plintos Y Cimientos)|m3|mano_obra",'BD Rendimientos'!L:L,0)),"")</f>
        <v>1</v>
      </c>
      <c r="E172" s="159">
        <f>IFERROR(INDEX('BD Mano de Obra'!D:D,MATCH("M. Relleno Compactado Con Material Local (Plintos Y Cimientos)",'BD Mano de Obra'!B:B,0)),"")</f>
        <v>4.29</v>
      </c>
      <c r="F172" s="168">
        <f>IFERROR(D172*E172,"")</f>
        <v>4.29</v>
      </c>
      <c r="G172" s="118">
        <v>55.43</v>
      </c>
      <c r="H172" s="106">
        <v>4.29</v>
      </c>
      <c r="I172" s="118">
        <v>28.2</v>
      </c>
      <c r="J172" s="106">
        <v>4.29</v>
      </c>
      <c r="K172" s="118">
        <v>144.88</v>
      </c>
      <c r="L172" s="106">
        <v>4.29</v>
      </c>
    </row>
    <row r="173" spans="1:13" x14ac:dyDescent="0.25">
      <c r="A173" s="99" t="s">
        <v>2</v>
      </c>
      <c r="B173" s="99"/>
      <c r="C173" s="99"/>
      <c r="D173" s="149"/>
      <c r="E173" s="158"/>
      <c r="F173" s="167"/>
      <c r="G173" s="117"/>
      <c r="H173" s="105"/>
      <c r="I173" s="117"/>
      <c r="J173" s="105"/>
      <c r="K173" s="117"/>
      <c r="L173" s="105"/>
      <c r="M173" s="99"/>
    </row>
    <row r="174" spans="1:13" x14ac:dyDescent="0.25">
      <c r="B174" t="s">
        <v>1188</v>
      </c>
      <c r="C174" t="s">
        <v>410</v>
      </c>
      <c r="D174" s="150">
        <f>IFERROR(INDEX('BD Rendimientos'!G:G,MATCH("02.02.05|Alquiler compactador sapo|día|equipo",'BD Rendimientos'!L:L,0)),"")</f>
        <v>0.32480506803606585</v>
      </c>
      <c r="E174" s="159">
        <f>IFERROR(INDEX('BD Equipo'!D:D,MATCH("Alquiler compactador sapo",'BD Equipo'!B:B,0)),"")</f>
        <v>25</v>
      </c>
      <c r="F174" s="168">
        <f>IFERROR(D174*E174,"")</f>
        <v>8.1201267009016469</v>
      </c>
      <c r="G174" s="118">
        <v>23</v>
      </c>
      <c r="H174" s="106">
        <v>25</v>
      </c>
      <c r="I174" s="118">
        <v>9.5</v>
      </c>
      <c r="J174" s="106">
        <v>25</v>
      </c>
      <c r="K174" s="118">
        <v>32.25</v>
      </c>
      <c r="L174" s="106">
        <v>25</v>
      </c>
    </row>
    <row r="175" spans="1:13" ht="16.5" thickBot="1" x14ac:dyDescent="0.3">
      <c r="A175" s="100"/>
      <c r="B175" s="100" t="s">
        <v>645</v>
      </c>
      <c r="C175" s="100" t="s">
        <v>6</v>
      </c>
      <c r="D175" s="151"/>
      <c r="E175" s="160"/>
      <c r="F175" s="169">
        <f>SUM(F170,F172,F174)</f>
        <v>13.076101804636087</v>
      </c>
      <c r="G175" s="119"/>
      <c r="H175" s="107">
        <v>15.3294190871369</v>
      </c>
      <c r="I175" s="119"/>
      <c r="J175" s="107">
        <v>13.622624113475201</v>
      </c>
      <c r="K175" s="119"/>
      <c r="L175" s="107">
        <v>10.157457205963601</v>
      </c>
      <c r="M175" s="100" t="s">
        <v>646</v>
      </c>
    </row>
    <row r="176" spans="1:13" ht="15.75" thickTop="1" x14ac:dyDescent="0.25">
      <c r="D176" s="150"/>
      <c r="E176" s="159"/>
      <c r="F176" s="168"/>
      <c r="G176" s="118"/>
      <c r="H176" s="106"/>
      <c r="I176" s="118"/>
      <c r="J176" s="106"/>
      <c r="K176" s="118"/>
      <c r="L176" s="106"/>
    </row>
    <row r="177" spans="1:13" ht="15.75" thickBot="1" x14ac:dyDescent="0.3">
      <c r="A177" s="96" t="s">
        <v>426</v>
      </c>
      <c r="B177" s="96"/>
      <c r="C177" s="96"/>
      <c r="D177" s="155"/>
      <c r="E177" s="164"/>
      <c r="F177" s="173"/>
      <c r="G177" s="123"/>
      <c r="H177" s="111"/>
      <c r="I177" s="123"/>
      <c r="J177" s="111"/>
      <c r="K177" s="123"/>
      <c r="L177" s="111"/>
      <c r="M177" s="96"/>
    </row>
    <row r="178" spans="1:13" ht="15.75" thickTop="1" x14ac:dyDescent="0.25">
      <c r="A178" s="98" t="s">
        <v>409</v>
      </c>
      <c r="B178" s="98" t="s">
        <v>408</v>
      </c>
      <c r="C178" s="98" t="s">
        <v>130</v>
      </c>
      <c r="D178" s="154" t="s">
        <v>635</v>
      </c>
      <c r="E178" s="163" t="s">
        <v>636</v>
      </c>
      <c r="F178" s="172" t="s">
        <v>637</v>
      </c>
      <c r="G178" s="122" t="s">
        <v>638</v>
      </c>
      <c r="H178" s="110" t="s">
        <v>639</v>
      </c>
      <c r="I178" s="122" t="s">
        <v>640</v>
      </c>
      <c r="J178" s="110" t="s">
        <v>641</v>
      </c>
      <c r="K178" s="122" t="s">
        <v>642</v>
      </c>
      <c r="L178" s="110" t="s">
        <v>643</v>
      </c>
      <c r="M178" s="98" t="s">
        <v>668</v>
      </c>
    </row>
    <row r="179" spans="1:13" x14ac:dyDescent="0.25">
      <c r="A179" s="99" t="s">
        <v>11</v>
      </c>
      <c r="B179" s="99"/>
      <c r="C179" s="99"/>
      <c r="D179" s="149"/>
      <c r="E179" s="158"/>
      <c r="F179" s="167"/>
      <c r="G179" s="117"/>
      <c r="H179" s="105"/>
      <c r="I179" s="117"/>
      <c r="J179" s="105"/>
      <c r="K179" s="117"/>
      <c r="L179" s="105"/>
      <c r="M179" s="99"/>
    </row>
    <row r="180" spans="1:13" x14ac:dyDescent="0.25">
      <c r="A180" s="101"/>
      <c r="B180" s="101" t="s">
        <v>818</v>
      </c>
      <c r="C180" s="101" t="s">
        <v>30</v>
      </c>
      <c r="D180" s="152">
        <f>IFERROR(INDEX('BD Rendimientos'!G:G,MATCH("02.02.06|Clavos galvanizados 2 1/2""|Kg.|materiales",'BD Rendimientos'!L:L,0)),"")</f>
        <v>8.270321361058602E-3</v>
      </c>
      <c r="E180" s="161">
        <f>IFERROR(INDEX('BD Materiales'!D:D,MATCH("Clavos galvanizados 2 1/2""",'BD Materiales'!B:B,0)),"")</f>
        <v>1.84375</v>
      </c>
      <c r="F180" s="170">
        <f>IFERROR(D180*E180,"")</f>
        <v>1.5248405009451798E-2</v>
      </c>
      <c r="G180" s="120"/>
      <c r="H180" s="108"/>
      <c r="I180" s="120"/>
      <c r="J180" s="108"/>
      <c r="K180" s="120">
        <v>1.75</v>
      </c>
      <c r="L180" s="108">
        <v>2.02</v>
      </c>
      <c r="M180" s="101" t="s">
        <v>647</v>
      </c>
    </row>
    <row r="181" spans="1:13" x14ac:dyDescent="0.25">
      <c r="A181" s="101"/>
      <c r="B181" s="101" t="s">
        <v>822</v>
      </c>
      <c r="C181" s="101" t="s">
        <v>30</v>
      </c>
      <c r="D181" s="152">
        <f>IFERROR(INDEX('BD Rendimientos'!G:G,MATCH("02.02.06|Clavos galvanizados 2""|Kg.|materiales",'BD Rendimientos'!L:L,0)),"")</f>
        <v>2.3629489603024575E-3</v>
      </c>
      <c r="E181" s="161">
        <f>IFERROR(INDEX('BD Materiales'!D:D,MATCH("Clavos galvanizados 2""",'BD Materiales'!B:B,0)),"")</f>
        <v>2.0827777777777783</v>
      </c>
      <c r="F181" s="170">
        <f>IFERROR(D181*E181,"")</f>
        <v>4.9214975845410644E-3</v>
      </c>
      <c r="G181" s="120"/>
      <c r="H181" s="108"/>
      <c r="I181" s="120"/>
      <c r="J181" s="108"/>
      <c r="K181" s="120">
        <v>0.5</v>
      </c>
      <c r="L181" s="108">
        <v>2.16</v>
      </c>
      <c r="M181" s="101" t="s">
        <v>647</v>
      </c>
    </row>
    <row r="182" spans="1:13" x14ac:dyDescent="0.25">
      <c r="A182" s="101"/>
      <c r="B182" s="101" t="s">
        <v>370</v>
      </c>
      <c r="C182" s="101" t="s">
        <v>144</v>
      </c>
      <c r="D182" s="152">
        <f>IFERROR(INDEX('BD Rendimientos'!G:G,MATCH("02.02.06|Plastico Negro 1.5 mts (Plastico Negro 1.5 mts (1.98mts x kg) (50.50 kilos))|rollo|materiales",'BD Rendimientos'!L:L,0)),"")</f>
        <v>1.5075614366729679E-2</v>
      </c>
      <c r="E182" s="161">
        <f>IFERROR(INDEX('BD Materiales'!D:D,MATCH("Plastico Negro 1.5 mts (Plastico Negro 1.5 mts (1.98mts x kg) (50.50 kilos))",'BD Materiales'!B:B,0)),"")</f>
        <v>67.681818181818173</v>
      </c>
      <c r="F182" s="170">
        <f>IFERROR(D182*E182,"")</f>
        <v>1.020344990548204</v>
      </c>
      <c r="G182" s="120"/>
      <c r="H182" s="108"/>
      <c r="I182" s="120"/>
      <c r="J182" s="108"/>
      <c r="K182" s="120">
        <v>3.19</v>
      </c>
      <c r="L182" s="108">
        <v>72.849999999999994</v>
      </c>
      <c r="M182" s="101" t="s">
        <v>647</v>
      </c>
    </row>
    <row r="183" spans="1:13" x14ac:dyDescent="0.25">
      <c r="A183" s="99" t="s">
        <v>5</v>
      </c>
      <c r="B183" s="99"/>
      <c r="C183" s="99"/>
      <c r="D183" s="149"/>
      <c r="E183" s="158"/>
      <c r="F183" s="167"/>
      <c r="G183" s="117"/>
      <c r="H183" s="105"/>
      <c r="I183" s="117"/>
      <c r="J183" s="105"/>
      <c r="K183" s="117"/>
      <c r="L183" s="105"/>
      <c r="M183" s="99"/>
    </row>
    <row r="184" spans="1:13" x14ac:dyDescent="0.25">
      <c r="A184" s="101"/>
      <c r="B184" s="101" t="s">
        <v>406</v>
      </c>
      <c r="C184" s="101" t="s">
        <v>130</v>
      </c>
      <c r="D184" s="152">
        <f>IFERROR(INDEX('BD Rendimientos'!G:G,MATCH("02.02.06|M. Perfilado de taludes Muros|m2|mano_obra",'BD Rendimientos'!L:L,0)),"")</f>
        <v>1</v>
      </c>
      <c r="E184" s="161">
        <f>IFERROR(INDEX('BD Mano de Obra'!D:D,MATCH("M. Perfilado de taludes Muros",'BD Mano de Obra'!B:B,0)),"")</f>
        <v>1.86</v>
      </c>
      <c r="F184" s="170">
        <f>IFERROR(D184*E184,"")</f>
        <v>1.86</v>
      </c>
      <c r="G184" s="120"/>
      <c r="H184" s="108"/>
      <c r="I184" s="120"/>
      <c r="J184" s="108"/>
      <c r="K184" s="120">
        <v>211.6</v>
      </c>
      <c r="L184" s="108">
        <v>1.86</v>
      </c>
      <c r="M184" s="101" t="s">
        <v>647</v>
      </c>
    </row>
    <row r="185" spans="1:13" x14ac:dyDescent="0.25">
      <c r="A185" s="99" t="s">
        <v>2</v>
      </c>
      <c r="B185" s="99"/>
      <c r="C185" s="99"/>
      <c r="D185" s="149"/>
      <c r="E185" s="158"/>
      <c r="F185" s="167"/>
      <c r="G185" s="117"/>
      <c r="H185" s="105"/>
      <c r="I185" s="117"/>
      <c r="J185" s="105"/>
      <c r="K185" s="117"/>
      <c r="L185" s="105"/>
      <c r="M185" s="99"/>
    </row>
    <row r="186" spans="1:13" x14ac:dyDescent="0.25">
      <c r="A186" s="101"/>
      <c r="B186" s="101" t="s">
        <v>328</v>
      </c>
      <c r="C186" s="101" t="s">
        <v>78</v>
      </c>
      <c r="D186" s="152">
        <f>IFERROR(INDEX('BD Rendimientos'!G:G,MATCH("02.02.06|Alquiler de Maquinaria (retroex (Alquiler de Maquinaria (retroexcavadora))|Hr.|equipo",'BD Rendimientos'!L:L,0)),"")</f>
        <v>2.3629489603024575E-2</v>
      </c>
      <c r="E186" s="161">
        <f>IFERROR(INDEX('BD Equipo'!D:D,MATCH("Alquiler de Maquinaria (retroex (Alquiler de Maquinaria (retroexcavadora))",'BD Equipo'!B:B,0)),"")</f>
        <v>22</v>
      </c>
      <c r="F186" s="170">
        <f>IFERROR(D186*E186,"")</f>
        <v>0.51984877126654061</v>
      </c>
      <c r="G186" s="120"/>
      <c r="H186" s="108"/>
      <c r="I186" s="120"/>
      <c r="J186" s="108"/>
      <c r="K186" s="120">
        <v>5</v>
      </c>
      <c r="L186" s="108">
        <v>22</v>
      </c>
      <c r="M186" s="101" t="s">
        <v>647</v>
      </c>
    </row>
    <row r="187" spans="1:13" ht="16.5" thickBot="1" x14ac:dyDescent="0.3">
      <c r="A187" s="100"/>
      <c r="B187" s="100" t="s">
        <v>645</v>
      </c>
      <c r="C187" s="100" t="s">
        <v>130</v>
      </c>
      <c r="D187" s="151"/>
      <c r="E187" s="160"/>
      <c r="F187" s="169">
        <f>SUM(F180,F181,F182,F184,F186)</f>
        <v>3.4203636644087374</v>
      </c>
      <c r="G187" s="119"/>
      <c r="H187" s="107"/>
      <c r="I187" s="119"/>
      <c r="J187" s="107"/>
      <c r="K187" s="119"/>
      <c r="L187" s="107">
        <v>3.4999172967863901</v>
      </c>
      <c r="M187" s="100" t="s">
        <v>646</v>
      </c>
    </row>
    <row r="188" spans="1:13" ht="15.75" thickTop="1" x14ac:dyDescent="0.25">
      <c r="D188" s="150"/>
      <c r="E188" s="159"/>
      <c r="F188" s="168"/>
      <c r="G188" s="118"/>
      <c r="H188" s="106"/>
      <c r="I188" s="118"/>
      <c r="J188" s="106"/>
      <c r="K188" s="118"/>
      <c r="L188" s="106"/>
    </row>
    <row r="189" spans="1:13" ht="17.25" x14ac:dyDescent="0.3">
      <c r="A189" s="95" t="s">
        <v>405</v>
      </c>
      <c r="B189" s="95"/>
      <c r="C189" s="95"/>
      <c r="D189" s="147"/>
      <c r="E189" s="156"/>
      <c r="F189" s="165"/>
      <c r="G189" s="115"/>
      <c r="H189" s="103"/>
      <c r="I189" s="115"/>
      <c r="J189" s="103"/>
      <c r="K189" s="115"/>
      <c r="L189" s="103"/>
      <c r="M189" s="95"/>
    </row>
    <row r="190" spans="1:13" ht="15.75" thickBot="1" x14ac:dyDescent="0.3">
      <c r="A190" s="96" t="s">
        <v>404</v>
      </c>
      <c r="B190" s="96"/>
      <c r="C190" s="96"/>
      <c r="D190" s="155"/>
      <c r="E190" s="164"/>
      <c r="F190" s="173"/>
      <c r="G190" s="123"/>
      <c r="H190" s="111"/>
      <c r="I190" s="123"/>
      <c r="J190" s="111"/>
      <c r="K190" s="123"/>
      <c r="L190" s="111"/>
      <c r="M190" s="96"/>
    </row>
    <row r="191" spans="1:13" ht="15.75" thickTop="1" x14ac:dyDescent="0.25">
      <c r="A191" s="97" t="s">
        <v>403</v>
      </c>
      <c r="B191" s="97" t="s">
        <v>402</v>
      </c>
      <c r="C191" s="97" t="s">
        <v>130</v>
      </c>
      <c r="D191" s="148" t="s">
        <v>635</v>
      </c>
      <c r="E191" s="157" t="s">
        <v>636</v>
      </c>
      <c r="F191" s="166" t="s">
        <v>637</v>
      </c>
      <c r="G191" s="116" t="s">
        <v>638</v>
      </c>
      <c r="H191" s="104" t="s">
        <v>639</v>
      </c>
      <c r="I191" s="116" t="s">
        <v>640</v>
      </c>
      <c r="J191" s="104" t="s">
        <v>641</v>
      </c>
      <c r="K191" s="116" t="s">
        <v>642</v>
      </c>
      <c r="L191" s="104" t="s">
        <v>643</v>
      </c>
      <c r="M191" s="97" t="s">
        <v>644</v>
      </c>
    </row>
    <row r="192" spans="1:13" x14ac:dyDescent="0.25">
      <c r="A192" s="99" t="s">
        <v>11</v>
      </c>
      <c r="B192" s="99"/>
      <c r="C192" s="99"/>
      <c r="D192" s="149"/>
      <c r="E192" s="158"/>
      <c r="F192" s="167"/>
      <c r="G192" s="117"/>
      <c r="H192" s="105"/>
      <c r="I192" s="117"/>
      <c r="J192" s="105"/>
      <c r="K192" s="117"/>
      <c r="L192" s="105"/>
      <c r="M192" s="99"/>
    </row>
    <row r="193" spans="1:13" x14ac:dyDescent="0.25">
      <c r="B193" t="s">
        <v>854</v>
      </c>
      <c r="C193" t="s">
        <v>15</v>
      </c>
      <c r="D193" s="150">
        <f>IFERROR(INDEX('BD Rendimientos'!G:G,MATCH("03.01.01|Disco de corte metal 9""|Uni.|materiales",'BD Rendimientos'!L:L,0)),"")</f>
        <v>1.4947980270509566E-3</v>
      </c>
      <c r="E193" s="159">
        <f>IFERROR(INDEX('BD Materiales'!D:D,MATCH("Disco de corte metal 9""",'BD Materiales'!B:B,0)),"")</f>
        <v>2.5252631578947367</v>
      </c>
      <c r="F193" s="168">
        <f>IFERROR(D193*E193,"")</f>
        <v>3.7747583862055207E-3</v>
      </c>
      <c r="G193" s="118">
        <v>2</v>
      </c>
      <c r="H193" s="106">
        <v>2.54</v>
      </c>
      <c r="I193" s="118">
        <v>1</v>
      </c>
      <c r="J193" s="106">
        <v>2.61</v>
      </c>
      <c r="K193" s="118">
        <v>3</v>
      </c>
      <c r="L193" s="106">
        <v>2.61</v>
      </c>
    </row>
    <row r="194" spans="1:13" x14ac:dyDescent="0.25">
      <c r="B194" t="s">
        <v>64</v>
      </c>
      <c r="C194" t="s">
        <v>15</v>
      </c>
      <c r="D194" s="150">
        <f>IFERROR(INDEX('BD Rendimientos'!G:G,MATCH("03.01.01|Malla Armex Elect.6mmx15x15R188 (Malla Armex Elect.6mmx15x15 R188)|Uni.|materiales",'BD Rendimientos'!L:L,0)),"")</f>
        <v>3.897141386486333E-2</v>
      </c>
      <c r="E194" s="159">
        <f>IFERROR(INDEX('BD Materiales'!D:D,MATCH("Malla Armex Elect.6mmx15x15R188 (Malla Armex Elect.6mmx15x15 R188)",'BD Materiales'!B:B,0)),"")</f>
        <v>50.794114583333339</v>
      </c>
      <c r="F194" s="168">
        <f>IFERROR(D194*E194,"")</f>
        <v>1.9795184613263737</v>
      </c>
      <c r="G194" s="118">
        <v>42</v>
      </c>
      <c r="H194" s="106">
        <v>46.04</v>
      </c>
      <c r="I194" s="118">
        <v>34</v>
      </c>
      <c r="J194" s="106">
        <v>51.95</v>
      </c>
      <c r="K194" s="118">
        <v>85</v>
      </c>
      <c r="L194" s="106">
        <v>55.26</v>
      </c>
    </row>
    <row r="195" spans="1:13" x14ac:dyDescent="0.25">
      <c r="A195" s="101"/>
      <c r="B195" s="101" t="s">
        <v>1029</v>
      </c>
      <c r="C195" s="101" t="s">
        <v>15</v>
      </c>
      <c r="D195" s="152">
        <f>IFERROR(INDEX('BD Rendimientos'!G:G,MATCH("03.01.01|Tiza Industrial|Uni.|materiales",'BD Rendimientos'!L:L,0)),"")</f>
        <v>1.128528060850233E-3</v>
      </c>
      <c r="E195" s="161">
        <f>IFERROR(INDEX('BD Materiales'!D:D,MATCH("Tiza Industrial",'BD Materiales'!B:B,0)),"")</f>
        <v>0.11418750000000004</v>
      </c>
      <c r="F195" s="170">
        <f>IFERROR(D195*E195,"")</f>
        <v>1.2886379794833602E-4</v>
      </c>
      <c r="G195" s="120">
        <v>1</v>
      </c>
      <c r="H195" s="108">
        <v>0.11</v>
      </c>
      <c r="I195" s="120"/>
      <c r="J195" s="108"/>
      <c r="K195" s="120"/>
      <c r="L195" s="108"/>
      <c r="M195" s="101" t="s">
        <v>647</v>
      </c>
    </row>
    <row r="196" spans="1:13" x14ac:dyDescent="0.25">
      <c r="A196" s="99" t="s">
        <v>5</v>
      </c>
      <c r="B196" s="99"/>
      <c r="C196" s="99"/>
      <c r="D196" s="149"/>
      <c r="E196" s="158"/>
      <c r="F196" s="167"/>
      <c r="G196" s="117"/>
      <c r="H196" s="105"/>
      <c r="I196" s="117"/>
      <c r="J196" s="105"/>
      <c r="K196" s="117"/>
      <c r="L196" s="105"/>
      <c r="M196" s="99"/>
    </row>
    <row r="197" spans="1:13" x14ac:dyDescent="0.25">
      <c r="B197" t="s">
        <v>401</v>
      </c>
      <c r="C197" t="s">
        <v>130</v>
      </c>
      <c r="D197" s="150">
        <f>IFERROR(INDEX('BD Rendimientos'!G:G,MATCH("03.01.01|M. Malla De Refuerzo 6*15|m2|mano_obra",'BD Rendimientos'!L:L,0)),"")</f>
        <v>1</v>
      </c>
      <c r="E197" s="159">
        <f>IFERROR(INDEX('BD Mano de Obra'!D:D,MATCH("M. Malla De Refuerzo 6*15",'BD Mano de Obra'!B:B,0)),"")</f>
        <v>1.04</v>
      </c>
      <c r="F197" s="168">
        <f>IFERROR(D197*E197,"")</f>
        <v>1.04</v>
      </c>
      <c r="G197" s="118">
        <v>886.11</v>
      </c>
      <c r="H197" s="106">
        <v>1.04</v>
      </c>
      <c r="I197" s="118">
        <v>884.29</v>
      </c>
      <c r="J197" s="106">
        <v>1.04</v>
      </c>
      <c r="K197" s="118">
        <v>2736.01</v>
      </c>
      <c r="L197" s="106">
        <v>1.04</v>
      </c>
    </row>
    <row r="198" spans="1:13" x14ac:dyDescent="0.25">
      <c r="A198" s="99" t="s">
        <v>2</v>
      </c>
      <c r="B198" s="99"/>
      <c r="C198" s="99"/>
      <c r="D198" s="149"/>
      <c r="E198" s="158"/>
      <c r="F198" s="167"/>
      <c r="G198" s="117"/>
      <c r="H198" s="105"/>
      <c r="I198" s="117"/>
      <c r="J198" s="105"/>
      <c r="K198" s="117"/>
      <c r="L198" s="105"/>
      <c r="M198" s="99"/>
    </row>
    <row r="199" spans="1:13" x14ac:dyDescent="0.25">
      <c r="A199" s="101"/>
      <c r="B199" s="101" t="s">
        <v>1237</v>
      </c>
      <c r="C199" s="101" t="s">
        <v>15</v>
      </c>
      <c r="D199" s="152">
        <f>IFERROR(INDEX('BD Rendimientos'!G:G,MATCH("03.01.01|Transporte de Montacargas|Uni.|equipo",'BD Rendimientos'!L:L,0)),"")</f>
        <v>3.6549574014714856E-4</v>
      </c>
      <c r="E199" s="161">
        <f>IFERROR(INDEX('BD Equipo'!D:D,MATCH("Transporte de Montacargas",'BD Equipo'!B:B,0)),"")</f>
        <v>70</v>
      </c>
      <c r="F199" s="170">
        <f>IFERROR(D199*E199,"")</f>
        <v>2.5584701810300401E-2</v>
      </c>
      <c r="G199" s="120"/>
      <c r="H199" s="108"/>
      <c r="I199" s="120"/>
      <c r="J199" s="108"/>
      <c r="K199" s="120">
        <v>1</v>
      </c>
      <c r="L199" s="108">
        <v>70</v>
      </c>
      <c r="M199" s="101" t="s">
        <v>647</v>
      </c>
    </row>
    <row r="200" spans="1:13" ht="16.5" thickBot="1" x14ac:dyDescent="0.3">
      <c r="A200" s="100"/>
      <c r="B200" s="100" t="s">
        <v>645</v>
      </c>
      <c r="C200" s="100" t="s">
        <v>130</v>
      </c>
      <c r="D200" s="151"/>
      <c r="E200" s="160"/>
      <c r="F200" s="169">
        <f>SUM(F193,F194,F195,F197,F199)</f>
        <v>3.0490067853208278</v>
      </c>
      <c r="G200" s="119"/>
      <c r="H200" s="107">
        <v>3.22806920134069</v>
      </c>
      <c r="I200" s="119"/>
      <c r="J200" s="107">
        <v>3.0403731807438699</v>
      </c>
      <c r="K200" s="119"/>
      <c r="L200" s="107">
        <v>2.7852165745008199</v>
      </c>
      <c r="M200" s="100" t="s">
        <v>646</v>
      </c>
    </row>
    <row r="201" spans="1:13" ht="15.75" thickTop="1" x14ac:dyDescent="0.25">
      <c r="D201" s="150"/>
      <c r="E201" s="159"/>
      <c r="F201" s="168"/>
      <c r="G201" s="118"/>
      <c r="H201" s="106"/>
      <c r="I201" s="118"/>
      <c r="J201" s="106"/>
      <c r="K201" s="118"/>
      <c r="L201" s="106"/>
    </row>
    <row r="202" spans="1:13" ht="15.75" thickBot="1" x14ac:dyDescent="0.3">
      <c r="A202" s="96" t="s">
        <v>404</v>
      </c>
      <c r="B202" s="96"/>
      <c r="C202" s="96"/>
      <c r="D202" s="155"/>
      <c r="E202" s="164"/>
      <c r="F202" s="173"/>
      <c r="G202" s="123"/>
      <c r="H202" s="111"/>
      <c r="I202" s="123"/>
      <c r="J202" s="111"/>
      <c r="K202" s="123"/>
      <c r="L202" s="111"/>
      <c r="M202" s="96"/>
    </row>
    <row r="203" spans="1:13" ht="15.75" thickTop="1" x14ac:dyDescent="0.25">
      <c r="A203" s="98" t="s">
        <v>399</v>
      </c>
      <c r="B203" s="98" t="s">
        <v>398</v>
      </c>
      <c r="C203" s="98" t="s">
        <v>30</v>
      </c>
      <c r="D203" s="154" t="s">
        <v>635</v>
      </c>
      <c r="E203" s="163" t="s">
        <v>636</v>
      </c>
      <c r="F203" s="172" t="s">
        <v>637</v>
      </c>
      <c r="G203" s="122" t="s">
        <v>638</v>
      </c>
      <c r="H203" s="110" t="s">
        <v>639</v>
      </c>
      <c r="I203" s="122" t="s">
        <v>640</v>
      </c>
      <c r="J203" s="110" t="s">
        <v>641</v>
      </c>
      <c r="K203" s="122" t="s">
        <v>642</v>
      </c>
      <c r="L203" s="110" t="s">
        <v>643</v>
      </c>
      <c r="M203" s="98" t="s">
        <v>668</v>
      </c>
    </row>
    <row r="204" spans="1:13" x14ac:dyDescent="0.25">
      <c r="A204" s="99" t="s">
        <v>11</v>
      </c>
      <c r="B204" s="99"/>
      <c r="C204" s="99"/>
      <c r="D204" s="149"/>
      <c r="E204" s="158"/>
      <c r="F204" s="167"/>
      <c r="G204" s="117"/>
      <c r="H204" s="105"/>
      <c r="I204" s="117"/>
      <c r="J204" s="105"/>
      <c r="K204" s="117"/>
      <c r="L204" s="105"/>
      <c r="M204" s="99"/>
    </row>
    <row r="205" spans="1:13" x14ac:dyDescent="0.25">
      <c r="A205" s="101"/>
      <c r="B205" s="101" t="s">
        <v>1042</v>
      </c>
      <c r="C205" s="101" t="s">
        <v>15</v>
      </c>
      <c r="D205" s="152">
        <f>IFERROR(INDEX('BD Rendimientos'!G:G,MATCH("03.01.02|Varilla Hierro D=08mmx12m|Uni.|materiales",'BD Rendimientos'!L:L,0)),"")</f>
        <v>0.2109704641350211</v>
      </c>
      <c r="E205" s="161">
        <f>IFERROR(INDEX('BD Materiales'!D:D,MATCH("Varilla Hierro D=08mmx12m",'BD Materiales'!B:B,0)),"")</f>
        <v>5.0599999999999996</v>
      </c>
      <c r="F205" s="170">
        <f>IFERROR(D205*E205,"")</f>
        <v>1.0675105485232066</v>
      </c>
      <c r="G205" s="120">
        <v>19</v>
      </c>
      <c r="H205" s="108">
        <v>5.0599999999999996</v>
      </c>
      <c r="I205" s="120"/>
      <c r="J205" s="108"/>
      <c r="K205" s="120"/>
      <c r="L205" s="108"/>
      <c r="M205" s="101" t="s">
        <v>647</v>
      </c>
    </row>
    <row r="206" spans="1:13" x14ac:dyDescent="0.25">
      <c r="A206" s="99" t="s">
        <v>5</v>
      </c>
      <c r="B206" s="99"/>
      <c r="C206" s="99"/>
      <c r="D206" s="149"/>
      <c r="E206" s="158"/>
      <c r="F206" s="167"/>
      <c r="G206" s="117"/>
      <c r="H206" s="105"/>
      <c r="I206" s="117"/>
      <c r="J206" s="105"/>
      <c r="K206" s="117"/>
      <c r="L206" s="105"/>
      <c r="M206" s="99"/>
    </row>
    <row r="207" spans="1:13" x14ac:dyDescent="0.25">
      <c r="A207" s="101"/>
      <c r="B207" s="101" t="s">
        <v>396</v>
      </c>
      <c r="C207" s="101" t="s">
        <v>30</v>
      </c>
      <c r="D207" s="152">
        <f>IFERROR(INDEX('BD Rendimientos'!G:G,MATCH("03.01.02|M. Hierro 8 Mm X 12 M|Kg.|mano_obra",'BD Rendimientos'!L:L,0)),"")</f>
        <v>1</v>
      </c>
      <c r="E207" s="161">
        <f>IFERROR(INDEX('BD Mano de Obra'!D:D,MATCH("M. Hierro 8 Mm X 12 M",'BD Mano de Obra'!B:B,0)),"")</f>
        <v>0.32</v>
      </c>
      <c r="F207" s="170">
        <f>IFERROR(D207*E207,"")</f>
        <v>0.32</v>
      </c>
      <c r="G207" s="120">
        <v>90.06</v>
      </c>
      <c r="H207" s="108">
        <v>0.32</v>
      </c>
      <c r="I207" s="120"/>
      <c r="J207" s="108"/>
      <c r="K207" s="120"/>
      <c r="L207" s="108"/>
      <c r="M207" s="101" t="s">
        <v>647</v>
      </c>
    </row>
    <row r="208" spans="1:13" ht="16.5" thickBot="1" x14ac:dyDescent="0.3">
      <c r="A208" s="100"/>
      <c r="B208" s="100" t="s">
        <v>645</v>
      </c>
      <c r="C208" s="100" t="s">
        <v>30</v>
      </c>
      <c r="D208" s="151"/>
      <c r="E208" s="160"/>
      <c r="F208" s="169">
        <f>SUM(F205,F207)</f>
        <v>1.3875105485232067</v>
      </c>
      <c r="G208" s="119"/>
      <c r="H208" s="107">
        <v>1.38751054852321</v>
      </c>
      <c r="I208" s="119"/>
      <c r="J208" s="107"/>
      <c r="K208" s="119"/>
      <c r="L208" s="107"/>
      <c r="M208" s="100" t="s">
        <v>646</v>
      </c>
    </row>
    <row r="209" spans="1:13" ht="15.75" thickTop="1" x14ac:dyDescent="0.25">
      <c r="D209" s="150"/>
      <c r="E209" s="159"/>
      <c r="F209" s="168"/>
      <c r="G209" s="118"/>
      <c r="H209" s="106"/>
      <c r="I209" s="118"/>
      <c r="J209" s="106"/>
      <c r="K209" s="118"/>
      <c r="L209" s="106"/>
    </row>
    <row r="210" spans="1:13" ht="15.75" thickBot="1" x14ac:dyDescent="0.3">
      <c r="A210" s="96" t="s">
        <v>404</v>
      </c>
      <c r="B210" s="96"/>
      <c r="C210" s="96"/>
      <c r="D210" s="155"/>
      <c r="E210" s="164"/>
      <c r="F210" s="173"/>
      <c r="G210" s="123"/>
      <c r="H210" s="111"/>
      <c r="I210" s="123"/>
      <c r="J210" s="111"/>
      <c r="K210" s="123"/>
      <c r="L210" s="111"/>
      <c r="M210" s="96"/>
    </row>
    <row r="211" spans="1:13" ht="15.75" thickTop="1" x14ac:dyDescent="0.25">
      <c r="A211" s="97" t="s">
        <v>395</v>
      </c>
      <c r="B211" s="97" t="s">
        <v>394</v>
      </c>
      <c r="C211" s="97" t="s">
        <v>30</v>
      </c>
      <c r="D211" s="148" t="s">
        <v>635</v>
      </c>
      <c r="E211" s="157" t="s">
        <v>636</v>
      </c>
      <c r="F211" s="166" t="s">
        <v>637</v>
      </c>
      <c r="G211" s="116" t="s">
        <v>638</v>
      </c>
      <c r="H211" s="104" t="s">
        <v>639</v>
      </c>
      <c r="I211" s="116" t="s">
        <v>640</v>
      </c>
      <c r="J211" s="104" t="s">
        <v>641</v>
      </c>
      <c r="K211" s="116" t="s">
        <v>642</v>
      </c>
      <c r="L211" s="104" t="s">
        <v>643</v>
      </c>
      <c r="M211" s="97" t="s">
        <v>644</v>
      </c>
    </row>
    <row r="212" spans="1:13" x14ac:dyDescent="0.25">
      <c r="A212" s="99" t="s">
        <v>11</v>
      </c>
      <c r="B212" s="99"/>
      <c r="C212" s="99"/>
      <c r="D212" s="149"/>
      <c r="E212" s="158"/>
      <c r="F212" s="167"/>
      <c r="G212" s="117"/>
      <c r="H212" s="105"/>
      <c r="I212" s="117"/>
      <c r="J212" s="105"/>
      <c r="K212" s="117"/>
      <c r="L212" s="105"/>
      <c r="M212" s="99"/>
    </row>
    <row r="213" spans="1:13" x14ac:dyDescent="0.25">
      <c r="B213" t="s">
        <v>383</v>
      </c>
      <c r="C213" t="s">
        <v>382</v>
      </c>
      <c r="D213" s="150">
        <f>IFERROR(INDEX('BD Rendimientos'!G:G,MATCH("03.01.03|Alambre recocido N18 (20kg) (Alambre recocido N18 (20kg))|Rr20Kg|materiales",'BD Rendimientos'!L:L,0)),"")</f>
        <v>2.8697941588102881E-4</v>
      </c>
      <c r="E213" s="159">
        <f>IFERROR(INDEX('BD Materiales'!D:D,MATCH("Alambre recocido N18 (20kg) (Alambre recocido N18 (20kg))",'BD Materiales'!B:B,0)),"")</f>
        <v>32.625000000000007</v>
      </c>
      <c r="F213" s="168">
        <f>IFERROR(D213*E213,"")</f>
        <v>9.3627034431185661E-3</v>
      </c>
      <c r="G213" s="118">
        <v>2</v>
      </c>
      <c r="H213" s="106">
        <v>29.65</v>
      </c>
      <c r="I213" s="118">
        <v>2</v>
      </c>
      <c r="J213" s="106">
        <v>34.53</v>
      </c>
      <c r="K213" s="118">
        <v>1</v>
      </c>
      <c r="L213" s="106">
        <v>33.49</v>
      </c>
    </row>
    <row r="214" spans="1:13" x14ac:dyDescent="0.25">
      <c r="B214" t="s">
        <v>854</v>
      </c>
      <c r="C214" t="s">
        <v>15</v>
      </c>
      <c r="D214" s="150">
        <f>IFERROR(INDEX('BD Rendimientos'!G:G,MATCH("03.01.03|Disco de corte metal 9""|Uni.|materiales",'BD Rendimientos'!L:L,0)),"")</f>
        <v>3.3967692294059786E-3</v>
      </c>
      <c r="E214" s="159">
        <f>IFERROR(INDEX('BD Materiales'!D:D,MATCH("Disco de corte metal 9""",'BD Materiales'!B:B,0)),"")</f>
        <v>2.5252631578947367</v>
      </c>
      <c r="F214" s="168">
        <f>IFERROR(D214*E214,"")</f>
        <v>8.5777361908894127E-3</v>
      </c>
      <c r="G214" s="118">
        <v>23</v>
      </c>
      <c r="H214" s="106">
        <v>2.37</v>
      </c>
      <c r="I214" s="118">
        <v>18</v>
      </c>
      <c r="J214" s="106">
        <v>2.61</v>
      </c>
      <c r="K214" s="118">
        <v>6</v>
      </c>
      <c r="L214" s="106">
        <v>2.54</v>
      </c>
      <c r="M214" t="s">
        <v>1920</v>
      </c>
    </row>
    <row r="215" spans="1:13" x14ac:dyDescent="0.25">
      <c r="B215" t="s">
        <v>987</v>
      </c>
      <c r="C215" t="s">
        <v>15</v>
      </c>
      <c r="D215" s="150">
        <f>IFERROR(INDEX('BD Rendimientos'!G:G,MATCH("03.01.03|Sierra Sanflex Hoja|Uni.|materiales",'BD Rendimientos'!L:L,0)),"")</f>
        <v>5.5226129138479288E-4</v>
      </c>
      <c r="E215" s="159">
        <f>IFERROR(INDEX('BD Materiales'!D:D,MATCH("Sierra Sanflex Hoja",'BD Materiales'!B:B,0)),"")</f>
        <v>0.92727272727272725</v>
      </c>
      <c r="F215" s="168">
        <f>IFERROR(D215*E215,"")</f>
        <v>5.1209683382953523E-4</v>
      </c>
      <c r="G215" s="118">
        <v>1</v>
      </c>
      <c r="H215" s="106">
        <v>0.88</v>
      </c>
      <c r="I215" s="118">
        <v>3</v>
      </c>
      <c r="J215" s="106">
        <v>0.94</v>
      </c>
      <c r="K215" s="118">
        <v>3</v>
      </c>
      <c r="L215" s="106">
        <v>0.96</v>
      </c>
      <c r="M215" t="s">
        <v>1920</v>
      </c>
    </row>
    <row r="216" spans="1:13" x14ac:dyDescent="0.25">
      <c r="B216" t="s">
        <v>1029</v>
      </c>
      <c r="C216" t="s">
        <v>15</v>
      </c>
      <c r="D216" s="150">
        <f>IFERROR(INDEX('BD Rendimientos'!G:G,MATCH("03.01.03|Tiza Industrial|Uni.|materiales",'BD Rendimientos'!L:L,0)),"")</f>
        <v>1.1850123769279106E-3</v>
      </c>
      <c r="E216" s="159">
        <f>IFERROR(INDEX('BD Materiales'!D:D,MATCH("Tiza Industrial",'BD Materiales'!B:B,0)),"")</f>
        <v>0.11418750000000004</v>
      </c>
      <c r="F216" s="168">
        <f>IFERROR(D216*E216,"")</f>
        <v>1.3531360079045585E-4</v>
      </c>
      <c r="G216" s="118">
        <v>10</v>
      </c>
      <c r="H216" s="106">
        <v>0.11600000000000001</v>
      </c>
      <c r="I216" s="118">
        <v>8</v>
      </c>
      <c r="J216" s="106">
        <v>0.12</v>
      </c>
      <c r="K216" s="118">
        <v>3</v>
      </c>
      <c r="L216" s="106">
        <v>0.11</v>
      </c>
    </row>
    <row r="217" spans="1:13" x14ac:dyDescent="0.25">
      <c r="B217" t="s">
        <v>1044</v>
      </c>
      <c r="C217" t="s">
        <v>15</v>
      </c>
      <c r="D217" s="150">
        <f>IFERROR(INDEX('BD Rendimientos'!G:G,MATCH("03.01.03|Varilla Hierro D=10mmx12m|Uni.|materiales",'BD Rendimientos'!L:L,0)),"")</f>
        <v>0.11049232676764149</v>
      </c>
      <c r="E217" s="159">
        <f>IFERROR(INDEX('BD Materiales'!D:D,MATCH("Varilla Hierro D=10mmx12m",'BD Materiales'!B:B,0)),"")</f>
        <v>8.1945999999999994</v>
      </c>
      <c r="F217" s="168">
        <f>IFERROR(D217*E217,"")</f>
        <v>0.9054404209301149</v>
      </c>
      <c r="G217" s="118">
        <v>902.66763000000003</v>
      </c>
      <c r="H217" s="106">
        <v>7.9329999999999998</v>
      </c>
      <c r="I217" s="118">
        <v>539</v>
      </c>
      <c r="J217" s="106">
        <v>8.16</v>
      </c>
      <c r="K217" s="118">
        <v>518</v>
      </c>
      <c r="L217" s="106">
        <v>8.34</v>
      </c>
    </row>
    <row r="218" spans="1:13" x14ac:dyDescent="0.25">
      <c r="A218" s="99" t="s">
        <v>5</v>
      </c>
      <c r="B218" s="99"/>
      <c r="C218" s="99"/>
      <c r="D218" s="149"/>
      <c r="E218" s="158"/>
      <c r="F218" s="167"/>
      <c r="G218" s="117"/>
      <c r="H218" s="105"/>
      <c r="I218" s="117"/>
      <c r="J218" s="105"/>
      <c r="K218" s="117"/>
      <c r="L218" s="105"/>
      <c r="M218" s="99"/>
    </row>
    <row r="219" spans="1:13" x14ac:dyDescent="0.25">
      <c r="B219" t="s">
        <v>393</v>
      </c>
      <c r="C219" t="s">
        <v>30</v>
      </c>
      <c r="D219" s="150">
        <f>IFERROR(INDEX('BD Rendimientos'!G:G,MATCH("03.01.03|M. Hierro 10 Mm X 12 M|Kg.|mano_obra",'BD Rendimientos'!L:L,0)),"")</f>
        <v>1</v>
      </c>
      <c r="E219" s="159">
        <f>IFERROR(INDEX('BD Mano de Obra'!D:D,MATCH("M. Hierro 10 Mm X 12 M",'BD Mano de Obra'!B:B,0)),"")</f>
        <v>0.32</v>
      </c>
      <c r="F219" s="168">
        <f>IFERROR(D219*E219,"")</f>
        <v>0.32</v>
      </c>
      <c r="G219" s="118">
        <v>6771.14</v>
      </c>
      <c r="H219" s="106">
        <v>0.32</v>
      </c>
      <c r="I219" s="118">
        <v>5242.74</v>
      </c>
      <c r="J219" s="106">
        <v>0.32</v>
      </c>
      <c r="K219" s="118">
        <v>5432.2112500000003</v>
      </c>
      <c r="L219" s="106">
        <v>0.32</v>
      </c>
    </row>
    <row r="220" spans="1:13" x14ac:dyDescent="0.25">
      <c r="A220" s="99" t="s">
        <v>2</v>
      </c>
      <c r="B220" s="99"/>
      <c r="C220" s="99"/>
      <c r="D220" s="149"/>
      <c r="E220" s="158"/>
      <c r="F220" s="167"/>
      <c r="G220" s="117"/>
      <c r="H220" s="105"/>
      <c r="I220" s="117"/>
      <c r="J220" s="105"/>
      <c r="K220" s="117"/>
      <c r="L220" s="105"/>
      <c r="M220" s="99"/>
    </row>
    <row r="221" spans="1:13" x14ac:dyDescent="0.25">
      <c r="A221" s="101"/>
      <c r="B221" s="101" t="s">
        <v>1176</v>
      </c>
      <c r="C221" s="101" t="s">
        <v>15</v>
      </c>
      <c r="D221" s="152">
        <f>IFERROR(INDEX('BD Rendimientos'!G:G,MATCH("03.01.03|Alquiler Andamio|Uni.|equipo",'BD Rendimientos'!L:L,0)),"")</f>
        <v>3.6817419425652859E-3</v>
      </c>
      <c r="E221" s="161">
        <f>IFERROR(INDEX('BD Equipo'!D:D,MATCH("Alquiler Andamio",'BD Equipo'!B:B,0)),"")</f>
        <v>0.35957142857142865</v>
      </c>
      <c r="F221" s="170">
        <f>IFERROR(D221*E221,"")</f>
        <v>1.3238492099195466E-3</v>
      </c>
      <c r="G221" s="120"/>
      <c r="H221" s="108"/>
      <c r="I221" s="120"/>
      <c r="J221" s="108"/>
      <c r="K221" s="120">
        <v>20</v>
      </c>
      <c r="L221" s="108">
        <v>0.36</v>
      </c>
      <c r="M221" s="101" t="s">
        <v>647</v>
      </c>
    </row>
    <row r="222" spans="1:13" x14ac:dyDescent="0.25">
      <c r="A222" s="101"/>
      <c r="B222" s="101" t="s">
        <v>1198</v>
      </c>
      <c r="C222" s="101" t="s">
        <v>15</v>
      </c>
      <c r="D222" s="152">
        <f>IFERROR(INDEX('BD Rendimientos'!G:G,MATCH("03.01.03|Alquiler de Tablones|Uni.|equipo",'BD Rendimientos'!L:L,0)),"")</f>
        <v>3.6817419425652859E-3</v>
      </c>
      <c r="E222" s="161">
        <f>IFERROR(INDEX('BD Equipo'!D:D,MATCH("Alquiler de Tablones",'BD Equipo'!B:B,0)),"")</f>
        <v>8.9948260869565241E-2</v>
      </c>
      <c r="F222" s="170">
        <f>IFERROR(D222*E222,"")</f>
        <v>3.3116628470428221E-4</v>
      </c>
      <c r="G222" s="120"/>
      <c r="H222" s="108"/>
      <c r="I222" s="120"/>
      <c r="J222" s="108"/>
      <c r="K222" s="120">
        <v>20</v>
      </c>
      <c r="L222" s="108">
        <v>0.09</v>
      </c>
      <c r="M222" s="101" t="s">
        <v>647</v>
      </c>
    </row>
    <row r="223" spans="1:13" ht="16.5" thickBot="1" x14ac:dyDescent="0.3">
      <c r="A223" s="100"/>
      <c r="B223" s="100" t="s">
        <v>645</v>
      </c>
      <c r="C223" s="100" t="s">
        <v>30</v>
      </c>
      <c r="D223" s="151"/>
      <c r="E223" s="160"/>
      <c r="F223" s="169">
        <f>SUM(F213,F214,F215,F216,F217,F219,F221,F222)</f>
        <v>1.2456832864933667</v>
      </c>
      <c r="G223" s="119"/>
      <c r="H223" s="107">
        <v>1.3946657592059799</v>
      </c>
      <c r="I223" s="119"/>
      <c r="J223" s="107">
        <v>1.18177456826011</v>
      </c>
      <c r="K223" s="119"/>
      <c r="L223" s="107">
        <v>1.12649661774475</v>
      </c>
      <c r="M223" s="100" t="s">
        <v>646</v>
      </c>
    </row>
    <row r="224" spans="1:13" ht="15.75" thickTop="1" x14ac:dyDescent="0.25">
      <c r="D224" s="150"/>
      <c r="E224" s="159"/>
      <c r="F224" s="168"/>
      <c r="G224" s="118"/>
      <c r="H224" s="106"/>
      <c r="I224" s="118"/>
      <c r="J224" s="106"/>
      <c r="K224" s="118"/>
      <c r="L224" s="106"/>
    </row>
    <row r="225" spans="1:13" ht="15.75" thickBot="1" x14ac:dyDescent="0.3">
      <c r="A225" s="96" t="s">
        <v>404</v>
      </c>
      <c r="B225" s="96"/>
      <c r="C225" s="96"/>
      <c r="D225" s="155"/>
      <c r="E225" s="164"/>
      <c r="F225" s="173"/>
      <c r="G225" s="123"/>
      <c r="H225" s="111"/>
      <c r="I225" s="123"/>
      <c r="J225" s="111"/>
      <c r="K225" s="123"/>
      <c r="L225" s="111"/>
      <c r="M225" s="96"/>
    </row>
    <row r="226" spans="1:13" ht="15.75" thickTop="1" x14ac:dyDescent="0.25">
      <c r="A226" s="97" t="s">
        <v>392</v>
      </c>
      <c r="B226" s="97" t="s">
        <v>391</v>
      </c>
      <c r="C226" s="97" t="s">
        <v>30</v>
      </c>
      <c r="D226" s="148" t="s">
        <v>635</v>
      </c>
      <c r="E226" s="157" t="s">
        <v>636</v>
      </c>
      <c r="F226" s="166" t="s">
        <v>637</v>
      </c>
      <c r="G226" s="116" t="s">
        <v>638</v>
      </c>
      <c r="H226" s="104" t="s">
        <v>639</v>
      </c>
      <c r="I226" s="116" t="s">
        <v>640</v>
      </c>
      <c r="J226" s="104" t="s">
        <v>641</v>
      </c>
      <c r="K226" s="116" t="s">
        <v>642</v>
      </c>
      <c r="L226" s="104" t="s">
        <v>643</v>
      </c>
      <c r="M226" s="97" t="s">
        <v>644</v>
      </c>
    </row>
    <row r="227" spans="1:13" x14ac:dyDescent="0.25">
      <c r="A227" s="99" t="s">
        <v>11</v>
      </c>
      <c r="B227" s="99"/>
      <c r="C227" s="99"/>
      <c r="D227" s="149"/>
      <c r="E227" s="158"/>
      <c r="F227" s="167"/>
      <c r="G227" s="117"/>
      <c r="H227" s="105"/>
      <c r="I227" s="117"/>
      <c r="J227" s="105"/>
      <c r="K227" s="117"/>
      <c r="L227" s="105"/>
      <c r="M227" s="99"/>
    </row>
    <row r="228" spans="1:13" x14ac:dyDescent="0.25">
      <c r="B228" t="s">
        <v>383</v>
      </c>
      <c r="C228" t="s">
        <v>382</v>
      </c>
      <c r="D228" s="150">
        <f>IFERROR(INDEX('BD Rendimientos'!G:G,MATCH("03.01.04|Alambre recocido N18 (20kg) (Alambre recocido N18 (20kg))|Rr20Kg|materiales",'BD Rendimientos'!L:L,0)),"")</f>
        <v>1.7819361191164385E-3</v>
      </c>
      <c r="E228" s="159">
        <f>IFERROR(INDEX('BD Materiales'!D:D,MATCH("Alambre recocido N18 (20kg) (Alambre recocido N18 (20kg))",'BD Materiales'!B:B,0)),"")</f>
        <v>32.625000000000007</v>
      </c>
      <c r="F228" s="168">
        <f>IFERROR(D228*E228,"")</f>
        <v>5.8135665886173818E-2</v>
      </c>
      <c r="G228" s="118">
        <v>9</v>
      </c>
      <c r="H228" s="106">
        <v>29.39</v>
      </c>
      <c r="I228" s="118">
        <v>6</v>
      </c>
      <c r="J228" s="106">
        <v>34.5</v>
      </c>
      <c r="K228" s="118">
        <v>5</v>
      </c>
      <c r="L228" s="106">
        <v>33.49</v>
      </c>
    </row>
    <row r="229" spans="1:13" x14ac:dyDescent="0.25">
      <c r="B229" t="s">
        <v>854</v>
      </c>
      <c r="C229" t="s">
        <v>15</v>
      </c>
      <c r="D229" s="150">
        <f>IFERROR(INDEX('BD Rendimientos'!G:G,MATCH("03.01.04|Disco de corte metal 9""|Uni.|materiales",'BD Rendimientos'!L:L,0)),"")</f>
        <v>6.1830216989887709E-3</v>
      </c>
      <c r="E229" s="159">
        <f>IFERROR(INDEX('BD Materiales'!D:D,MATCH("Disco de corte metal 9""",'BD Materiales'!B:B,0)),"")</f>
        <v>2.5252631578947367</v>
      </c>
      <c r="F229" s="168">
        <f>IFERROR(D229*E229,"")</f>
        <v>1.5613756900920064E-2</v>
      </c>
      <c r="G229" s="118">
        <v>25</v>
      </c>
      <c r="H229" s="106">
        <v>2.38</v>
      </c>
      <c r="I229" s="118">
        <v>22</v>
      </c>
      <c r="J229" s="106">
        <v>2.61</v>
      </c>
      <c r="K229" s="118">
        <v>22</v>
      </c>
      <c r="L229" s="106">
        <v>2.56</v>
      </c>
    </row>
    <row r="230" spans="1:13" x14ac:dyDescent="0.25">
      <c r="B230" t="s">
        <v>987</v>
      </c>
      <c r="C230" t="s">
        <v>15</v>
      </c>
      <c r="D230" s="150">
        <f>IFERROR(INDEX('BD Rendimientos'!G:G,MATCH("03.01.04|Sierra Sanflex Hoja|Uni.|materiales",'BD Rendimientos'!L:L,0)),"")</f>
        <v>6.5838419351228218E-4</v>
      </c>
      <c r="E230" s="159">
        <f>IFERROR(INDEX('BD Materiales'!D:D,MATCH("Sierra Sanflex Hoja",'BD Materiales'!B:B,0)),"")</f>
        <v>0.92727272727272725</v>
      </c>
      <c r="F230" s="168">
        <f>IFERROR(D230*E230,"")</f>
        <v>6.105017067113889E-4</v>
      </c>
      <c r="G230" s="118">
        <v>1</v>
      </c>
      <c r="H230" s="106">
        <v>0.88</v>
      </c>
      <c r="I230" s="118">
        <v>2</v>
      </c>
      <c r="J230" s="106">
        <v>0.94</v>
      </c>
      <c r="K230" s="118">
        <v>3</v>
      </c>
      <c r="L230" s="106">
        <v>0.93</v>
      </c>
      <c r="M230" t="s">
        <v>1920</v>
      </c>
    </row>
    <row r="231" spans="1:13" x14ac:dyDescent="0.25">
      <c r="B231" t="s">
        <v>1029</v>
      </c>
      <c r="C231" t="s">
        <v>15</v>
      </c>
      <c r="D231" s="150">
        <f>IFERROR(INDEX('BD Rendimientos'!G:G,MATCH("03.01.04|Tiza Industrial|Uni.|materiales",'BD Rendimientos'!L:L,0)),"")</f>
        <v>6.8343244817963347E-3</v>
      </c>
      <c r="E231" s="159">
        <f>IFERROR(INDEX('BD Materiales'!D:D,MATCH("Tiza Industrial",'BD Materiales'!B:B,0)),"")</f>
        <v>0.11418750000000004</v>
      </c>
      <c r="F231" s="168">
        <f>IFERROR(D231*E231,"")</f>
        <v>7.8039442676511924E-4</v>
      </c>
      <c r="G231" s="118">
        <v>15</v>
      </c>
      <c r="H231" s="106">
        <v>0.11</v>
      </c>
      <c r="I231" s="118">
        <v>29</v>
      </c>
      <c r="J231" s="106">
        <v>0.12</v>
      </c>
      <c r="K231" s="118">
        <v>30</v>
      </c>
      <c r="L231" s="106">
        <v>0.12</v>
      </c>
    </row>
    <row r="232" spans="1:13" x14ac:dyDescent="0.25">
      <c r="B232" t="s">
        <v>1047</v>
      </c>
      <c r="C232" t="s">
        <v>15</v>
      </c>
      <c r="D232" s="150">
        <f>IFERROR(INDEX('BD Rendimientos'!G:G,MATCH("03.01.04|Varilla Hierro D=12mmx12m|Uni.|materiales",'BD Rendimientos'!L:L,0)),"")</f>
        <v>0.10337703379244921</v>
      </c>
      <c r="E232" s="159">
        <f>IFERROR(INDEX('BD Materiales'!D:D,MATCH("Varilla Hierro D=12mmx12m",'BD Materiales'!B:B,0)),"")</f>
        <v>11.714999999999998</v>
      </c>
      <c r="F232" s="168">
        <f>IFERROR(D232*E232,"")</f>
        <v>1.2110619508785423</v>
      </c>
      <c r="G232" s="118">
        <v>430</v>
      </c>
      <c r="H232" s="106">
        <v>11.59</v>
      </c>
      <c r="I232" s="118">
        <v>249</v>
      </c>
      <c r="J232" s="106">
        <v>11.74</v>
      </c>
      <c r="K232" s="118">
        <v>550</v>
      </c>
      <c r="L232" s="106">
        <v>12.02</v>
      </c>
    </row>
    <row r="233" spans="1:13" x14ac:dyDescent="0.25">
      <c r="A233" s="99" t="s">
        <v>5</v>
      </c>
      <c r="B233" s="99"/>
      <c r="C233" s="99"/>
      <c r="D233" s="149"/>
      <c r="E233" s="158"/>
      <c r="F233" s="167"/>
      <c r="G233" s="117"/>
      <c r="H233" s="105"/>
      <c r="I233" s="117"/>
      <c r="J233" s="105"/>
      <c r="K233" s="117"/>
      <c r="L233" s="105"/>
      <c r="M233" s="99"/>
    </row>
    <row r="234" spans="1:13" x14ac:dyDescent="0.25">
      <c r="B234" t="s">
        <v>390</v>
      </c>
      <c r="C234" t="s">
        <v>30</v>
      </c>
      <c r="D234" s="150">
        <f>IFERROR(INDEX('BD Rendimientos'!G:G,MATCH("03.01.04|M. Hierro 12 Mm X 12 M|Kg.|mano_obra",'BD Rendimientos'!L:L,0)),"")</f>
        <v>1</v>
      </c>
      <c r="E234" s="159">
        <f>IFERROR(INDEX('BD Mano de Obra'!D:D,MATCH("M. Hierro 12 Mm X 12 M",'BD Mano de Obra'!B:B,0)),"")</f>
        <v>0.32</v>
      </c>
      <c r="F234" s="168">
        <f>IFERROR(D234*E234,"")</f>
        <v>0.32</v>
      </c>
      <c r="G234" s="118">
        <v>4308.2</v>
      </c>
      <c r="H234" s="106">
        <v>0.32</v>
      </c>
      <c r="I234" s="118">
        <v>2778.47</v>
      </c>
      <c r="J234" s="106">
        <v>0.32</v>
      </c>
      <c r="K234" s="118">
        <v>4556.6099999999997</v>
      </c>
      <c r="L234" s="106">
        <v>0.32</v>
      </c>
    </row>
    <row r="235" spans="1:13" x14ac:dyDescent="0.25">
      <c r="A235" s="99" t="s">
        <v>2</v>
      </c>
      <c r="B235" s="99"/>
      <c r="C235" s="99"/>
      <c r="D235" s="149"/>
      <c r="E235" s="158"/>
      <c r="F235" s="167"/>
      <c r="G235" s="117"/>
      <c r="H235" s="105"/>
      <c r="I235" s="117"/>
      <c r="J235" s="105"/>
      <c r="K235" s="117"/>
      <c r="L235" s="105"/>
      <c r="M235" s="99"/>
    </row>
    <row r="236" spans="1:13" x14ac:dyDescent="0.25">
      <c r="A236" s="101"/>
      <c r="B236" s="101" t="s">
        <v>1176</v>
      </c>
      <c r="C236" s="101" t="s">
        <v>15</v>
      </c>
      <c r="D236" s="152">
        <f>IFERROR(INDEX('BD Rendimientos'!G:G,MATCH("03.01.04|Alquiler Andamio|Uni.|equipo",'BD Rendimientos'!L:L,0)),"")</f>
        <v>1.7556911826994193E-2</v>
      </c>
      <c r="E236" s="161">
        <f>IFERROR(INDEX('BD Equipo'!D:D,MATCH("Alquiler Andamio",'BD Equipo'!B:B,0)),"")</f>
        <v>0.35957142857142865</v>
      </c>
      <c r="F236" s="170">
        <f>IFERROR(D236*E236,"")</f>
        <v>6.3129638669349132E-3</v>
      </c>
      <c r="G236" s="120"/>
      <c r="H236" s="108"/>
      <c r="I236" s="120"/>
      <c r="J236" s="108"/>
      <c r="K236" s="120">
        <v>80</v>
      </c>
      <c r="L236" s="108">
        <v>0.36</v>
      </c>
      <c r="M236" s="101" t="s">
        <v>647</v>
      </c>
    </row>
    <row r="237" spans="1:13" x14ac:dyDescent="0.25">
      <c r="A237" s="101"/>
      <c r="B237" s="101" t="s">
        <v>1198</v>
      </c>
      <c r="C237" s="101" t="s">
        <v>15</v>
      </c>
      <c r="D237" s="152">
        <f>IFERROR(INDEX('BD Rendimientos'!G:G,MATCH("03.01.04|Alquiler de Tablones|Uni.|equipo",'BD Rendimientos'!L:L,0)),"")</f>
        <v>1.7556911826994193E-2</v>
      </c>
      <c r="E237" s="161">
        <f>IFERROR(INDEX('BD Equipo'!D:D,MATCH("Alquiler de Tablones",'BD Equipo'!B:B,0)),"")</f>
        <v>8.9948260869565241E-2</v>
      </c>
      <c r="F237" s="170">
        <f>IFERROR(D237*E237,"")</f>
        <v>1.579213685078429E-3</v>
      </c>
      <c r="G237" s="120"/>
      <c r="H237" s="108"/>
      <c r="I237" s="120"/>
      <c r="J237" s="108"/>
      <c r="K237" s="120">
        <v>80</v>
      </c>
      <c r="L237" s="108">
        <v>0.09</v>
      </c>
      <c r="M237" s="101" t="s">
        <v>647</v>
      </c>
    </row>
    <row r="238" spans="1:13" ht="16.5" thickBot="1" x14ac:dyDescent="0.3">
      <c r="A238" s="100"/>
      <c r="B238" s="100" t="s">
        <v>645</v>
      </c>
      <c r="C238" s="100" t="s">
        <v>30</v>
      </c>
      <c r="D238" s="151"/>
      <c r="E238" s="160"/>
      <c r="F238" s="169">
        <f>SUM(F228,F229,F230,F231,F232,F234,F236,F237)</f>
        <v>1.6140944473511261</v>
      </c>
      <c r="G238" s="119"/>
      <c r="H238" s="107">
        <v>1.55258901629451</v>
      </c>
      <c r="I238" s="119"/>
      <c r="J238" s="107">
        <v>1.4692080173620701</v>
      </c>
      <c r="K238" s="119"/>
      <c r="L238" s="107">
        <v>1.82927114675164</v>
      </c>
      <c r="M238" s="100" t="s">
        <v>646</v>
      </c>
    </row>
    <row r="239" spans="1:13" ht="15.75" thickTop="1" x14ac:dyDescent="0.25">
      <c r="D239" s="150"/>
      <c r="E239" s="159"/>
      <c r="F239" s="168"/>
      <c r="G239" s="118"/>
      <c r="H239" s="106"/>
      <c r="I239" s="118"/>
      <c r="J239" s="106"/>
      <c r="K239" s="118"/>
      <c r="L239" s="106"/>
    </row>
    <row r="240" spans="1:13" ht="15.75" thickBot="1" x14ac:dyDescent="0.3">
      <c r="A240" s="96" t="s">
        <v>404</v>
      </c>
      <c r="B240" s="96"/>
      <c r="C240" s="96"/>
      <c r="D240" s="155"/>
      <c r="E240" s="164"/>
      <c r="F240" s="173"/>
      <c r="G240" s="123"/>
      <c r="H240" s="111"/>
      <c r="I240" s="123"/>
      <c r="J240" s="111"/>
      <c r="K240" s="123"/>
      <c r="L240" s="111"/>
      <c r="M240" s="96"/>
    </row>
    <row r="241" spans="1:13" ht="15.75" thickTop="1" x14ac:dyDescent="0.25">
      <c r="A241" s="97" t="s">
        <v>389</v>
      </c>
      <c r="B241" s="97" t="s">
        <v>388</v>
      </c>
      <c r="C241" s="97" t="s">
        <v>30</v>
      </c>
      <c r="D241" s="148" t="s">
        <v>635</v>
      </c>
      <c r="E241" s="157" t="s">
        <v>636</v>
      </c>
      <c r="F241" s="166" t="s">
        <v>637</v>
      </c>
      <c r="G241" s="116" t="s">
        <v>638</v>
      </c>
      <c r="H241" s="104" t="s">
        <v>639</v>
      </c>
      <c r="I241" s="116" t="s">
        <v>640</v>
      </c>
      <c r="J241" s="104" t="s">
        <v>641</v>
      </c>
      <c r="K241" s="116" t="s">
        <v>642</v>
      </c>
      <c r="L241" s="104" t="s">
        <v>643</v>
      </c>
      <c r="M241" s="97" t="s">
        <v>644</v>
      </c>
    </row>
    <row r="242" spans="1:13" x14ac:dyDescent="0.25">
      <c r="A242" s="99" t="s">
        <v>11</v>
      </c>
      <c r="B242" s="99"/>
      <c r="C242" s="99"/>
      <c r="D242" s="149"/>
      <c r="E242" s="158"/>
      <c r="F242" s="167"/>
      <c r="G242" s="117"/>
      <c r="H242" s="105"/>
      <c r="I242" s="117"/>
      <c r="J242" s="105"/>
      <c r="K242" s="117"/>
      <c r="L242" s="105"/>
      <c r="M242" s="99"/>
    </row>
    <row r="243" spans="1:13" x14ac:dyDescent="0.25">
      <c r="B243" t="s">
        <v>383</v>
      </c>
      <c r="C243" t="s">
        <v>382</v>
      </c>
      <c r="D243" s="150">
        <f>IFERROR(INDEX('BD Rendimientos'!G:G,MATCH("03.01.05|Alambre recocido N18 (20kg) (Alambre recocido N18 (20kg))|Rr20Kg|materiales",'BD Rendimientos'!L:L,0)),"")</f>
        <v>7.6646363896496752E-4</v>
      </c>
      <c r="E243" s="159">
        <f>IFERROR(INDEX('BD Materiales'!D:D,MATCH("Alambre recocido N18 (20kg) (Alambre recocido N18 (20kg))",'BD Materiales'!B:B,0)),"")</f>
        <v>32.625000000000007</v>
      </c>
      <c r="F243" s="168">
        <f>IFERROR(D243*E243,"")</f>
        <v>2.5005876221232071E-2</v>
      </c>
      <c r="G243" s="118">
        <v>3</v>
      </c>
      <c r="H243" s="106">
        <v>29.48</v>
      </c>
      <c r="I243" s="118">
        <v>2</v>
      </c>
      <c r="J243" s="106">
        <v>34.479999999999997</v>
      </c>
      <c r="K243" s="118">
        <v>1</v>
      </c>
      <c r="L243" s="106">
        <v>34.979999999999997</v>
      </c>
      <c r="M243" t="s">
        <v>1920</v>
      </c>
    </row>
    <row r="244" spans="1:13" x14ac:dyDescent="0.25">
      <c r="B244" t="s">
        <v>854</v>
      </c>
      <c r="C244" t="s">
        <v>15</v>
      </c>
      <c r="D244" s="150">
        <f>IFERROR(INDEX('BD Rendimientos'!G:G,MATCH("03.01.05|Disco de corte metal 9""|Uni.|materiales",'BD Rendimientos'!L:L,0)),"")</f>
        <v>2.0290698067649189E-3</v>
      </c>
      <c r="E244" s="159">
        <f>IFERROR(INDEX('BD Materiales'!D:D,MATCH("Disco de corte metal 9""",'BD Materiales'!B:B,0)),"")</f>
        <v>2.5252631578947367</v>
      </c>
      <c r="F244" s="168">
        <f>IFERROR(D244*E244,"")</f>
        <v>5.1239352278200419E-3</v>
      </c>
      <c r="G244" s="118">
        <v>10</v>
      </c>
      <c r="H244" s="106">
        <v>2.5499999999999998</v>
      </c>
      <c r="I244" s="118">
        <v>3</v>
      </c>
      <c r="J244" s="106">
        <v>2.61</v>
      </c>
      <c r="K244" s="118">
        <v>2</v>
      </c>
      <c r="L244" s="106">
        <v>2.61</v>
      </c>
      <c r="M244" t="s">
        <v>1920</v>
      </c>
    </row>
    <row r="245" spans="1:13" x14ac:dyDescent="0.25">
      <c r="A245" s="101"/>
      <c r="B245" s="101" t="s">
        <v>987</v>
      </c>
      <c r="C245" s="101" t="s">
        <v>15</v>
      </c>
      <c r="D245" s="152">
        <f>IFERROR(INDEX('BD Rendimientos'!G:G,MATCH("03.01.05|Sierra Sanflex Hoja|Uni.|materiales",'BD Rendimientos'!L:L,0)),"")</f>
        <v>2.8179412684680826E-4</v>
      </c>
      <c r="E245" s="161">
        <f>IFERROR(INDEX('BD Materiales'!D:D,MATCH("Sierra Sanflex Hoja",'BD Materiales'!B:B,0)),"")</f>
        <v>0.92727272727272725</v>
      </c>
      <c r="F245" s="170">
        <f>IFERROR(D245*E245,"")</f>
        <v>2.6130000853067677E-4</v>
      </c>
      <c r="G245" s="120"/>
      <c r="H245" s="108"/>
      <c r="I245" s="120"/>
      <c r="J245" s="108"/>
      <c r="K245" s="120">
        <v>2</v>
      </c>
      <c r="L245" s="108">
        <v>0.94</v>
      </c>
      <c r="M245" s="101" t="s">
        <v>647</v>
      </c>
    </row>
    <row r="246" spans="1:13" x14ac:dyDescent="0.25">
      <c r="B246" t="s">
        <v>1029</v>
      </c>
      <c r="C246" t="s">
        <v>15</v>
      </c>
      <c r="D246" s="150">
        <f>IFERROR(INDEX('BD Rendimientos'!G:G,MATCH("03.01.05|Tiza Industrial|Uni.|materiales",'BD Rendimientos'!L:L,0)),"")</f>
        <v>2.712843024257389E-3</v>
      </c>
      <c r="E246" s="159">
        <f>IFERROR(INDEX('BD Materiales'!D:D,MATCH("Tiza Industrial",'BD Materiales'!B:B,0)),"")</f>
        <v>0.11418750000000004</v>
      </c>
      <c r="F246" s="168">
        <f>IFERROR(D246*E246,"")</f>
        <v>3.0977276283239072E-4</v>
      </c>
      <c r="G246" s="118">
        <v>8</v>
      </c>
      <c r="H246" s="106">
        <v>0.12</v>
      </c>
      <c r="I246" s="118">
        <v>5</v>
      </c>
      <c r="J246" s="106">
        <v>0.12</v>
      </c>
      <c r="K246" s="118"/>
      <c r="L246" s="106"/>
    </row>
    <row r="247" spans="1:13" x14ac:dyDescent="0.25">
      <c r="B247" t="s">
        <v>387</v>
      </c>
      <c r="C247" t="s">
        <v>15</v>
      </c>
      <c r="D247" s="150">
        <f>IFERROR(INDEX('BD Rendimientos'!G:G,MATCH("03.01.05|Varilla Hierro D=14mmx12m (Varilla Hierro D=12mmx12m)|Uni.|materiales",'BD Rendimientos'!L:L,0)),"")</f>
        <v>5.478488478265281E-2</v>
      </c>
      <c r="E247" s="159">
        <f>IFERROR(INDEX('BD Materiales'!D:D,MATCH("Varilla Hierro D=14mmx12m (Varilla Hierro D=12mmx12m)",'BD Materiales'!B:B,0)),"")</f>
        <v>15.921666666666667</v>
      </c>
      <c r="F247" s="168">
        <f>IFERROR(D247*E247,"")</f>
        <v>0.87226667388113721</v>
      </c>
      <c r="G247" s="118">
        <v>215</v>
      </c>
      <c r="H247" s="106">
        <v>15.805</v>
      </c>
      <c r="I247" s="118">
        <v>81</v>
      </c>
      <c r="J247" s="106">
        <v>15.97</v>
      </c>
      <c r="K247" s="118">
        <v>38</v>
      </c>
      <c r="L247" s="106">
        <v>15.99</v>
      </c>
      <c r="M247" t="s">
        <v>1920</v>
      </c>
    </row>
    <row r="248" spans="1:13" x14ac:dyDescent="0.25">
      <c r="A248" s="99" t="s">
        <v>5</v>
      </c>
      <c r="B248" s="99"/>
      <c r="C248" s="99"/>
      <c r="D248" s="149"/>
      <c r="E248" s="158"/>
      <c r="F248" s="167"/>
      <c r="G248" s="117"/>
      <c r="H248" s="105"/>
      <c r="I248" s="117"/>
      <c r="J248" s="105"/>
      <c r="K248" s="117"/>
      <c r="L248" s="105"/>
      <c r="M248" s="99"/>
    </row>
    <row r="249" spans="1:13" x14ac:dyDescent="0.25">
      <c r="B249" t="s">
        <v>386</v>
      </c>
      <c r="C249" t="s">
        <v>30</v>
      </c>
      <c r="D249" s="150">
        <f>IFERROR(INDEX('BD Rendimientos'!G:G,MATCH("03.01.05|M. Hierro 14 Mm X 12 M|Kg.|mano_obra",'BD Rendimientos'!L:L,0)),"")</f>
        <v>1</v>
      </c>
      <c r="E249" s="159">
        <f>IFERROR(INDEX('BD Mano de Obra'!D:D,MATCH("M. Hierro 14 Mm X 12 M",'BD Mano de Obra'!B:B,0)),"")</f>
        <v>0.32</v>
      </c>
      <c r="F249" s="168">
        <f>IFERROR(D249*E249,"")</f>
        <v>0.32</v>
      </c>
      <c r="G249" s="118">
        <v>3914.08</v>
      </c>
      <c r="H249" s="106">
        <v>0.32</v>
      </c>
      <c r="I249" s="118">
        <v>1478.51</v>
      </c>
      <c r="J249" s="106">
        <v>0.32</v>
      </c>
      <c r="K249" s="118">
        <v>7097.38</v>
      </c>
      <c r="L249" s="106">
        <v>0.32</v>
      </c>
    </row>
    <row r="250" spans="1:13" ht="16.5" thickBot="1" x14ac:dyDescent="0.3">
      <c r="A250" s="100"/>
      <c r="B250" s="100" t="s">
        <v>645</v>
      </c>
      <c r="C250" s="100" t="s">
        <v>30</v>
      </c>
      <c r="D250" s="151"/>
      <c r="E250" s="160"/>
      <c r="F250" s="169">
        <f>SUM(F243,F244,F245,F246,F247,F249)</f>
        <v>1.2229675581015524</v>
      </c>
      <c r="G250" s="119"/>
      <c r="H250" s="107">
        <v>1.2175225340309901</v>
      </c>
      <c r="I250" s="119"/>
      <c r="J250" s="107">
        <v>1.24725784742748</v>
      </c>
      <c r="K250" s="119"/>
      <c r="L250" s="107">
        <v>0.41154082210618598</v>
      </c>
      <c r="M250" s="100" t="s">
        <v>646</v>
      </c>
    </row>
    <row r="251" spans="1:13" ht="15.75" thickTop="1" x14ac:dyDescent="0.25">
      <c r="D251" s="150"/>
      <c r="E251" s="159"/>
      <c r="F251" s="168"/>
      <c r="G251" s="118"/>
      <c r="H251" s="106"/>
      <c r="I251" s="118"/>
      <c r="J251" s="106"/>
      <c r="K251" s="118"/>
      <c r="L251" s="106"/>
    </row>
    <row r="252" spans="1:13" ht="15.75" thickBot="1" x14ac:dyDescent="0.3">
      <c r="A252" s="96" t="s">
        <v>404</v>
      </c>
      <c r="B252" s="96"/>
      <c r="C252" s="96"/>
      <c r="D252" s="155"/>
      <c r="E252" s="164"/>
      <c r="F252" s="173"/>
      <c r="G252" s="123"/>
      <c r="H252" s="111"/>
      <c r="I252" s="123"/>
      <c r="J252" s="111"/>
      <c r="K252" s="123"/>
      <c r="L252" s="111"/>
      <c r="M252" s="96"/>
    </row>
    <row r="253" spans="1:13" ht="15.75" thickTop="1" x14ac:dyDescent="0.25">
      <c r="A253" s="97" t="s">
        <v>385</v>
      </c>
      <c r="B253" s="97" t="s">
        <v>384</v>
      </c>
      <c r="C253" s="97" t="s">
        <v>30</v>
      </c>
      <c r="D253" s="148" t="s">
        <v>635</v>
      </c>
      <c r="E253" s="157" t="s">
        <v>636</v>
      </c>
      <c r="F253" s="166" t="s">
        <v>637</v>
      </c>
      <c r="G253" s="116" t="s">
        <v>638</v>
      </c>
      <c r="H253" s="104" t="s">
        <v>639</v>
      </c>
      <c r="I253" s="116" t="s">
        <v>640</v>
      </c>
      <c r="J253" s="104" t="s">
        <v>641</v>
      </c>
      <c r="K253" s="116" t="s">
        <v>642</v>
      </c>
      <c r="L253" s="104" t="s">
        <v>643</v>
      </c>
      <c r="M253" s="97" t="s">
        <v>644</v>
      </c>
    </row>
    <row r="254" spans="1:13" x14ac:dyDescent="0.25">
      <c r="A254" s="99" t="s">
        <v>11</v>
      </c>
      <c r="B254" s="99"/>
      <c r="C254" s="99"/>
      <c r="D254" s="149"/>
      <c r="E254" s="158"/>
      <c r="F254" s="167"/>
      <c r="G254" s="117"/>
      <c r="H254" s="105"/>
      <c r="I254" s="117"/>
      <c r="J254" s="105"/>
      <c r="K254" s="117"/>
      <c r="L254" s="105"/>
      <c r="M254" s="99"/>
    </row>
    <row r="255" spans="1:13" x14ac:dyDescent="0.25">
      <c r="A255" s="101"/>
      <c r="B255" s="101" t="s">
        <v>703</v>
      </c>
      <c r="C255" s="101" t="s">
        <v>105</v>
      </c>
      <c r="D255" s="152">
        <f>IFERROR(INDEX('BD Rendimientos'!G:G,MATCH("03.01.06|Alambre galvanizado Nº 14|R-Alambre|materiales",'BD Rendimientos'!L:L,0)),"")</f>
        <v>3.5835871707579287E-4</v>
      </c>
      <c r="E255" s="161">
        <f>IFERROR(INDEX('BD Materiales'!D:D,MATCH("Alambre galvanizado Nº 14",'BD Materiales'!B:B,0)),"")</f>
        <v>96.23</v>
      </c>
      <c r="F255" s="170">
        <f>IFERROR(D255*E255,"")</f>
        <v>3.4484859344203547E-2</v>
      </c>
      <c r="G255" s="120"/>
      <c r="H255" s="108"/>
      <c r="I255" s="120">
        <v>1</v>
      </c>
      <c r="J255" s="108">
        <v>96.23</v>
      </c>
      <c r="K255" s="120"/>
      <c r="L255" s="108"/>
      <c r="M255" s="101" t="s">
        <v>647</v>
      </c>
    </row>
    <row r="256" spans="1:13" x14ac:dyDescent="0.25">
      <c r="B256" t="s">
        <v>383</v>
      </c>
      <c r="C256" t="s">
        <v>382</v>
      </c>
      <c r="D256" s="150">
        <f>IFERROR(INDEX('BD Rendimientos'!G:G,MATCH("03.01.06|Alambre recocido N18 (20kg) (Alambre recocido N18 (20kg))|Rr20Kg|materiales",'BD Rendimientos'!L:L,0)),"")</f>
        <v>1.7917935853789643E-3</v>
      </c>
      <c r="E256" s="159">
        <f>IFERROR(INDEX('BD Materiales'!D:D,MATCH("Alambre recocido N18 (20kg) (Alambre recocido N18 (20kg))",'BD Materiales'!B:B,0)),"")</f>
        <v>32.625000000000007</v>
      </c>
      <c r="F256" s="168">
        <f>IFERROR(D256*E256,"")</f>
        <v>5.8457265722988726E-2</v>
      </c>
      <c r="G256" s="118">
        <v>1</v>
      </c>
      <c r="H256" s="106">
        <v>28.06</v>
      </c>
      <c r="I256" s="118">
        <v>5</v>
      </c>
      <c r="J256" s="106">
        <v>34.47</v>
      </c>
      <c r="K256" s="118">
        <v>1</v>
      </c>
      <c r="L256" s="106">
        <v>34.979999999999997</v>
      </c>
      <c r="M256" t="s">
        <v>1920</v>
      </c>
    </row>
    <row r="257" spans="1:13" x14ac:dyDescent="0.25">
      <c r="B257" t="s">
        <v>854</v>
      </c>
      <c r="C257" t="s">
        <v>15</v>
      </c>
      <c r="D257" s="150">
        <f>IFERROR(INDEX('BD Rendimientos'!G:G,MATCH("03.01.06|Disco de corte metal 9""|Uni.|materiales",'BD Rendimientos'!L:L,0)),"")</f>
        <v>3.3491683567395286E-3</v>
      </c>
      <c r="E257" s="159">
        <f>IFERROR(INDEX('BD Materiales'!D:D,MATCH("Disco de corte metal 9""",'BD Materiales'!B:B,0)),"")</f>
        <v>2.5252631578947367</v>
      </c>
      <c r="F257" s="168">
        <f>IFERROR(D257*E257,"")</f>
        <v>8.4575314608611885E-3</v>
      </c>
      <c r="G257" s="118">
        <v>7</v>
      </c>
      <c r="H257" s="106">
        <v>1.97</v>
      </c>
      <c r="I257" s="118">
        <v>5</v>
      </c>
      <c r="J257" s="106">
        <v>2.61</v>
      </c>
      <c r="K257" s="118">
        <v>2</v>
      </c>
      <c r="L257" s="106">
        <v>2.61</v>
      </c>
    </row>
    <row r="258" spans="1:13" x14ac:dyDescent="0.25">
      <c r="A258" s="101"/>
      <c r="B258" s="101" t="s">
        <v>987</v>
      </c>
      <c r="C258" s="101" t="s">
        <v>15</v>
      </c>
      <c r="D258" s="152">
        <f>IFERROR(INDEX('BD Rendimientos'!G:G,MATCH("03.01.06|Sierra Sanflex Hoja|Uni.|materiales",'BD Rendimientos'!L:L,0)),"")</f>
        <v>7.1671743415158574E-4</v>
      </c>
      <c r="E258" s="161">
        <f>IFERROR(INDEX('BD Materiales'!D:D,MATCH("Sierra Sanflex Hoja",'BD Materiales'!B:B,0)),"")</f>
        <v>0.92727272727272725</v>
      </c>
      <c r="F258" s="170">
        <f>IFERROR(D258*E258,"")</f>
        <v>6.645925298496522E-4</v>
      </c>
      <c r="G258" s="120"/>
      <c r="H258" s="108"/>
      <c r="I258" s="120">
        <v>2</v>
      </c>
      <c r="J258" s="108">
        <v>0.94</v>
      </c>
      <c r="K258" s="120"/>
      <c r="L258" s="108"/>
      <c r="M258" s="101" t="s">
        <v>647</v>
      </c>
    </row>
    <row r="259" spans="1:13" x14ac:dyDescent="0.25">
      <c r="A259" s="101"/>
      <c r="B259" s="101" t="s">
        <v>1029</v>
      </c>
      <c r="C259" s="101" t="s">
        <v>15</v>
      </c>
      <c r="D259" s="152">
        <f>IFERROR(INDEX('BD Rendimientos'!G:G,MATCH("03.01.06|Tiza Industrial|Uni.|materiales",'BD Rendimientos'!L:L,0)),"")</f>
        <v>1.7917935853789643E-3</v>
      </c>
      <c r="E259" s="161">
        <f>IFERROR(INDEX('BD Materiales'!D:D,MATCH("Tiza Industrial",'BD Materiales'!B:B,0)),"")</f>
        <v>0.11418750000000004</v>
      </c>
      <c r="F259" s="170">
        <f>IFERROR(D259*E259,"")</f>
        <v>2.0460043003046055E-4</v>
      </c>
      <c r="G259" s="120"/>
      <c r="H259" s="108"/>
      <c r="I259" s="120">
        <v>5</v>
      </c>
      <c r="J259" s="108">
        <v>0.12</v>
      </c>
      <c r="K259" s="120"/>
      <c r="L259" s="108"/>
      <c r="M259" s="101" t="s">
        <v>647</v>
      </c>
    </row>
    <row r="260" spans="1:13" x14ac:dyDescent="0.25">
      <c r="B260" t="s">
        <v>381</v>
      </c>
      <c r="C260" t="s">
        <v>15</v>
      </c>
      <c r="D260" s="150">
        <f>IFERROR(INDEX('BD Rendimientos'!G:G,MATCH("03.01.06|Varilla Hierro D=16mmx12m (Varilla Hierro D=12mmx12m)|Uni.|materiales",'BD Rendimientos'!L:L,0)),"")</f>
        <v>5.9286618716346849E-2</v>
      </c>
      <c r="E260" s="159">
        <f>IFERROR(INDEX('BD Materiales'!D:D,MATCH("Varilla Hierro D=16mmx12m (Varilla Hierro D=12mmx12m)",'BD Materiales'!B:B,0)),"")</f>
        <v>20.695666666666668</v>
      </c>
      <c r="F260" s="168">
        <f>IFERROR(D260*E260,"")</f>
        <v>1.2269760987472758</v>
      </c>
      <c r="G260" s="118">
        <v>107</v>
      </c>
      <c r="H260" s="106">
        <v>20.327000000000002</v>
      </c>
      <c r="I260" s="118">
        <v>148</v>
      </c>
      <c r="J260" s="106">
        <v>20.87</v>
      </c>
      <c r="K260" s="118">
        <v>30</v>
      </c>
      <c r="L260" s="106">
        <v>20.89</v>
      </c>
    </row>
    <row r="261" spans="1:13" x14ac:dyDescent="0.25">
      <c r="A261" s="99" t="s">
        <v>5</v>
      </c>
      <c r="B261" s="99"/>
      <c r="C261" s="99"/>
      <c r="D261" s="149"/>
      <c r="E261" s="158"/>
      <c r="F261" s="167"/>
      <c r="G261" s="117"/>
      <c r="H261" s="105"/>
      <c r="I261" s="117"/>
      <c r="J261" s="105"/>
      <c r="K261" s="117"/>
      <c r="L261" s="105"/>
      <c r="M261" s="99"/>
    </row>
    <row r="262" spans="1:13" x14ac:dyDescent="0.25">
      <c r="B262" t="s">
        <v>380</v>
      </c>
      <c r="C262" t="s">
        <v>30</v>
      </c>
      <c r="D262" s="150">
        <f>IFERROR(INDEX('BD Rendimientos'!G:G,MATCH("03.01.06|M. Hierro 16 Mm X 12 M|Kg.|mano_obra",'BD Rendimientos'!L:L,0)),"")</f>
        <v>1</v>
      </c>
      <c r="E262" s="159">
        <f>IFERROR(INDEX('BD Mano de Obra'!D:D,MATCH("M. Hierro 16 Mm X 12 M",'BD Mano de Obra'!B:B,0)),"")</f>
        <v>0.32</v>
      </c>
      <c r="F262" s="168">
        <f>IFERROR(D262*E262,"")</f>
        <v>0.32</v>
      </c>
      <c r="G262" s="118">
        <v>2026.15</v>
      </c>
      <c r="H262" s="106">
        <v>0.32</v>
      </c>
      <c r="I262" s="118">
        <v>2790.5</v>
      </c>
      <c r="J262" s="106">
        <v>0.32</v>
      </c>
      <c r="K262" s="118">
        <v>416.59</v>
      </c>
      <c r="L262" s="106">
        <v>0.32</v>
      </c>
    </row>
    <row r="263" spans="1:13" ht="16.5" thickBot="1" x14ac:dyDescent="0.3">
      <c r="A263" s="100"/>
      <c r="B263" s="100" t="s">
        <v>645</v>
      </c>
      <c r="C263" s="100" t="s">
        <v>30</v>
      </c>
      <c r="D263" s="151"/>
      <c r="E263" s="160"/>
      <c r="F263" s="169">
        <f>SUM(F255,F256,F257,F258,F259,F260,F262)</f>
        <v>1.6492449482352094</v>
      </c>
      <c r="G263" s="119"/>
      <c r="H263" s="107">
        <v>1.4141139599733501</v>
      </c>
      <c r="I263" s="119"/>
      <c r="J263" s="107">
        <v>1.52869736606343</v>
      </c>
      <c r="K263" s="119"/>
      <c r="L263" s="107">
        <v>1.92085455723853</v>
      </c>
      <c r="M263" s="100" t="s">
        <v>646</v>
      </c>
    </row>
    <row r="264" spans="1:13" ht="15.75" thickTop="1" x14ac:dyDescent="0.25">
      <c r="D264" s="150"/>
      <c r="E264" s="159"/>
      <c r="F264" s="168"/>
      <c r="G264" s="118"/>
      <c r="H264" s="106"/>
      <c r="I264" s="118"/>
      <c r="J264" s="106"/>
      <c r="K264" s="118"/>
      <c r="L264" s="106"/>
    </row>
    <row r="265" spans="1:13" ht="15.75" thickBot="1" x14ac:dyDescent="0.3">
      <c r="A265" s="96" t="s">
        <v>404</v>
      </c>
      <c r="B265" s="96"/>
      <c r="C265" s="96"/>
      <c r="D265" s="155"/>
      <c r="E265" s="164"/>
      <c r="F265" s="173"/>
      <c r="G265" s="123"/>
      <c r="H265" s="111"/>
      <c r="I265" s="123"/>
      <c r="J265" s="111"/>
      <c r="K265" s="123"/>
      <c r="L265" s="111"/>
      <c r="M265" s="96"/>
    </row>
    <row r="266" spans="1:13" ht="15.75" thickTop="1" x14ac:dyDescent="0.25">
      <c r="A266" s="97" t="s">
        <v>379</v>
      </c>
      <c r="B266" s="97" t="s">
        <v>378</v>
      </c>
      <c r="C266" s="97" t="s">
        <v>30</v>
      </c>
      <c r="D266" s="148" t="s">
        <v>635</v>
      </c>
      <c r="E266" s="157" t="s">
        <v>636</v>
      </c>
      <c r="F266" s="166" t="s">
        <v>637</v>
      </c>
      <c r="G266" s="116" t="s">
        <v>638</v>
      </c>
      <c r="H266" s="104" t="s">
        <v>639</v>
      </c>
      <c r="I266" s="116" t="s">
        <v>640</v>
      </c>
      <c r="J266" s="104" t="s">
        <v>641</v>
      </c>
      <c r="K266" s="116" t="s">
        <v>642</v>
      </c>
      <c r="L266" s="104" t="s">
        <v>643</v>
      </c>
      <c r="M266" s="97" t="s">
        <v>644</v>
      </c>
    </row>
    <row r="267" spans="1:13" x14ac:dyDescent="0.25">
      <c r="A267" s="99" t="s">
        <v>11</v>
      </c>
      <c r="B267" s="99"/>
      <c r="C267" s="99"/>
      <c r="D267" s="149"/>
      <c r="E267" s="158"/>
      <c r="F267" s="167"/>
      <c r="G267" s="117"/>
      <c r="H267" s="105"/>
      <c r="I267" s="117"/>
      <c r="J267" s="105"/>
      <c r="K267" s="117"/>
      <c r="L267" s="105"/>
      <c r="M267" s="99"/>
    </row>
    <row r="268" spans="1:13" x14ac:dyDescent="0.25">
      <c r="B268" t="s">
        <v>1054</v>
      </c>
      <c r="C268" t="s">
        <v>15</v>
      </c>
      <c r="D268" s="150">
        <f>IFERROR(INDEX('BD Rendimientos'!G:G,MATCH("03.01.07|Varilla Hierro D=18mmx12m|Uni.|materiales",'BD Rendimientos'!L:L,0)),"")</f>
        <v>4.1435612784553703E-2</v>
      </c>
      <c r="E268" s="159">
        <f>IFERROR(INDEX('BD Materiales'!D:D,MATCH("Varilla Hierro D=18mmx12m",'BD Materiales'!B:B,0)),"")</f>
        <v>26.454999999999998</v>
      </c>
      <c r="F268" s="168">
        <f>IFERROR(D268*E268,"")</f>
        <v>1.0961791362153681</v>
      </c>
      <c r="G268" s="118"/>
      <c r="H268" s="106"/>
      <c r="I268" s="118">
        <v>24</v>
      </c>
      <c r="J268" s="106">
        <v>26.44</v>
      </c>
      <c r="K268" s="118">
        <v>20</v>
      </c>
      <c r="L268" s="106">
        <v>26.47</v>
      </c>
    </row>
    <row r="269" spans="1:13" x14ac:dyDescent="0.25">
      <c r="A269" s="99" t="s">
        <v>5</v>
      </c>
      <c r="B269" s="99"/>
      <c r="C269" s="99"/>
      <c r="D269" s="149"/>
      <c r="E269" s="158"/>
      <c r="F269" s="167"/>
      <c r="G269" s="117"/>
      <c r="H269" s="105"/>
      <c r="I269" s="117"/>
      <c r="J269" s="105"/>
      <c r="K269" s="117"/>
      <c r="L269" s="105"/>
      <c r="M269" s="99"/>
    </row>
    <row r="270" spans="1:13" x14ac:dyDescent="0.25">
      <c r="B270" t="s">
        <v>376</v>
      </c>
      <c r="C270" t="s">
        <v>30</v>
      </c>
      <c r="D270" s="150">
        <f>IFERROR(INDEX('BD Rendimientos'!G:G,MATCH("03.01.07|M. Hierro 18 Mm X 12 M|Kg.|mano_obra",'BD Rendimientos'!L:L,0)),"")</f>
        <v>1</v>
      </c>
      <c r="E270" s="159">
        <f>IFERROR(INDEX('BD Mano de Obra'!D:D,MATCH("M. Hierro 18 Mm X 12 M",'BD Mano de Obra'!B:B,0)),"")</f>
        <v>0.32</v>
      </c>
      <c r="F270" s="168">
        <f>IFERROR(D270*E270,"")</f>
        <v>0.32</v>
      </c>
      <c r="G270" s="118"/>
      <c r="H270" s="106"/>
      <c r="I270" s="118">
        <v>583.04999999999995</v>
      </c>
      <c r="J270" s="106">
        <v>0.32</v>
      </c>
      <c r="K270" s="118">
        <v>479.52</v>
      </c>
      <c r="L270" s="106">
        <v>0.32</v>
      </c>
    </row>
    <row r="271" spans="1:13" ht="16.5" thickBot="1" x14ac:dyDescent="0.3">
      <c r="A271" s="100"/>
      <c r="B271" s="100" t="s">
        <v>645</v>
      </c>
      <c r="C271" s="100" t="s">
        <v>30</v>
      </c>
      <c r="D271" s="151"/>
      <c r="E271" s="160"/>
      <c r="F271" s="169">
        <f>SUM(F268,F270)</f>
        <v>1.4161791362153682</v>
      </c>
      <c r="G271" s="119"/>
      <c r="H271" s="107"/>
      <c r="I271" s="119"/>
      <c r="J271" s="107">
        <v>1.40834576794443</v>
      </c>
      <c r="K271" s="119"/>
      <c r="L271" s="107">
        <v>1.42402068735402</v>
      </c>
      <c r="M271" s="100" t="s">
        <v>646</v>
      </c>
    </row>
    <row r="272" spans="1:13" ht="15.75" thickTop="1" x14ac:dyDescent="0.25">
      <c r="D272" s="150"/>
      <c r="E272" s="159"/>
      <c r="F272" s="168"/>
      <c r="G272" s="118"/>
      <c r="H272" s="106"/>
      <c r="I272" s="118"/>
      <c r="J272" s="106"/>
      <c r="K272" s="118"/>
      <c r="L272" s="106"/>
    </row>
    <row r="273" spans="1:13" ht="15.75" thickBot="1" x14ac:dyDescent="0.3">
      <c r="A273" s="96" t="s">
        <v>375</v>
      </c>
      <c r="B273" s="96"/>
      <c r="C273" s="96"/>
      <c r="D273" s="155"/>
      <c r="E273" s="164"/>
      <c r="F273" s="173"/>
      <c r="G273" s="123"/>
      <c r="H273" s="111"/>
      <c r="I273" s="123"/>
      <c r="J273" s="111"/>
      <c r="K273" s="123"/>
      <c r="L273" s="111"/>
      <c r="M273" s="96"/>
    </row>
    <row r="274" spans="1:13" ht="15.75" thickTop="1" x14ac:dyDescent="0.25">
      <c r="A274" s="97" t="s">
        <v>374</v>
      </c>
      <c r="B274" s="97" t="s">
        <v>373</v>
      </c>
      <c r="C274" s="97" t="s">
        <v>130</v>
      </c>
      <c r="D274" s="148" t="s">
        <v>635</v>
      </c>
      <c r="E274" s="157" t="s">
        <v>636</v>
      </c>
      <c r="F274" s="166" t="s">
        <v>637</v>
      </c>
      <c r="G274" s="116" t="s">
        <v>638</v>
      </c>
      <c r="H274" s="104" t="s">
        <v>639</v>
      </c>
      <c r="I274" s="116" t="s">
        <v>640</v>
      </c>
      <c r="J274" s="104" t="s">
        <v>641</v>
      </c>
      <c r="K274" s="116" t="s">
        <v>642</v>
      </c>
      <c r="L274" s="104" t="s">
        <v>643</v>
      </c>
      <c r="M274" s="97" t="s">
        <v>644</v>
      </c>
    </row>
    <row r="275" spans="1:13" x14ac:dyDescent="0.25">
      <c r="A275" s="99" t="s">
        <v>11</v>
      </c>
      <c r="B275" s="99"/>
      <c r="C275" s="99"/>
      <c r="D275" s="149"/>
      <c r="E275" s="158"/>
      <c r="F275" s="167"/>
      <c r="G275" s="117"/>
      <c r="H275" s="105"/>
      <c r="I275" s="117"/>
      <c r="J275" s="105"/>
      <c r="K275" s="117"/>
      <c r="L275" s="105"/>
      <c r="M275" s="99"/>
    </row>
    <row r="276" spans="1:13" x14ac:dyDescent="0.25">
      <c r="A276" s="101"/>
      <c r="B276" s="101" t="s">
        <v>818</v>
      </c>
      <c r="C276" s="101" t="s">
        <v>30</v>
      </c>
      <c r="D276" s="152">
        <f>IFERROR(INDEX('BD Rendimientos'!G:G,MATCH("03.02.01|Clavos galvanizados 2 1/2""|Kg.|materiales",'BD Rendimientos'!L:L,0)),"")</f>
        <v>1.4464244387873177E-2</v>
      </c>
      <c r="E276" s="161">
        <f>IFERROR(INDEX('BD Materiales'!D:D,MATCH("Clavos galvanizados 2 1/2""",'BD Materiales'!B:B,0)),"")</f>
        <v>1.84375</v>
      </c>
      <c r="F276" s="170">
        <f>IFERROR(D276*E276,"")</f>
        <v>2.6668450590141172E-2</v>
      </c>
      <c r="G276" s="120"/>
      <c r="H276" s="108"/>
      <c r="I276" s="120">
        <v>5</v>
      </c>
      <c r="J276" s="108">
        <v>1.94</v>
      </c>
      <c r="K276" s="120"/>
      <c r="L276" s="108"/>
      <c r="M276" s="101" t="s">
        <v>647</v>
      </c>
    </row>
    <row r="277" spans="1:13" x14ac:dyDescent="0.25">
      <c r="A277" s="101"/>
      <c r="B277" s="101" t="s">
        <v>822</v>
      </c>
      <c r="C277" s="101" t="s">
        <v>30</v>
      </c>
      <c r="D277" s="152">
        <f>IFERROR(INDEX('BD Rendimientos'!G:G,MATCH("03.02.01|Clavos galvanizados 2""|Kg.|materiales",'BD Rendimientos'!L:L,0)),"")</f>
        <v>1.4464244387873177E-3</v>
      </c>
      <c r="E277" s="161">
        <f>IFERROR(INDEX('BD Materiales'!D:D,MATCH("Clavos galvanizados 2""",'BD Materiales'!B:B,0)),"")</f>
        <v>2.0827777777777783</v>
      </c>
      <c r="F277" s="170">
        <f>IFERROR(D277*E277,"")</f>
        <v>3.0125806783409194E-3</v>
      </c>
      <c r="G277" s="120"/>
      <c r="H277" s="108"/>
      <c r="I277" s="120">
        <v>0.5</v>
      </c>
      <c r="J277" s="108">
        <v>2.06</v>
      </c>
      <c r="K277" s="120"/>
      <c r="L277" s="108"/>
      <c r="M277" s="101" t="s">
        <v>647</v>
      </c>
    </row>
    <row r="278" spans="1:13" x14ac:dyDescent="0.25">
      <c r="A278" s="101"/>
      <c r="B278" s="101" t="s">
        <v>826</v>
      </c>
      <c r="C278" s="101" t="s">
        <v>30</v>
      </c>
      <c r="D278" s="152">
        <f>IFERROR(INDEX('BD Rendimientos'!G:G,MATCH("03.02.01|Clavos galvanizados 3""|Kg.|materiales",'BD Rendimientos'!L:L,0)),"")</f>
        <v>5.7856977551492706E-3</v>
      </c>
      <c r="E278" s="161">
        <f>IFERROR(INDEX('BD Materiales'!D:D,MATCH("Clavos galvanizados 3""",'BD Materiales'!B:B,0)),"")</f>
        <v>2.415</v>
      </c>
      <c r="F278" s="170">
        <f>IFERROR(D278*E278,"")</f>
        <v>1.3972460078685489E-2</v>
      </c>
      <c r="G278" s="120"/>
      <c r="H278" s="108"/>
      <c r="I278" s="120">
        <v>2</v>
      </c>
      <c r="J278" s="108">
        <v>2.42</v>
      </c>
      <c r="K278" s="120"/>
      <c r="L278" s="108"/>
      <c r="M278" s="101" t="s">
        <v>647</v>
      </c>
    </row>
    <row r="279" spans="1:13" x14ac:dyDescent="0.25">
      <c r="B279" t="s">
        <v>145</v>
      </c>
      <c r="C279" t="s">
        <v>144</v>
      </c>
      <c r="D279" s="150">
        <f>IFERROR(INDEX('BD Rendimientos'!G:G,MATCH("03.02.01|Plastico Negro 1.5 mts (Plastico Negro 1.5 mts (2.20 mts x kg) (45 kilos))|rollo|materiales",'BD Rendimientos'!L:L,0)),"")</f>
        <v>4.1491127488215472E-3</v>
      </c>
      <c r="E279" s="159">
        <f>IFERROR(INDEX('BD Materiales'!D:D,MATCH("Plastico Negro 1.5 mts (Plastico Negro 1.5 mts (2.20 mts x kg) (45 kilos))",'BD Materiales'!B:B,0)),"")</f>
        <v>67.732222222222219</v>
      </c>
      <c r="F279" s="168">
        <f>IFERROR(D279*E279,"")</f>
        <v>0.28102862672823631</v>
      </c>
      <c r="G279" s="118"/>
      <c r="H279" s="106"/>
      <c r="I279" s="118">
        <v>2</v>
      </c>
      <c r="J279" s="106">
        <v>68.78</v>
      </c>
      <c r="K279" s="118">
        <v>3.6</v>
      </c>
      <c r="L279" s="106">
        <v>70.540000000000006</v>
      </c>
    </row>
    <row r="280" spans="1:13" x14ac:dyDescent="0.25">
      <c r="A280" s="101"/>
      <c r="B280" s="101" t="s">
        <v>372</v>
      </c>
      <c r="C280" s="101" t="s">
        <v>144</v>
      </c>
      <c r="D280" s="152">
        <f>IFERROR(INDEX('BD Rendimientos'!G:G,MATCH("03.02.01|Plástico Negro 2 mts (Plástico Negro 2 mts (1.70 mts x kg) (50.50 kilos))|rollo|materiales",'BD Rendimientos'!L:L,0)),"")</f>
        <v>7.882848274378438E-3</v>
      </c>
      <c r="E280" s="161">
        <f>IFERROR(INDEX('BD Materiales'!D:D,MATCH("Plástico Negro 2 mts (Plástico Negro 2 mts (1.70 mts x kg) (50.50 kilos))",'BD Materiales'!B:B,0)),"")</f>
        <v>61.87</v>
      </c>
      <c r="F280" s="170">
        <f>IFERROR(D280*E280,"")</f>
        <v>0.48771182273579394</v>
      </c>
      <c r="G280" s="120">
        <v>5.13</v>
      </c>
      <c r="H280" s="108">
        <v>61.87</v>
      </c>
      <c r="I280" s="120"/>
      <c r="J280" s="108"/>
      <c r="K280" s="120"/>
      <c r="L280" s="108"/>
      <c r="M280" s="101" t="s">
        <v>647</v>
      </c>
    </row>
    <row r="281" spans="1:13" x14ac:dyDescent="0.25">
      <c r="A281" s="99" t="s">
        <v>5</v>
      </c>
      <c r="B281" s="99"/>
      <c r="C281" s="99"/>
      <c r="D281" s="149"/>
      <c r="E281" s="158"/>
      <c r="F281" s="167"/>
      <c r="G281" s="117"/>
      <c r="H281" s="105"/>
      <c r="I281" s="117"/>
      <c r="J281" s="105"/>
      <c r="K281" s="117"/>
      <c r="L281" s="105"/>
      <c r="M281" s="99"/>
    </row>
    <row r="282" spans="1:13" x14ac:dyDescent="0.25">
      <c r="B282" t="s">
        <v>369</v>
      </c>
      <c r="C282" t="s">
        <v>130</v>
      </c>
      <c r="D282" s="150">
        <f>IFERROR(INDEX('BD Rendimientos'!G:G,MATCH("03.02.01|M. Plástico Polietileno 2 Capas|m2|mano_obra",'BD Rendimientos'!L:L,0)),"")</f>
        <v>1</v>
      </c>
      <c r="E282" s="159">
        <f>IFERROR(INDEX('BD Mano de Obra'!D:D,MATCH("M. Plástico Polietileno 2 Capas",'BD Mano de Obra'!B:B,0)),"")</f>
        <v>0.36000000000000004</v>
      </c>
      <c r="F282" s="168">
        <f>IFERROR(D282*E282,"")</f>
        <v>0.36000000000000004</v>
      </c>
      <c r="G282" s="118">
        <v>650.78</v>
      </c>
      <c r="H282" s="106">
        <v>0.36</v>
      </c>
      <c r="I282" s="118">
        <v>345.68</v>
      </c>
      <c r="J282" s="106">
        <v>0.36</v>
      </c>
      <c r="K282" s="118">
        <v>1432.82</v>
      </c>
      <c r="L282" s="106">
        <v>0.36</v>
      </c>
    </row>
    <row r="283" spans="1:13" ht="16.5" thickBot="1" x14ac:dyDescent="0.3">
      <c r="A283" s="100"/>
      <c r="B283" s="100" t="s">
        <v>645</v>
      </c>
      <c r="C283" s="100" t="s">
        <v>130</v>
      </c>
      <c r="D283" s="151"/>
      <c r="E283" s="160"/>
      <c r="F283" s="169">
        <f>SUM(F276,F277,F278,F279,F280,F282)</f>
        <v>1.1723939408111979</v>
      </c>
      <c r="G283" s="119"/>
      <c r="H283" s="107">
        <v>0.84771182273579404</v>
      </c>
      <c r="I283" s="119"/>
      <c r="J283" s="107">
        <v>0.80298194862300398</v>
      </c>
      <c r="K283" s="119"/>
      <c r="L283" s="107">
        <v>0.53723370695551398</v>
      </c>
      <c r="M283" s="100" t="s">
        <v>646</v>
      </c>
    </row>
    <row r="284" spans="1:13" ht="15.75" thickTop="1" x14ac:dyDescent="0.25">
      <c r="D284" s="150"/>
      <c r="E284" s="159"/>
      <c r="F284" s="168"/>
      <c r="G284" s="118"/>
      <c r="H284" s="106"/>
      <c r="I284" s="118"/>
      <c r="J284" s="106"/>
      <c r="K284" s="118"/>
      <c r="L284" s="106"/>
    </row>
    <row r="285" spans="1:13" ht="15.75" thickBot="1" x14ac:dyDescent="0.3">
      <c r="A285" s="96" t="s">
        <v>375</v>
      </c>
      <c r="B285" s="96"/>
      <c r="C285" s="96"/>
      <c r="D285" s="155"/>
      <c r="E285" s="164"/>
      <c r="F285" s="173"/>
      <c r="G285" s="123"/>
      <c r="H285" s="111"/>
      <c r="I285" s="123"/>
      <c r="J285" s="111"/>
      <c r="K285" s="123"/>
      <c r="L285" s="111"/>
      <c r="M285" s="96"/>
    </row>
    <row r="286" spans="1:13" ht="15.75" thickTop="1" x14ac:dyDescent="0.25">
      <c r="A286" s="97" t="s">
        <v>368</v>
      </c>
      <c r="B286" s="97" t="s">
        <v>367</v>
      </c>
      <c r="C286" s="97" t="s">
        <v>130</v>
      </c>
      <c r="D286" s="148" t="s">
        <v>635</v>
      </c>
      <c r="E286" s="157" t="s">
        <v>636</v>
      </c>
      <c r="F286" s="166" t="s">
        <v>637</v>
      </c>
      <c r="G286" s="116" t="s">
        <v>638</v>
      </c>
      <c r="H286" s="104" t="s">
        <v>639</v>
      </c>
      <c r="I286" s="116" t="s">
        <v>640</v>
      </c>
      <c r="J286" s="104" t="s">
        <v>641</v>
      </c>
      <c r="K286" s="116" t="s">
        <v>642</v>
      </c>
      <c r="L286" s="104" t="s">
        <v>643</v>
      </c>
      <c r="M286" s="97" t="s">
        <v>644</v>
      </c>
    </row>
    <row r="287" spans="1:13" x14ac:dyDescent="0.25">
      <c r="A287" s="99" t="s">
        <v>11</v>
      </c>
      <c r="B287" s="99"/>
      <c r="C287" s="99"/>
      <c r="D287" s="149"/>
      <c r="E287" s="158"/>
      <c r="F287" s="167"/>
      <c r="G287" s="117"/>
      <c r="H287" s="105"/>
      <c r="I287" s="117"/>
      <c r="J287" s="105"/>
      <c r="K287" s="117"/>
      <c r="L287" s="105"/>
      <c r="M287" s="99"/>
    </row>
    <row r="288" spans="1:13" x14ac:dyDescent="0.25">
      <c r="A288" s="102"/>
      <c r="B288" s="102" t="s">
        <v>790</v>
      </c>
      <c r="C288" s="102" t="s">
        <v>8</v>
      </c>
      <c r="D288" s="153">
        <f>IFERROR(INDEX('BD Rendimientos'!G:G,MATCH("03.02.02|Cemento Campeón|qq|materiales",'BD Rendimientos'!L:L,0)),"")</f>
        <v>1.216397512217684E-2</v>
      </c>
      <c r="E288" s="162">
        <f>IFERROR(INDEX('BD Materiales'!D:D,MATCH("Cemento Campeón",'BD Materiales'!B:B,0)),"")</f>
        <v>6.7</v>
      </c>
      <c r="F288" s="171">
        <f>IFERROR(D288*E288,"")</f>
        <v>8.1498633318584826E-2</v>
      </c>
      <c r="G288" s="121">
        <v>3</v>
      </c>
      <c r="H288" s="109">
        <v>6.64</v>
      </c>
      <c r="I288" s="121">
        <v>3</v>
      </c>
      <c r="J288" s="109">
        <v>1.9366666666666701</v>
      </c>
      <c r="K288" s="121">
        <v>5</v>
      </c>
      <c r="L288" s="109">
        <v>6.71</v>
      </c>
      <c r="M288" s="102" t="s">
        <v>651</v>
      </c>
    </row>
    <row r="289" spans="1:13" x14ac:dyDescent="0.25">
      <c r="A289" s="101"/>
      <c r="B289" s="101" t="s">
        <v>364</v>
      </c>
      <c r="C289" s="101" t="s">
        <v>30</v>
      </c>
      <c r="D289" s="152">
        <f>IFERROR(INDEX('BD Rendimientos'!G:G,MATCH("03.02.02|Clavos de acero 2.1/2” (Clavos de acero 2.1/2” (1 kilo))|Kg.|materiales",'BD Rendimientos'!L:L,0)),"")</f>
        <v>7.9321012136114866E-3</v>
      </c>
      <c r="E289" s="161">
        <f>IFERROR(INDEX('BD Materiales'!D:D,MATCH("Clavos de acero 2.1/2” (Clavos de acero 2.1/2” (1 kilo))",'BD Materiales'!B:B,0)),"")</f>
        <v>3.94</v>
      </c>
      <c r="F289" s="170">
        <f>IFERROR(D289*E289,"")</f>
        <v>3.1252478781629255E-2</v>
      </c>
      <c r="G289" s="120"/>
      <c r="H289" s="108"/>
      <c r="I289" s="120"/>
      <c r="J289" s="108"/>
      <c r="K289" s="120">
        <v>4</v>
      </c>
      <c r="L289" s="108">
        <v>3.94</v>
      </c>
      <c r="M289" s="101" t="s">
        <v>647</v>
      </c>
    </row>
    <row r="290" spans="1:13" x14ac:dyDescent="0.25">
      <c r="B290" t="s">
        <v>824</v>
      </c>
      <c r="C290" t="s">
        <v>30</v>
      </c>
      <c r="D290" s="150">
        <f>IFERROR(INDEX('BD Rendimientos'!G:G,MATCH("03.02.02|Clavos galvanizados 2''|Kg.|materiales",'BD Rendimientos'!L:L,0)),"")</f>
        <v>7.4040044300236682E-3</v>
      </c>
      <c r="E290" s="159">
        <f>IFERROR(INDEX('BD Materiales'!D:D,MATCH("Clavos galvanizados 2''",'BD Materiales'!B:B,0)),"")</f>
        <v>1.9257894736842103</v>
      </c>
      <c r="F290" s="168">
        <f>IFERROR(D290*E290,"")</f>
        <v>1.4258553794450842E-2</v>
      </c>
      <c r="G290" s="118">
        <v>1.5</v>
      </c>
      <c r="H290" s="106">
        <v>1.49</v>
      </c>
      <c r="I290" s="118">
        <v>1.5</v>
      </c>
      <c r="J290" s="106">
        <v>2.06666666666667</v>
      </c>
      <c r="K290" s="118">
        <v>4.5</v>
      </c>
      <c r="L290" s="106">
        <v>1.93</v>
      </c>
    </row>
    <row r="291" spans="1:13" x14ac:dyDescent="0.25">
      <c r="B291" t="s">
        <v>820</v>
      </c>
      <c r="C291" t="s">
        <v>30</v>
      </c>
      <c r="D291" s="150">
        <f>IFERROR(INDEX('BD Rendimientos'!G:G,MATCH("03.02.02|Clavos galvanizados 2 1/2''|Kg.|materiales",'BD Rendimientos'!L:L,0)),"")</f>
        <v>4.5628580968349819E-2</v>
      </c>
      <c r="E291" s="159">
        <f>IFERROR(INDEX('BD Materiales'!D:D,MATCH("Clavos galvanizados 2 1/2''",'BD Materiales'!B:B,0)),"")</f>
        <v>1.8223333333333334</v>
      </c>
      <c r="F291" s="168">
        <f>IFERROR(D291*E291,"")</f>
        <v>8.3150484051322818E-2</v>
      </c>
      <c r="G291" s="118">
        <v>25.5</v>
      </c>
      <c r="H291" s="106">
        <v>1.5089999999999999</v>
      </c>
      <c r="I291" s="118"/>
      <c r="J291" s="106"/>
      <c r="K291" s="118">
        <v>6.5</v>
      </c>
      <c r="L291" s="106">
        <v>1.9</v>
      </c>
      <c r="M291" t="s">
        <v>1920</v>
      </c>
    </row>
    <row r="292" spans="1:13" x14ac:dyDescent="0.25">
      <c r="A292" s="101"/>
      <c r="B292" s="101" t="s">
        <v>836</v>
      </c>
      <c r="C292" s="101" t="s">
        <v>15</v>
      </c>
      <c r="D292" s="152">
        <f>IFERROR(INDEX('BD Rendimientos'!G:G,MATCH("03.02.02|Cuartón 6 x 4 de eucalipto|Uni.|materiales",'BD Rendimientos'!L:L,0)),"")</f>
        <v>0.13881177123820101</v>
      </c>
      <c r="E292" s="161">
        <f>IFERROR(INDEX('BD Materiales'!D:D,MATCH("Cuartón 6 x 4 de eucalipto",'BD Materiales'!B:B,0)),"")</f>
        <v>2.15</v>
      </c>
      <c r="F292" s="170">
        <f>IFERROR(D292*E292,"")</f>
        <v>0.29844530816213216</v>
      </c>
      <c r="G292" s="120"/>
      <c r="H292" s="108"/>
      <c r="I292" s="120"/>
      <c r="J292" s="108"/>
      <c r="K292" s="120">
        <v>70</v>
      </c>
      <c r="L292" s="108">
        <v>2.15</v>
      </c>
      <c r="M292" s="101" t="s">
        <v>647</v>
      </c>
    </row>
    <row r="293" spans="1:13" x14ac:dyDescent="0.25">
      <c r="B293" t="s">
        <v>846</v>
      </c>
      <c r="C293" t="s">
        <v>15</v>
      </c>
      <c r="D293" s="150">
        <f>IFERROR(INDEX('BD Rendimientos'!G:G,MATCH("03.02.02|Disco Corte Madera 7|Uni.|materiales",'BD Rendimientos'!L:L,0)),"")</f>
        <v>2.5281302490461604E-3</v>
      </c>
      <c r="E293" s="159">
        <f>IFERROR(INDEX('BD Materiales'!D:D,MATCH("Disco Corte Madera 7",'BD Materiales'!B:B,0)),"")</f>
        <v>8.452</v>
      </c>
      <c r="F293" s="168">
        <f>IFERROR(D293*E293,"")</f>
        <v>2.1367756864938147E-2</v>
      </c>
      <c r="G293" s="118">
        <v>1</v>
      </c>
      <c r="H293" s="106">
        <v>12.13</v>
      </c>
      <c r="I293" s="118"/>
      <c r="J293" s="106"/>
      <c r="K293" s="118">
        <v>1</v>
      </c>
      <c r="L293" s="106">
        <v>7.4</v>
      </c>
    </row>
    <row r="294" spans="1:13" x14ac:dyDescent="0.25">
      <c r="B294" t="s">
        <v>876</v>
      </c>
      <c r="C294" t="s">
        <v>23</v>
      </c>
      <c r="D294" s="150">
        <f>IFERROR(INDEX('BD Rendimientos'!G:G,MATCH("03.02.02|Gasolina - Extra|gal|materiales",'BD Rendimientos'!L:L,0)),"")</f>
        <v>1.6576166335997237E-2</v>
      </c>
      <c r="E294" s="159">
        <f>IFERROR(INDEX('BD Materiales'!D:D,MATCH("Gasolina - Extra",'BD Materiales'!B:B,0)),"")</f>
        <v>2.14</v>
      </c>
      <c r="F294" s="168">
        <f>IFERROR(D294*E294,"")</f>
        <v>3.5472995959034088E-2</v>
      </c>
      <c r="G294" s="118"/>
      <c r="H294" s="106"/>
      <c r="I294" s="118">
        <v>5</v>
      </c>
      <c r="J294" s="106">
        <v>2.14</v>
      </c>
      <c r="K294" s="118">
        <v>2.13</v>
      </c>
      <c r="L294" s="106">
        <v>2.15</v>
      </c>
      <c r="M294" t="s">
        <v>1920</v>
      </c>
    </row>
    <row r="295" spans="1:13" x14ac:dyDescent="0.25">
      <c r="B295" t="s">
        <v>47</v>
      </c>
      <c r="C295" t="s">
        <v>6</v>
      </c>
      <c r="D295" s="150">
        <f>IFERROR(INDEX('BD Rendimientos'!G:G,MATCH("03.02.02|Hormigón Premez. fc= 210 kg S/B (Hormigón Premezclado fc= 210 kg/cm2)|m3|materiales",'BD Rendimientos'!L:L,0)),"")</f>
        <v>7.8225980253052774E-2</v>
      </c>
      <c r="E295" s="159">
        <f>IFERROR(INDEX('BD Materiales'!D:D,MATCH("Hormigón Premez. fc= 210 kg S/B (Hormigón Premezclado fc= 210 kg/cm2)",'BD Materiales'!B:B,0)),"")</f>
        <v>71</v>
      </c>
      <c r="F295" s="168">
        <f>IFERROR(D295*E295,"")</f>
        <v>5.5540445979667465</v>
      </c>
      <c r="G295" s="118">
        <v>24.5</v>
      </c>
      <c r="H295" s="106">
        <v>71</v>
      </c>
      <c r="I295" s="118">
        <v>16.579999999999998</v>
      </c>
      <c r="J295" s="106">
        <v>71</v>
      </c>
      <c r="K295" s="118">
        <v>32</v>
      </c>
      <c r="L295" s="106">
        <v>71</v>
      </c>
    </row>
    <row r="296" spans="1:13" x14ac:dyDescent="0.25">
      <c r="B296" t="s">
        <v>889</v>
      </c>
      <c r="C296" t="s">
        <v>6</v>
      </c>
      <c r="D296" s="150">
        <f>IFERROR(INDEX('BD Rendimientos'!G:G,MATCH("03.02.02|Lastre|m3|materiales",'BD Rendimientos'!L:L,0)),"")</f>
        <v>0.13272521811525992</v>
      </c>
      <c r="E296" s="159">
        <f>IFERROR(INDEX('BD Materiales'!D:D,MATCH("Lastre",'BD Materiales'!B:B,0)),"")</f>
        <v>12.539166666666667</v>
      </c>
      <c r="F296" s="168">
        <f>IFERROR(D296*E296,"")</f>
        <v>1.6642636308169301</v>
      </c>
      <c r="G296" s="118">
        <v>36.979999999999997</v>
      </c>
      <c r="H296" s="106">
        <v>12.5</v>
      </c>
      <c r="I296" s="118">
        <v>24.5</v>
      </c>
      <c r="J296" s="106">
        <v>12.5</v>
      </c>
      <c r="K296" s="118">
        <v>72</v>
      </c>
      <c r="L296" s="106">
        <v>12.1</v>
      </c>
    </row>
    <row r="297" spans="1:13" x14ac:dyDescent="0.25">
      <c r="B297" t="s">
        <v>939</v>
      </c>
      <c r="C297" t="s">
        <v>15</v>
      </c>
      <c r="D297" s="150">
        <f>IFERROR(INDEX('BD Rendimientos'!G:G,MATCH("03.02.02|Pingos de 2.5 mts|Uni.|materiales",'BD Rendimientos'!L:L,0)),"")</f>
        <v>2.7659116752205046E-2</v>
      </c>
      <c r="E297" s="159">
        <f>IFERROR(INDEX('BD Materiales'!D:D,MATCH("Pingos de 2.5 mts",'BD Materiales'!B:B,0)),"")</f>
        <v>1.1206818181818179</v>
      </c>
      <c r="F297" s="168">
        <f>IFERROR(D297*E297,"")</f>
        <v>3.0997069251164328E-2</v>
      </c>
      <c r="G297" s="118">
        <v>9</v>
      </c>
      <c r="H297" s="106">
        <v>1.23</v>
      </c>
      <c r="I297" s="118">
        <v>25</v>
      </c>
      <c r="J297" s="106">
        <v>1.1000000000000001</v>
      </c>
      <c r="K297" s="118">
        <v>9</v>
      </c>
      <c r="L297" s="106">
        <v>1.1000000000000001</v>
      </c>
      <c r="M297" t="s">
        <v>1920</v>
      </c>
    </row>
    <row r="298" spans="1:13" x14ac:dyDescent="0.25">
      <c r="A298" s="101"/>
      <c r="B298" s="101" t="s">
        <v>943</v>
      </c>
      <c r="C298" s="101" t="s">
        <v>15</v>
      </c>
      <c r="D298" s="152">
        <f>IFERROR(INDEX('BD Rendimientos'!G:G,MATCH("03.02.02|Pingos de 3 mts.|Uni.|materiales",'BD Rendimientos'!L:L,0)),"")</f>
        <v>1.9830253034028716E-2</v>
      </c>
      <c r="E298" s="161">
        <f>IFERROR(INDEX('BD Materiales'!D:D,MATCH("Pingos de 3 mts.",'BD Materiales'!B:B,0)),"")</f>
        <v>1.2</v>
      </c>
      <c r="F298" s="170">
        <f>IFERROR(D298*E298,"")</f>
        <v>2.379630364083446E-2</v>
      </c>
      <c r="G298" s="120"/>
      <c r="H298" s="108"/>
      <c r="I298" s="120"/>
      <c r="J298" s="108"/>
      <c r="K298" s="120">
        <v>10</v>
      </c>
      <c r="L298" s="108">
        <v>1.2</v>
      </c>
      <c r="M298" s="101" t="s">
        <v>647</v>
      </c>
    </row>
    <row r="299" spans="1:13" x14ac:dyDescent="0.25">
      <c r="B299" t="s">
        <v>603</v>
      </c>
      <c r="C299" t="s">
        <v>6</v>
      </c>
      <c r="D299" s="150">
        <f>IFERROR(INDEX('BD Rendimientos'!G:G,MATCH("03.02.02|Polvo Azul|m3|materiales",'BD Rendimientos'!L:L,0)),"")</f>
        <v>5.9885548060426713E-4</v>
      </c>
      <c r="E299" s="159">
        <f>IFERROR(INDEX('BD Materiales'!D:D,MATCH("Polvo Azul",'BD Materiales'!B:B,0)),"")</f>
        <v>14.547574523429788</v>
      </c>
      <c r="F299" s="168">
        <f>IFERROR(D299*E299,"")</f>
        <v>8.7118947328549377E-3</v>
      </c>
      <c r="G299" s="118">
        <v>0.08</v>
      </c>
      <c r="H299" s="106">
        <v>12.25</v>
      </c>
      <c r="I299" s="118"/>
      <c r="J299" s="106"/>
      <c r="K299" s="118">
        <v>0.48</v>
      </c>
      <c r="L299" s="106">
        <v>14.13</v>
      </c>
      <c r="M299" t="s">
        <v>1920</v>
      </c>
    </row>
    <row r="300" spans="1:13" x14ac:dyDescent="0.25">
      <c r="A300" s="101"/>
      <c r="B300" s="101" t="s">
        <v>976</v>
      </c>
      <c r="C300" s="101" t="s">
        <v>15</v>
      </c>
      <c r="D300" s="152">
        <f>IFERROR(INDEX('BD Rendimientos'!G:G,MATCH("03.02.02|Riel de eucalipto|Uni.|materiales",'BD Rendimientos'!L:L,0)),"")</f>
        <v>2.9745379551043075E-2</v>
      </c>
      <c r="E300" s="161">
        <f>IFERROR(INDEX('BD Materiales'!D:D,MATCH("Riel de eucalipto",'BD Materiales'!B:B,0)),"")</f>
        <v>1.8182499999999999</v>
      </c>
      <c r="F300" s="170">
        <f>IFERROR(D300*E300,"")</f>
        <v>5.4084536368684065E-2</v>
      </c>
      <c r="G300" s="120"/>
      <c r="H300" s="108"/>
      <c r="I300" s="120"/>
      <c r="J300" s="108"/>
      <c r="K300" s="120">
        <v>15</v>
      </c>
      <c r="L300" s="108">
        <v>1.85</v>
      </c>
      <c r="M300" s="101" t="s">
        <v>647</v>
      </c>
    </row>
    <row r="301" spans="1:13" x14ac:dyDescent="0.25">
      <c r="B301" t="s">
        <v>602</v>
      </c>
      <c r="C301" t="s">
        <v>6</v>
      </c>
      <c r="D301" s="150">
        <f>IFERROR(INDEX('BD Rendimientos'!G:G,MATCH("03.02.02|Ripio|m3|materiales",'BD Rendimientos'!L:L,0)),"")</f>
        <v>6.1671178884659301E-4</v>
      </c>
      <c r="E301" s="159">
        <f>IFERROR(INDEX('BD Materiales'!D:D,MATCH("Ripio",'BD Materiales'!B:B,0)),"")</f>
        <v>13.895122287420717</v>
      </c>
      <c r="F301" s="168">
        <f>IFERROR(D301*E301,"")</f>
        <v>8.5692857221173931E-3</v>
      </c>
      <c r="G301" s="118">
        <v>0.04</v>
      </c>
      <c r="H301" s="106">
        <v>13.75</v>
      </c>
      <c r="I301" s="118"/>
      <c r="J301" s="106"/>
      <c r="K301" s="118">
        <v>0.56000000000000005</v>
      </c>
      <c r="L301" s="106">
        <v>15.77</v>
      </c>
      <c r="M301" t="s">
        <v>1920</v>
      </c>
    </row>
    <row r="302" spans="1:13" x14ac:dyDescent="0.25">
      <c r="A302" s="101"/>
      <c r="B302" s="101" t="s">
        <v>360</v>
      </c>
      <c r="C302" s="101" t="s">
        <v>15</v>
      </c>
      <c r="D302" s="152">
        <f>IFERROR(INDEX('BD Rendimientos'!G:G,MATCH("03.02.02|Sikadur 32 Primer (2.5kl) (Sikadur 32 Primer (2.5kl))|Uni.|materiales",'BD Rendimientos'!L:L,0)),"")</f>
        <v>1.9830253034028716E-3</v>
      </c>
      <c r="E302" s="161">
        <f>IFERROR(INDEX('BD Materiales'!D:D,MATCH("Sikadur 32 Primer (2.5kl) (Sikadur 32 Primer (2.5kl))",'BD Materiales'!B:B,0)),"")</f>
        <v>69.349999999999994</v>
      </c>
      <c r="F302" s="170">
        <f>IFERROR(D302*E302,"")</f>
        <v>0.13752280479098913</v>
      </c>
      <c r="G302" s="120"/>
      <c r="H302" s="108"/>
      <c r="I302" s="120"/>
      <c r="J302" s="108"/>
      <c r="K302" s="120">
        <v>1</v>
      </c>
      <c r="L302" s="108">
        <v>69.349999999999994</v>
      </c>
      <c r="M302" s="101" t="s">
        <v>647</v>
      </c>
    </row>
    <row r="303" spans="1:13" x14ac:dyDescent="0.25">
      <c r="B303" t="s">
        <v>606</v>
      </c>
      <c r="C303" t="s">
        <v>15</v>
      </c>
      <c r="D303" s="150">
        <f>IFERROR(INDEX('BD Rendimientos'!G:G,MATCH("03.02.02|Tablas de Monte|Uni.|materiales",'BD Rendimientos'!L:L,0)),"")</f>
        <v>0.1745062266994527</v>
      </c>
      <c r="E303" s="159">
        <f>IFERROR(INDEX('BD Materiales'!D:D,MATCH("Tablas de Monte",'BD Materiales'!B:B,0)),"")</f>
        <v>2.4034925925925932</v>
      </c>
      <c r="F303" s="168">
        <f>IFERROR(D303*E303,"")</f>
        <v>0.41942442323341839</v>
      </c>
      <c r="G303" s="118">
        <v>31</v>
      </c>
      <c r="H303" s="106">
        <v>2.34</v>
      </c>
      <c r="I303" s="118">
        <v>55</v>
      </c>
      <c r="J303" s="106">
        <v>2.41</v>
      </c>
      <c r="K303" s="118">
        <v>88</v>
      </c>
      <c r="L303" s="106">
        <v>2.38</v>
      </c>
      <c r="M303" t="s">
        <v>1920</v>
      </c>
    </row>
    <row r="304" spans="1:13" x14ac:dyDescent="0.25">
      <c r="A304" s="99" t="s">
        <v>5</v>
      </c>
      <c r="B304" s="99"/>
      <c r="C304" s="99"/>
      <c r="D304" s="149"/>
      <c r="E304" s="158"/>
      <c r="F304" s="167"/>
      <c r="G304" s="117"/>
      <c r="H304" s="105"/>
      <c r="I304" s="117"/>
      <c r="J304" s="105"/>
      <c r="K304" s="117"/>
      <c r="L304" s="105"/>
      <c r="M304" s="99"/>
    </row>
    <row r="305" spans="1:13" x14ac:dyDescent="0.25">
      <c r="B305" t="s">
        <v>1080</v>
      </c>
      <c r="C305" t="s">
        <v>130</v>
      </c>
      <c r="D305" s="150">
        <f>IFERROR(INDEX('BD Rendimientos'!G:G,MATCH("03.02.02|M. Contrapiso De Hormigón Planta Baja F'c=210 Kg/Cm²|m2|mano_obra",'BD Rendimientos'!L:L,0)),"")</f>
        <v>1</v>
      </c>
      <c r="E305" s="159">
        <f>IFERROR(INDEX('BD Mano de Obra'!D:D,MATCH("M. Contrapiso De Hormigón Planta Baja F'c=210 Kg/Cm²",'BD Mano de Obra'!B:B,0)),"")</f>
        <v>7</v>
      </c>
      <c r="F305" s="168">
        <f>IFERROR(D305*E305,"")</f>
        <v>7</v>
      </c>
      <c r="G305" s="118">
        <v>325.39</v>
      </c>
      <c r="H305" s="106">
        <v>8</v>
      </c>
      <c r="I305" s="118">
        <v>172.84</v>
      </c>
      <c r="J305" s="106">
        <v>6.5</v>
      </c>
      <c r="K305" s="118">
        <v>504.28</v>
      </c>
      <c r="L305" s="106">
        <v>6.5</v>
      </c>
    </row>
    <row r="306" spans="1:13" x14ac:dyDescent="0.25">
      <c r="A306" s="99" t="s">
        <v>2</v>
      </c>
      <c r="B306" s="99"/>
      <c r="C306" s="99"/>
      <c r="D306" s="149"/>
      <c r="E306" s="158"/>
      <c r="F306" s="167"/>
      <c r="G306" s="117"/>
      <c r="H306" s="105"/>
      <c r="I306" s="117"/>
      <c r="J306" s="105"/>
      <c r="K306" s="117"/>
      <c r="L306" s="105"/>
      <c r="M306" s="99"/>
    </row>
    <row r="307" spans="1:13" x14ac:dyDescent="0.25">
      <c r="B307" t="s">
        <v>1188</v>
      </c>
      <c r="C307" t="s">
        <v>15</v>
      </c>
      <c r="D307" s="150">
        <f>IFERROR(INDEX('BD Rendimientos'!G:G,MATCH("03.02.02|Alquiler compactador sapo|Uni.|equipo",'BD Rendimientos'!L:L,0)),"")</f>
        <v>6.2231473545946811E-2</v>
      </c>
      <c r="E307" s="159">
        <f>IFERROR(INDEX('BD Equipo'!D:D,MATCH("Alquiler compactador sapo",'BD Equipo'!B:B,0)),"")</f>
        <v>25</v>
      </c>
      <c r="F307" s="168">
        <f>IFERROR(D307*E307,"")</f>
        <v>1.5557868386486702</v>
      </c>
      <c r="G307" s="118"/>
      <c r="H307" s="106"/>
      <c r="I307" s="118">
        <v>15</v>
      </c>
      <c r="J307" s="106">
        <v>25</v>
      </c>
      <c r="K307" s="118">
        <v>19</v>
      </c>
      <c r="L307" s="106">
        <v>25</v>
      </c>
    </row>
    <row r="308" spans="1:13" x14ac:dyDescent="0.25">
      <c r="A308" s="101"/>
      <c r="B308" s="101" t="s">
        <v>1182</v>
      </c>
      <c r="C308" s="101" t="s">
        <v>356</v>
      </c>
      <c r="D308" s="152">
        <f>IFERROR(INDEX('BD Rendimientos'!G:G,MATCH("03.02.02|Alquiler Rodillo|Dia|equipo",'BD Rendimientos'!L:L,0)),"")</f>
        <v>3.9660506068057433E-3</v>
      </c>
      <c r="E308" s="161">
        <f>IFERROR(INDEX('BD Equipo'!D:D,MATCH("Alquiler Rodillo",'BD Equipo'!B:B,0)),"")</f>
        <v>89.29</v>
      </c>
      <c r="F308" s="170">
        <f>IFERROR(D308*E308,"")</f>
        <v>0.35412865868168486</v>
      </c>
      <c r="G308" s="120"/>
      <c r="H308" s="108"/>
      <c r="I308" s="120"/>
      <c r="J308" s="108"/>
      <c r="K308" s="120">
        <v>2</v>
      </c>
      <c r="L308" s="108">
        <v>89.29</v>
      </c>
      <c r="M308" s="101" t="s">
        <v>647</v>
      </c>
    </row>
    <row r="309" spans="1:13" x14ac:dyDescent="0.25">
      <c r="B309" t="s">
        <v>1184</v>
      </c>
      <c r="C309" t="s">
        <v>15</v>
      </c>
      <c r="D309" s="150">
        <f>IFERROR(INDEX('BD Rendimientos'!G:G,MATCH("03.02.02|Alquiler Rotomartillo|Uni.|equipo",'BD Rendimientos'!L:L,0)),"")</f>
        <v>6.0477731497937566E-3</v>
      </c>
      <c r="E309" s="159">
        <f>IFERROR(INDEX('BD Equipo'!D:D,MATCH("Alquiler Rotomartillo",'BD Equipo'!B:B,0)),"")</f>
        <v>31.25</v>
      </c>
      <c r="F309" s="168">
        <f>IFERROR(D309*E309,"")</f>
        <v>0.18899291093105489</v>
      </c>
      <c r="G309" s="118">
        <v>2</v>
      </c>
      <c r="H309" s="106">
        <v>31.25</v>
      </c>
      <c r="I309" s="118"/>
      <c r="J309" s="106"/>
      <c r="K309" s="118">
        <v>3</v>
      </c>
      <c r="L309" s="106">
        <v>31.25</v>
      </c>
    </row>
    <row r="310" spans="1:13" x14ac:dyDescent="0.25">
      <c r="B310" t="s">
        <v>1200</v>
      </c>
      <c r="C310" t="s">
        <v>15</v>
      </c>
      <c r="D310" s="150">
        <f>IFERROR(INDEX('BD Rendimientos'!G:G,MATCH("03.02.02|Alquiler vibrador|Uni.|equipo",'BD Rendimientos'!L:L,0)),"")</f>
        <v>5.5638096242316875E-3</v>
      </c>
      <c r="E310" s="159">
        <f>IFERROR(INDEX('BD Equipo'!D:D,MATCH("Alquiler vibrador",'BD Equipo'!B:B,0)),"")</f>
        <v>17.86000000000001</v>
      </c>
      <c r="F310" s="168">
        <f>IFERROR(D310*E310,"")</f>
        <v>9.9369639888777991E-2</v>
      </c>
      <c r="G310" s="118">
        <v>2</v>
      </c>
      <c r="H310" s="106">
        <v>17.86</v>
      </c>
      <c r="I310" s="118">
        <v>1</v>
      </c>
      <c r="J310" s="106">
        <v>17.86</v>
      </c>
      <c r="K310" s="118">
        <v>2.4</v>
      </c>
      <c r="L310" s="106">
        <v>17.86</v>
      </c>
    </row>
    <row r="311" spans="1:13" x14ac:dyDescent="0.25">
      <c r="B311" t="s">
        <v>1203</v>
      </c>
      <c r="C311" t="s">
        <v>6</v>
      </c>
      <c r="D311" s="150">
        <f>IFERROR(INDEX('BD Rendimientos'!G:G,MATCH("03.02.02|Bomba Estacionaria|m3|equipo",'BD Rendimientos'!L:L,0)),"")</f>
        <v>7.8225980253052774E-2</v>
      </c>
      <c r="E311" s="159">
        <f>IFERROR(INDEX('BD Equipo'!D:D,MATCH("Bomba Estacionaria",'BD Equipo'!B:B,0)),"")</f>
        <v>8</v>
      </c>
      <c r="F311" s="168">
        <f>IFERROR(D311*E311,"")</f>
        <v>0.62580784202442219</v>
      </c>
      <c r="G311" s="118">
        <v>24.5</v>
      </c>
      <c r="H311" s="106">
        <v>8</v>
      </c>
      <c r="I311" s="118">
        <v>16.579999999999998</v>
      </c>
      <c r="J311" s="106">
        <v>8</v>
      </c>
      <c r="K311" s="118">
        <v>32</v>
      </c>
      <c r="L311" s="106">
        <v>8</v>
      </c>
    </row>
    <row r="312" spans="1:13" x14ac:dyDescent="0.25">
      <c r="B312" t="s">
        <v>1217</v>
      </c>
      <c r="C312" t="s">
        <v>78</v>
      </c>
      <c r="D312" s="150">
        <f>IFERROR(INDEX('BD Rendimientos'!G:G,MATCH("03.02.02|Horas Maquinas Mini Cargadora|Hr.|equipo",'BD Rendimientos'!L:L,0)),"")</f>
        <v>3.4569489027759318E-3</v>
      </c>
      <c r="E312" s="159">
        <f>IFERROR(INDEX('BD Equipo'!D:D,MATCH("Horas Maquinas Mini Cargadora",'BD Equipo'!B:B,0)),"")</f>
        <v>22.5</v>
      </c>
      <c r="F312" s="168">
        <f>IFERROR(D312*E312,"")</f>
        <v>7.7781350312458461E-2</v>
      </c>
      <c r="G312" s="118">
        <v>0.95920000000000005</v>
      </c>
      <c r="H312" s="106">
        <v>20</v>
      </c>
      <c r="I312" s="118"/>
      <c r="J312" s="106"/>
      <c r="K312" s="118">
        <v>2</v>
      </c>
      <c r="L312" s="106">
        <v>25</v>
      </c>
    </row>
    <row r="313" spans="1:13" x14ac:dyDescent="0.25">
      <c r="B313" t="s">
        <v>1219</v>
      </c>
      <c r="C313" t="s">
        <v>78</v>
      </c>
      <c r="D313" s="150">
        <f>IFERROR(INDEX('BD Rendimientos'!G:G,MATCH("03.02.02|Horas Maquinas Retroexcavadora|Hr.|equipo",'BD Rendimientos'!L:L,0)),"")</f>
        <v>5.7059055964700123E-2</v>
      </c>
      <c r="E313" s="159">
        <f>IFERROR(INDEX('BD Equipo'!D:D,MATCH("Horas Maquinas Retroexcavadora",'BD Equipo'!B:B,0)),"")</f>
        <v>22.428750000000001</v>
      </c>
      <c r="F313" s="168">
        <f>IFERROR(D313*E313,"")</f>
        <v>1.2797633014682679</v>
      </c>
      <c r="G313" s="118">
        <v>11</v>
      </c>
      <c r="H313" s="106">
        <v>25</v>
      </c>
      <c r="I313" s="118"/>
      <c r="J313" s="106"/>
      <c r="K313" s="118">
        <v>40.5</v>
      </c>
      <c r="L313" s="106">
        <v>22</v>
      </c>
    </row>
    <row r="314" spans="1:13" ht="16.5" thickBot="1" x14ac:dyDescent="0.3">
      <c r="A314" s="100"/>
      <c r="B314" s="100" t="s">
        <v>645</v>
      </c>
      <c r="C314" s="100" t="s">
        <v>130</v>
      </c>
      <c r="D314" s="151"/>
      <c r="E314" s="160"/>
      <c r="F314" s="169">
        <f>SUM(F288,F289,F290,F291,F292,F293,F294,F295,F296,F297,F298,F299,F300,F301,F302,F303,F305,F307,F308,F309,F310,F311,F312,F313)</f>
        <v>19.64849129941117</v>
      </c>
      <c r="G314" s="119"/>
      <c r="H314" s="107">
        <v>17.0600771382034</v>
      </c>
      <c r="I314" s="119"/>
      <c r="J314" s="107">
        <v>19.162520249942101</v>
      </c>
      <c r="K314" s="119"/>
      <c r="L314" s="107">
        <v>17.8176649877052</v>
      </c>
      <c r="M314" s="100" t="s">
        <v>646</v>
      </c>
    </row>
    <row r="315" spans="1:13" ht="15.75" thickTop="1" x14ac:dyDescent="0.25">
      <c r="D315" s="150"/>
      <c r="E315" s="159"/>
      <c r="F315" s="168"/>
      <c r="G315" s="118"/>
      <c r="H315" s="106"/>
      <c r="I315" s="118"/>
      <c r="J315" s="106"/>
      <c r="K315" s="118"/>
      <c r="L315" s="106"/>
    </row>
    <row r="316" spans="1:13" ht="15.75" thickBot="1" x14ac:dyDescent="0.3">
      <c r="A316" s="96" t="s">
        <v>375</v>
      </c>
      <c r="B316" s="96"/>
      <c r="C316" s="96"/>
      <c r="D316" s="155"/>
      <c r="E316" s="164"/>
      <c r="F316" s="173"/>
      <c r="G316" s="123"/>
      <c r="H316" s="111"/>
      <c r="I316" s="123"/>
      <c r="J316" s="111"/>
      <c r="K316" s="123"/>
      <c r="L316" s="111"/>
      <c r="M316" s="96"/>
    </row>
    <row r="317" spans="1:13" ht="15.75" thickTop="1" x14ac:dyDescent="0.25">
      <c r="A317" s="98" t="s">
        <v>355</v>
      </c>
      <c r="B317" s="98" t="s">
        <v>354</v>
      </c>
      <c r="C317" s="98" t="s">
        <v>58</v>
      </c>
      <c r="D317" s="154" t="s">
        <v>635</v>
      </c>
      <c r="E317" s="163" t="s">
        <v>636</v>
      </c>
      <c r="F317" s="172" t="s">
        <v>637</v>
      </c>
      <c r="G317" s="122" t="s">
        <v>638</v>
      </c>
      <c r="H317" s="110" t="s">
        <v>639</v>
      </c>
      <c r="I317" s="122" t="s">
        <v>640</v>
      </c>
      <c r="J317" s="110" t="s">
        <v>641</v>
      </c>
      <c r="K317" s="122" t="s">
        <v>642</v>
      </c>
      <c r="L317" s="110" t="s">
        <v>643</v>
      </c>
      <c r="M317" s="98" t="s">
        <v>668</v>
      </c>
    </row>
    <row r="318" spans="1:13" x14ac:dyDescent="0.25">
      <c r="A318" s="99" t="s">
        <v>11</v>
      </c>
      <c r="B318" s="99"/>
      <c r="C318" s="99"/>
      <c r="D318" s="149"/>
      <c r="E318" s="158"/>
      <c r="F318" s="167"/>
      <c r="G318" s="117"/>
      <c r="H318" s="105"/>
      <c r="I318" s="117"/>
      <c r="J318" s="105"/>
      <c r="K318" s="117"/>
      <c r="L318" s="105"/>
      <c r="M318" s="99"/>
    </row>
    <row r="319" spans="1:13" x14ac:dyDescent="0.25">
      <c r="A319" s="101"/>
      <c r="B319" s="101" t="s">
        <v>953</v>
      </c>
      <c r="C319" s="101" t="s">
        <v>15</v>
      </c>
      <c r="D319" s="152">
        <f>IFERROR(INDEX('BD Rendimientos'!G:G,MATCH("03.02.03|Plancha espumaflex 5cm|Uni.|materiales",'BD Rendimientos'!L:L,0)),"")</f>
        <v>0.3546099290780142</v>
      </c>
      <c r="E319" s="161">
        <f>IFERROR(INDEX('BD Materiales'!D:D,MATCH("Plancha espumaflex 5cm",'BD Materiales'!B:B,0)),"")</f>
        <v>9.5184999999999995</v>
      </c>
      <c r="F319" s="170">
        <f>IFERROR(D319*E319,"")</f>
        <v>3.3753546099290781</v>
      </c>
      <c r="G319" s="120"/>
      <c r="H319" s="108"/>
      <c r="I319" s="120">
        <v>5</v>
      </c>
      <c r="J319" s="108">
        <v>10.25</v>
      </c>
      <c r="K319" s="120"/>
      <c r="L319" s="108"/>
      <c r="M319" s="101" t="s">
        <v>647</v>
      </c>
    </row>
    <row r="320" spans="1:13" x14ac:dyDescent="0.25">
      <c r="A320" s="99" t="s">
        <v>5</v>
      </c>
      <c r="B320" s="99"/>
      <c r="C320" s="99"/>
      <c r="D320" s="149"/>
      <c r="E320" s="158"/>
      <c r="F320" s="167"/>
      <c r="G320" s="117"/>
      <c r="H320" s="105"/>
      <c r="I320" s="117"/>
      <c r="J320" s="105"/>
      <c r="K320" s="117"/>
      <c r="L320" s="105"/>
      <c r="M320" s="99"/>
    </row>
    <row r="321" spans="1:13" x14ac:dyDescent="0.25">
      <c r="A321" s="101"/>
      <c r="B321" s="101" t="s">
        <v>353</v>
      </c>
      <c r="C321" s="101" t="s">
        <v>58</v>
      </c>
      <c r="D321" s="152">
        <f>IFERROR(INDEX('BD Rendimientos'!G:G,MATCH("03.02.03|M. Juntas de dilatación en contrapiso|m|mano_obra",'BD Rendimientos'!L:L,0)),"")</f>
        <v>1</v>
      </c>
      <c r="E321" s="161">
        <f>IFERROR(INDEX('BD Mano de Obra'!D:D,MATCH("M. Juntas de dilatación en contrapiso",'BD Mano de Obra'!B:B,0)),"")</f>
        <v>3.4</v>
      </c>
      <c r="F321" s="170">
        <f>IFERROR(D321*E321,"")</f>
        <v>3.4</v>
      </c>
      <c r="G321" s="120"/>
      <c r="H321" s="108"/>
      <c r="I321" s="120">
        <v>14.1</v>
      </c>
      <c r="J321" s="108">
        <v>3.4</v>
      </c>
      <c r="K321" s="120"/>
      <c r="L321" s="108"/>
      <c r="M321" s="101" t="s">
        <v>647</v>
      </c>
    </row>
    <row r="322" spans="1:13" ht="16.5" thickBot="1" x14ac:dyDescent="0.3">
      <c r="A322" s="100"/>
      <c r="B322" s="100" t="s">
        <v>645</v>
      </c>
      <c r="C322" s="100" t="s">
        <v>58</v>
      </c>
      <c r="D322" s="151"/>
      <c r="E322" s="160"/>
      <c r="F322" s="169">
        <f>SUM(F319,F321)</f>
        <v>6.775354609929078</v>
      </c>
      <c r="G322" s="119"/>
      <c r="H322" s="107"/>
      <c r="I322" s="119"/>
      <c r="J322" s="107">
        <v>7.03475177304965</v>
      </c>
      <c r="K322" s="119"/>
      <c r="L322" s="107"/>
      <c r="M322" s="100" t="s">
        <v>646</v>
      </c>
    </row>
    <row r="323" spans="1:13" ht="15.75" thickTop="1" x14ac:dyDescent="0.25">
      <c r="D323" s="150"/>
      <c r="E323" s="159"/>
      <c r="F323" s="168"/>
      <c r="G323" s="118"/>
      <c r="H323" s="106"/>
      <c r="I323" s="118"/>
      <c r="J323" s="106"/>
      <c r="K323" s="118"/>
      <c r="L323" s="106"/>
    </row>
    <row r="324" spans="1:13" ht="15.75" thickBot="1" x14ac:dyDescent="0.3">
      <c r="A324" s="96" t="s">
        <v>352</v>
      </c>
      <c r="B324" s="96"/>
      <c r="C324" s="96"/>
      <c r="D324" s="155"/>
      <c r="E324" s="164"/>
      <c r="F324" s="173"/>
      <c r="G324" s="123"/>
      <c r="H324" s="111"/>
      <c r="I324" s="123"/>
      <c r="J324" s="111"/>
      <c r="K324" s="123"/>
      <c r="L324" s="111"/>
      <c r="M324" s="96"/>
    </row>
    <row r="325" spans="1:13" ht="15.75" thickTop="1" x14ac:dyDescent="0.25">
      <c r="A325" s="97" t="s">
        <v>351</v>
      </c>
      <c r="B325" s="97" t="s">
        <v>350</v>
      </c>
      <c r="C325" s="97" t="s">
        <v>6</v>
      </c>
      <c r="D325" s="148" t="s">
        <v>635</v>
      </c>
      <c r="E325" s="157" t="s">
        <v>636</v>
      </c>
      <c r="F325" s="166" t="s">
        <v>637</v>
      </c>
      <c r="G325" s="116" t="s">
        <v>638</v>
      </c>
      <c r="H325" s="104" t="s">
        <v>639</v>
      </c>
      <c r="I325" s="116" t="s">
        <v>640</v>
      </c>
      <c r="J325" s="104" t="s">
        <v>641</v>
      </c>
      <c r="K325" s="116" t="s">
        <v>642</v>
      </c>
      <c r="L325" s="104" t="s">
        <v>643</v>
      </c>
      <c r="M325" s="97" t="s">
        <v>644</v>
      </c>
    </row>
    <row r="326" spans="1:13" x14ac:dyDescent="0.25">
      <c r="A326" s="99" t="s">
        <v>11</v>
      </c>
      <c r="B326" s="99"/>
      <c r="C326" s="99"/>
      <c r="D326" s="149"/>
      <c r="E326" s="158"/>
      <c r="F326" s="167"/>
      <c r="G326" s="117"/>
      <c r="H326" s="105"/>
      <c r="I326" s="117"/>
      <c r="J326" s="105"/>
      <c r="K326" s="117"/>
      <c r="L326" s="105"/>
      <c r="M326" s="99"/>
    </row>
    <row r="327" spans="1:13" x14ac:dyDescent="0.25">
      <c r="B327" t="s">
        <v>790</v>
      </c>
      <c r="C327" t="s">
        <v>174</v>
      </c>
      <c r="D327" s="150">
        <f>IFERROR(INDEX('BD Rendimientos'!G:G,MATCH("03.03.01|Cemento Campeón|saco|materiales",'BD Rendimientos'!L:L,0)),"")</f>
        <v>2.9520295202952029</v>
      </c>
      <c r="E327" s="159">
        <f>IFERROR(INDEX('BD Materiales'!D:D,MATCH("Cemento Campeón",'BD Materiales'!B:B,0)),"")</f>
        <v>6.7</v>
      </c>
      <c r="F327" s="168">
        <f>IFERROR(D327*E327,"")</f>
        <v>19.778597785977862</v>
      </c>
      <c r="G327" s="118">
        <v>13</v>
      </c>
      <c r="H327" s="106">
        <v>6.67</v>
      </c>
      <c r="I327" s="118">
        <v>8</v>
      </c>
      <c r="J327" s="106">
        <v>6.7</v>
      </c>
      <c r="K327" s="118">
        <v>8</v>
      </c>
      <c r="L327" s="106">
        <v>6.7</v>
      </c>
      <c r="M327" t="s">
        <v>1920</v>
      </c>
    </row>
    <row r="328" spans="1:13" x14ac:dyDescent="0.25">
      <c r="B328" t="s">
        <v>603</v>
      </c>
      <c r="C328" t="s">
        <v>6</v>
      </c>
      <c r="D328" s="150">
        <f>IFERROR(INDEX('BD Rendimientos'!G:G,MATCH("03.03.01|Polvo Azul|m3|materiales",'BD Rendimientos'!L:L,0)),"")</f>
        <v>0.52029520295202947</v>
      </c>
      <c r="E328" s="159">
        <f>IFERROR(INDEX('BD Materiales'!D:D,MATCH("Polvo Azul",'BD Materiales'!B:B,0)),"")</f>
        <v>14.547574523429788</v>
      </c>
      <c r="F328" s="168">
        <f>IFERROR(D328*E328,"")</f>
        <v>7.5690332391276742</v>
      </c>
      <c r="G328" s="118">
        <v>1.68</v>
      </c>
      <c r="H328" s="106">
        <v>12.28</v>
      </c>
      <c r="I328" s="118">
        <v>1.41</v>
      </c>
      <c r="J328" s="106">
        <v>12.5</v>
      </c>
      <c r="K328" s="118">
        <v>0.48</v>
      </c>
      <c r="L328" s="106">
        <v>12.5</v>
      </c>
      <c r="M328" t="s">
        <v>1920</v>
      </c>
    </row>
    <row r="329" spans="1:13" x14ac:dyDescent="0.25">
      <c r="B329" t="s">
        <v>602</v>
      </c>
      <c r="C329" t="s">
        <v>6</v>
      </c>
      <c r="D329" s="150">
        <f>IFERROR(INDEX('BD Rendimientos'!G:G,MATCH("03.03.01|Ripio|m3|materiales",'BD Rendimientos'!L:L,0)),"")</f>
        <v>0.605463902172654</v>
      </c>
      <c r="E329" s="159">
        <f>IFERROR(INDEX('BD Materiales'!D:D,MATCH("Ripio",'BD Materiales'!B:B,0)),"")</f>
        <v>13.895122287420717</v>
      </c>
      <c r="F329" s="168">
        <f>IFERROR(D329*E329,"")</f>
        <v>8.4129949613079607</v>
      </c>
      <c r="G329" s="118">
        <v>1.68</v>
      </c>
      <c r="H329" s="106">
        <v>12.27</v>
      </c>
      <c r="I329" s="118">
        <v>1.24</v>
      </c>
      <c r="J329" s="106">
        <v>12.5</v>
      </c>
      <c r="K329" s="118"/>
      <c r="L329" s="106"/>
    </row>
    <row r="330" spans="1:13" x14ac:dyDescent="0.25">
      <c r="A330" s="99" t="s">
        <v>5</v>
      </c>
      <c r="B330" s="99"/>
      <c r="C330" s="99"/>
      <c r="D330" s="149"/>
      <c r="E330" s="158"/>
      <c r="F330" s="167"/>
      <c r="G330" s="117"/>
      <c r="H330" s="105"/>
      <c r="I330" s="117"/>
      <c r="J330" s="105"/>
      <c r="K330" s="117"/>
      <c r="L330" s="105"/>
      <c r="M330" s="99"/>
    </row>
    <row r="331" spans="1:13" x14ac:dyDescent="0.25">
      <c r="B331" t="s">
        <v>349</v>
      </c>
      <c r="C331" t="s">
        <v>6</v>
      </c>
      <c r="D331" s="150">
        <f>IFERROR(INDEX('BD Rendimientos'!G:G,MATCH("03.03.01|M. Hormigón En Replantillo F'c=180kg/Cm²|m3|mano_obra",'BD Rendimientos'!L:L,0)),"")</f>
        <v>1</v>
      </c>
      <c r="E331" s="159">
        <f>IFERROR(INDEX('BD Mano de Obra'!D:D,MATCH("M. Hormigón En Replantillo F'c=180kg/Cm²",'BD Mano de Obra'!B:B,0)),"")</f>
        <v>25</v>
      </c>
      <c r="F331" s="168">
        <f>IFERROR(D331*E331,"")</f>
        <v>25</v>
      </c>
      <c r="G331" s="118">
        <v>2.23</v>
      </c>
      <c r="H331" s="106">
        <v>25</v>
      </c>
      <c r="I331" s="118">
        <v>2.71</v>
      </c>
      <c r="J331" s="106">
        <v>25</v>
      </c>
      <c r="K331" s="118">
        <v>12.24</v>
      </c>
      <c r="L331" s="106">
        <v>25</v>
      </c>
    </row>
    <row r="332" spans="1:13" ht="16.5" thickBot="1" x14ac:dyDescent="0.3">
      <c r="A332" s="100"/>
      <c r="B332" s="100" t="s">
        <v>645</v>
      </c>
      <c r="C332" s="100" t="s">
        <v>6</v>
      </c>
      <c r="D332" s="151"/>
      <c r="E332" s="160"/>
      <c r="F332" s="169">
        <f>SUM(F327,F328,F329,F331)</f>
        <v>60.760625986413494</v>
      </c>
      <c r="G332" s="119"/>
      <c r="H332" s="107">
        <v>82.378475336322893</v>
      </c>
      <c r="I332" s="119"/>
      <c r="J332" s="107">
        <v>57.001845018450197</v>
      </c>
      <c r="K332" s="119"/>
      <c r="L332" s="107">
        <v>29.869281045751599</v>
      </c>
      <c r="M332" s="100" t="s">
        <v>646</v>
      </c>
    </row>
    <row r="333" spans="1:13" ht="15.75" thickTop="1" x14ac:dyDescent="0.25">
      <c r="D333" s="150"/>
      <c r="E333" s="159"/>
      <c r="F333" s="168"/>
      <c r="G333" s="118"/>
      <c r="H333" s="106"/>
      <c r="I333" s="118"/>
      <c r="J333" s="106"/>
      <c r="K333" s="118"/>
      <c r="L333" s="106"/>
    </row>
    <row r="334" spans="1:13" ht="15.75" thickBot="1" x14ac:dyDescent="0.3">
      <c r="A334" s="96" t="s">
        <v>352</v>
      </c>
      <c r="B334" s="96"/>
      <c r="C334" s="96"/>
      <c r="D334" s="155"/>
      <c r="E334" s="164"/>
      <c r="F334" s="173"/>
      <c r="G334" s="123"/>
      <c r="H334" s="111"/>
      <c r="I334" s="123"/>
      <c r="J334" s="111"/>
      <c r="K334" s="123"/>
      <c r="L334" s="111"/>
      <c r="M334" s="96"/>
    </row>
    <row r="335" spans="1:13" ht="15.75" thickTop="1" x14ac:dyDescent="0.25">
      <c r="A335" s="97" t="s">
        <v>347</v>
      </c>
      <c r="B335" s="97" t="s">
        <v>346</v>
      </c>
      <c r="C335" s="97" t="s">
        <v>6</v>
      </c>
      <c r="D335" s="148" t="s">
        <v>635</v>
      </c>
      <c r="E335" s="157" t="s">
        <v>636</v>
      </c>
      <c r="F335" s="166" t="s">
        <v>637</v>
      </c>
      <c r="G335" s="116" t="s">
        <v>638</v>
      </c>
      <c r="H335" s="104" t="s">
        <v>639</v>
      </c>
      <c r="I335" s="116" t="s">
        <v>640</v>
      </c>
      <c r="J335" s="104" t="s">
        <v>641</v>
      </c>
      <c r="K335" s="116" t="s">
        <v>642</v>
      </c>
      <c r="L335" s="104" t="s">
        <v>643</v>
      </c>
      <c r="M335" s="97" t="s">
        <v>644</v>
      </c>
    </row>
    <row r="336" spans="1:13" x14ac:dyDescent="0.25">
      <c r="A336" s="99" t="s">
        <v>11</v>
      </c>
      <c r="B336" s="99"/>
      <c r="C336" s="99"/>
      <c r="D336" s="149"/>
      <c r="E336" s="158"/>
      <c r="F336" s="167"/>
      <c r="G336" s="117"/>
      <c r="H336" s="105"/>
      <c r="I336" s="117"/>
      <c r="J336" s="105"/>
      <c r="K336" s="117"/>
      <c r="L336" s="105"/>
      <c r="M336" s="99"/>
    </row>
    <row r="337" spans="1:13" x14ac:dyDescent="0.25">
      <c r="B337" t="s">
        <v>47</v>
      </c>
      <c r="C337" t="s">
        <v>6</v>
      </c>
      <c r="D337" s="150">
        <f>IFERROR(INDEX('BD Rendimientos'!G:G,MATCH("03.03.02|Hormigón Premez. fc= 210 kg S/B (Hormigón Premezclado fc= 210 kg/cm2)|m3|materiales",'BD Rendimientos'!L:L,0)),"")</f>
        <v>1</v>
      </c>
      <c r="E337" s="159">
        <f>IFERROR(INDEX('BD Materiales'!D:D,MATCH("Hormigón Premez. fc= 210 kg S/B (Hormigón Premezclado fc= 210 kg/cm2)",'BD Materiales'!B:B,0)),"")</f>
        <v>71</v>
      </c>
      <c r="F337" s="168">
        <f>IFERROR(D337*E337,"")</f>
        <v>71</v>
      </c>
      <c r="G337" s="118">
        <v>22</v>
      </c>
      <c r="H337" s="106">
        <v>71</v>
      </c>
      <c r="I337" s="118">
        <v>10</v>
      </c>
      <c r="J337" s="106">
        <v>71</v>
      </c>
      <c r="K337" s="118">
        <v>45</v>
      </c>
      <c r="L337" s="106">
        <v>71</v>
      </c>
    </row>
    <row r="338" spans="1:13" x14ac:dyDescent="0.25">
      <c r="A338" s="99" t="s">
        <v>5</v>
      </c>
      <c r="B338" s="99"/>
      <c r="C338" s="99"/>
      <c r="D338" s="149"/>
      <c r="E338" s="158"/>
      <c r="F338" s="167"/>
      <c r="G338" s="117"/>
      <c r="H338" s="105"/>
      <c r="I338" s="117"/>
      <c r="J338" s="105"/>
      <c r="K338" s="117"/>
      <c r="L338" s="105"/>
      <c r="M338" s="99"/>
    </row>
    <row r="339" spans="1:13" x14ac:dyDescent="0.25">
      <c r="B339" t="s">
        <v>344</v>
      </c>
      <c r="C339" t="s">
        <v>6</v>
      </c>
      <c r="D339" s="150">
        <f>IFERROR(INDEX('BD Rendimientos'!G:G,MATCH("03.03.02|M. Hormigón En Plintos F'c=210kg/Cm²|m3|mano_obra",'BD Rendimientos'!L:L,0)),"")</f>
        <v>1</v>
      </c>
      <c r="E339" s="159">
        <f>IFERROR(INDEX('BD Mano de Obra'!D:D,MATCH("M. Hormigón En Plintos F'c=210kg/Cm²",'BD Mano de Obra'!B:B,0)),"")</f>
        <v>33</v>
      </c>
      <c r="F339" s="168">
        <f>IFERROR(D339*E339,"")</f>
        <v>33</v>
      </c>
      <c r="G339" s="118">
        <v>22</v>
      </c>
      <c r="H339" s="106">
        <v>33</v>
      </c>
      <c r="I339" s="118">
        <v>10</v>
      </c>
      <c r="J339" s="106">
        <v>33</v>
      </c>
      <c r="K339" s="118">
        <v>45</v>
      </c>
      <c r="L339" s="106">
        <v>33</v>
      </c>
    </row>
    <row r="340" spans="1:13" x14ac:dyDescent="0.25">
      <c r="A340" s="99" t="s">
        <v>2</v>
      </c>
      <c r="B340" s="99"/>
      <c r="C340" s="99"/>
      <c r="D340" s="149"/>
      <c r="E340" s="158"/>
      <c r="F340" s="167"/>
      <c r="G340" s="117"/>
      <c r="H340" s="105"/>
      <c r="I340" s="117"/>
      <c r="J340" s="105"/>
      <c r="K340" s="117"/>
      <c r="L340" s="105"/>
      <c r="M340" s="99"/>
    </row>
    <row r="341" spans="1:13" x14ac:dyDescent="0.25">
      <c r="B341" t="s">
        <v>1200</v>
      </c>
      <c r="C341" t="s">
        <v>15</v>
      </c>
      <c r="D341" s="150">
        <f>IFERROR(INDEX('BD Rendimientos'!G:G,MATCH("03.03.02|Alquiler vibrador|Uni.|equipo",'BD Rendimientos'!L:L,0)),"")</f>
        <v>7.8451919191919198E-2</v>
      </c>
      <c r="E341" s="159">
        <f>IFERROR(INDEX('BD Equipo'!D:D,MATCH("Alquiler vibrador",'BD Equipo'!B:B,0)),"")</f>
        <v>17.86000000000001</v>
      </c>
      <c r="F341" s="168">
        <f>IFERROR(D341*E341,"")</f>
        <v>1.4011512767676777</v>
      </c>
      <c r="G341" s="118">
        <v>2</v>
      </c>
      <c r="H341" s="106">
        <v>17.86</v>
      </c>
      <c r="I341" s="118">
        <v>1</v>
      </c>
      <c r="J341" s="106">
        <v>17.86</v>
      </c>
      <c r="K341" s="118">
        <v>2.0001000000000002</v>
      </c>
      <c r="L341" s="106">
        <v>17.86</v>
      </c>
    </row>
    <row r="342" spans="1:13" x14ac:dyDescent="0.25">
      <c r="B342" t="s">
        <v>1203</v>
      </c>
      <c r="C342" t="s">
        <v>6</v>
      </c>
      <c r="D342" s="150">
        <f>IFERROR(INDEX('BD Rendimientos'!G:G,MATCH("03.03.02|Bomba Estacionaria|m3|equipo",'BD Rendimientos'!L:L,0)),"")</f>
        <v>1</v>
      </c>
      <c r="E342" s="159">
        <f>IFERROR(INDEX('BD Equipo'!D:D,MATCH("Bomba Estacionaria",'BD Equipo'!B:B,0)),"")</f>
        <v>8</v>
      </c>
      <c r="F342" s="168">
        <f>IFERROR(D342*E342,"")</f>
        <v>8</v>
      </c>
      <c r="G342" s="118">
        <v>22</v>
      </c>
      <c r="H342" s="106">
        <v>8</v>
      </c>
      <c r="I342" s="118">
        <v>10</v>
      </c>
      <c r="J342" s="106">
        <v>8</v>
      </c>
      <c r="K342" s="118">
        <v>45</v>
      </c>
      <c r="L342" s="106">
        <v>8</v>
      </c>
    </row>
    <row r="343" spans="1:13" ht="16.5" thickBot="1" x14ac:dyDescent="0.3">
      <c r="A343" s="100"/>
      <c r="B343" s="100" t="s">
        <v>645</v>
      </c>
      <c r="C343" s="100" t="s">
        <v>6</v>
      </c>
      <c r="D343" s="151"/>
      <c r="E343" s="160"/>
      <c r="F343" s="169">
        <f>SUM(F337,F339,F341,F342)</f>
        <v>113.40115127676768</v>
      </c>
      <c r="G343" s="119"/>
      <c r="H343" s="107">
        <v>113.623636363636</v>
      </c>
      <c r="I343" s="119"/>
      <c r="J343" s="107">
        <v>113.786</v>
      </c>
      <c r="K343" s="119"/>
      <c r="L343" s="107">
        <v>112.79381746666699</v>
      </c>
      <c r="M343" s="100" t="s">
        <v>646</v>
      </c>
    </row>
    <row r="344" spans="1:13" ht="15.75" thickTop="1" x14ac:dyDescent="0.25">
      <c r="D344" s="150"/>
      <c r="E344" s="159"/>
      <c r="F344" s="168"/>
      <c r="G344" s="118"/>
      <c r="H344" s="106"/>
      <c r="I344" s="118"/>
      <c r="J344" s="106"/>
      <c r="K344" s="118"/>
      <c r="L344" s="106"/>
    </row>
    <row r="345" spans="1:13" ht="15.75" thickBot="1" x14ac:dyDescent="0.3">
      <c r="A345" s="96" t="s">
        <v>352</v>
      </c>
      <c r="B345" s="96"/>
      <c r="C345" s="96"/>
      <c r="D345" s="155"/>
      <c r="E345" s="164"/>
      <c r="F345" s="173"/>
      <c r="G345" s="123"/>
      <c r="H345" s="111"/>
      <c r="I345" s="123"/>
      <c r="J345" s="111"/>
      <c r="K345" s="123"/>
      <c r="L345" s="111"/>
      <c r="M345" s="96"/>
    </row>
    <row r="346" spans="1:13" ht="15.75" thickTop="1" x14ac:dyDescent="0.25">
      <c r="A346" s="97" t="s">
        <v>343</v>
      </c>
      <c r="B346" s="97" t="s">
        <v>342</v>
      </c>
      <c r="C346" s="97" t="s">
        <v>6</v>
      </c>
      <c r="D346" s="148" t="s">
        <v>635</v>
      </c>
      <c r="E346" s="157" t="s">
        <v>636</v>
      </c>
      <c r="F346" s="166" t="s">
        <v>637</v>
      </c>
      <c r="G346" s="116" t="s">
        <v>638</v>
      </c>
      <c r="H346" s="104" t="s">
        <v>639</v>
      </c>
      <c r="I346" s="116" t="s">
        <v>640</v>
      </c>
      <c r="J346" s="104" t="s">
        <v>641</v>
      </c>
      <c r="K346" s="116" t="s">
        <v>642</v>
      </c>
      <c r="L346" s="104" t="s">
        <v>643</v>
      </c>
      <c r="M346" s="97" t="s">
        <v>644</v>
      </c>
    </row>
    <row r="347" spans="1:13" x14ac:dyDescent="0.25">
      <c r="A347" s="99" t="s">
        <v>11</v>
      </c>
      <c r="B347" s="99"/>
      <c r="C347" s="99"/>
      <c r="D347" s="149"/>
      <c r="E347" s="158"/>
      <c r="F347" s="167"/>
      <c r="G347" s="117"/>
      <c r="H347" s="105"/>
      <c r="I347" s="117"/>
      <c r="J347" s="105"/>
      <c r="K347" s="117"/>
      <c r="L347" s="105"/>
      <c r="M347" s="99"/>
    </row>
    <row r="348" spans="1:13" x14ac:dyDescent="0.25">
      <c r="A348" s="101"/>
      <c r="B348" s="101" t="s">
        <v>788</v>
      </c>
      <c r="C348" s="101" t="s">
        <v>8</v>
      </c>
      <c r="D348" s="152">
        <f>IFERROR(INDEX('BD Rendimientos'!G:G,MATCH("03.03.03|Cemento Campeon HS 50KG|qq|materiales",'BD Rendimientos'!L:L,0)),"")</f>
        <v>8.8888888888888892E-2</v>
      </c>
      <c r="E348" s="161">
        <f>IFERROR(INDEX('BD Materiales'!D:D,MATCH("Cemento Campeon HS 50KG",'BD Materiales'!B:B,0)),"")</f>
        <v>6.7489472778273614</v>
      </c>
      <c r="F348" s="170">
        <f>IFERROR(D348*E348,"")</f>
        <v>0.59990642469576549</v>
      </c>
      <c r="G348" s="120"/>
      <c r="H348" s="108"/>
      <c r="I348" s="120">
        <v>2</v>
      </c>
      <c r="J348" s="108">
        <v>6.6950000000000003</v>
      </c>
      <c r="K348" s="120"/>
      <c r="L348" s="108"/>
      <c r="M348" s="101" t="s">
        <v>647</v>
      </c>
    </row>
    <row r="349" spans="1:13" x14ac:dyDescent="0.25">
      <c r="B349" t="s">
        <v>47</v>
      </c>
      <c r="C349" t="s">
        <v>6</v>
      </c>
      <c r="D349" s="150">
        <f>IFERROR(INDEX('BD Rendimientos'!G:G,MATCH("03.03.03|Hormigón Premez. fc= 210 kg S/B (Hormigón Premezclado fc= 210 kg/cm2)|m3|materiales",'BD Rendimientos'!L:L,0)),"")</f>
        <v>0.98683133468377227</v>
      </c>
      <c r="E349" s="159">
        <f>IFERROR(INDEX('BD Materiales'!D:D,MATCH("Hormigón Premez. fc= 210 kg S/B (Hormigón Premezclado fc= 210 kg/cm2)",'BD Materiales'!B:B,0)),"")</f>
        <v>71</v>
      </c>
      <c r="F349" s="168">
        <f>IFERROR(D349*E349,"")</f>
        <v>70.065024762547836</v>
      </c>
      <c r="G349" s="118">
        <v>14.4</v>
      </c>
      <c r="H349" s="106">
        <v>71</v>
      </c>
      <c r="I349" s="118"/>
      <c r="J349" s="106"/>
      <c r="K349" s="118">
        <v>9.0121199999999995</v>
      </c>
      <c r="L349" s="106">
        <v>71</v>
      </c>
    </row>
    <row r="350" spans="1:13" x14ac:dyDescent="0.25">
      <c r="A350" s="101"/>
      <c r="B350" s="101" t="s">
        <v>603</v>
      </c>
      <c r="C350" s="101" t="s">
        <v>6</v>
      </c>
      <c r="D350" s="152">
        <f>IFERROR(INDEX('BD Rendimientos'!G:G,MATCH("03.03.03|Polvo Azul|m3|materiales",'BD Rendimientos'!L:L,0)),"")</f>
        <v>6.5777777777777782E-2</v>
      </c>
      <c r="E350" s="161">
        <f>IFERROR(INDEX('BD Materiales'!D:D,MATCH("Polvo Azul",'BD Materiales'!B:B,0)),"")</f>
        <v>14.547574523429788</v>
      </c>
      <c r="F350" s="170">
        <f>IFERROR(D350*E350,"")</f>
        <v>0.95690712420782609</v>
      </c>
      <c r="G350" s="120"/>
      <c r="H350" s="108"/>
      <c r="I350" s="120">
        <v>1.48</v>
      </c>
      <c r="J350" s="108">
        <v>12.5</v>
      </c>
      <c r="K350" s="120"/>
      <c r="L350" s="108"/>
      <c r="M350" s="101" t="s">
        <v>647</v>
      </c>
    </row>
    <row r="351" spans="1:13" x14ac:dyDescent="0.25">
      <c r="A351" s="99" t="s">
        <v>5</v>
      </c>
      <c r="B351" s="99"/>
      <c r="C351" s="99"/>
      <c r="D351" s="149"/>
      <c r="E351" s="158"/>
      <c r="F351" s="167"/>
      <c r="G351" s="117"/>
      <c r="H351" s="105"/>
      <c r="I351" s="117"/>
      <c r="J351" s="105"/>
      <c r="K351" s="117"/>
      <c r="L351" s="105"/>
      <c r="M351" s="99"/>
    </row>
    <row r="352" spans="1:13" x14ac:dyDescent="0.25">
      <c r="B352" t="s">
        <v>334</v>
      </c>
      <c r="C352" t="s">
        <v>6</v>
      </c>
      <c r="D352" s="150">
        <f>IFERROR(INDEX('BD Rendimientos'!G:G,MATCH("03.03.03|M. Hormigón En Cadenas F'c=210kg/Cm²|m3|mano_obra",'BD Rendimientos'!L:L,0)),"")</f>
        <v>1</v>
      </c>
      <c r="E352" s="159">
        <f>IFERROR(INDEX('BD Mano de Obra'!D:D,MATCH("M. Hormigón En Cadenas F'c=210kg/Cm²",'BD Mano de Obra'!B:B,0)),"")</f>
        <v>33</v>
      </c>
      <c r="F352" s="168">
        <f>IFERROR(D352*E352,"")</f>
        <v>33</v>
      </c>
      <c r="G352" s="118">
        <v>14.81</v>
      </c>
      <c r="H352" s="106">
        <v>33</v>
      </c>
      <c r="I352" s="118">
        <v>22.5</v>
      </c>
      <c r="J352" s="106">
        <v>33</v>
      </c>
      <c r="K352" s="118">
        <v>9</v>
      </c>
      <c r="L352" s="106">
        <v>33</v>
      </c>
    </row>
    <row r="353" spans="1:13" x14ac:dyDescent="0.25">
      <c r="A353" s="99" t="s">
        <v>2</v>
      </c>
      <c r="B353" s="99"/>
      <c r="C353" s="99"/>
      <c r="D353" s="149"/>
      <c r="E353" s="158"/>
      <c r="F353" s="167"/>
      <c r="G353" s="117"/>
      <c r="H353" s="105"/>
      <c r="I353" s="117"/>
      <c r="J353" s="105"/>
      <c r="K353" s="117"/>
      <c r="L353" s="105"/>
      <c r="M353" s="99"/>
    </row>
    <row r="354" spans="1:13" x14ac:dyDescent="0.25">
      <c r="B354" t="s">
        <v>1203</v>
      </c>
      <c r="C354" t="s">
        <v>6</v>
      </c>
      <c r="D354" s="150">
        <f>IFERROR(INDEX('BD Rendimientos'!G:G,MATCH("03.03.03|Bomba Estacionaria|m3|equipo",'BD Rendimientos'!L:L,0)),"")</f>
        <v>1.4729893360342112</v>
      </c>
      <c r="E354" s="159">
        <f>IFERROR(INDEX('BD Equipo'!D:D,MATCH("Bomba Estacionaria",'BD Equipo'!B:B,0)),"")</f>
        <v>8</v>
      </c>
      <c r="F354" s="168">
        <f>IFERROR(D354*E354,"")</f>
        <v>11.78391468827369</v>
      </c>
      <c r="G354" s="118">
        <v>28.8</v>
      </c>
      <c r="H354" s="106">
        <v>8</v>
      </c>
      <c r="I354" s="118"/>
      <c r="J354" s="106"/>
      <c r="K354" s="118">
        <v>9.0121199999999995</v>
      </c>
      <c r="L354" s="106">
        <v>8</v>
      </c>
    </row>
    <row r="355" spans="1:13" ht="16.5" thickBot="1" x14ac:dyDescent="0.3">
      <c r="A355" s="100"/>
      <c r="B355" s="100" t="s">
        <v>645</v>
      </c>
      <c r="C355" s="100" t="s">
        <v>6</v>
      </c>
      <c r="D355" s="151"/>
      <c r="E355" s="160"/>
      <c r="F355" s="169">
        <f>SUM(F348,F349,F350,F352,F354)</f>
        <v>116.40575299972511</v>
      </c>
      <c r="G355" s="119"/>
      <c r="H355" s="107">
        <v>117.591492234976</v>
      </c>
      <c r="I355" s="119"/>
      <c r="J355" s="107">
        <v>34.417333333333303</v>
      </c>
      <c r="K355" s="119"/>
      <c r="L355" s="107">
        <v>112.10638666666701</v>
      </c>
      <c r="M355" s="100" t="s">
        <v>646</v>
      </c>
    </row>
    <row r="356" spans="1:13" ht="15.75" thickTop="1" x14ac:dyDescent="0.25">
      <c r="D356" s="150"/>
      <c r="E356" s="159"/>
      <c r="F356" s="168"/>
      <c r="G356" s="118"/>
      <c r="H356" s="106"/>
      <c r="I356" s="118"/>
      <c r="J356" s="106"/>
      <c r="K356" s="118"/>
      <c r="L356" s="106"/>
    </row>
    <row r="357" spans="1:13" ht="15.75" thickBot="1" x14ac:dyDescent="0.3">
      <c r="A357" s="96" t="s">
        <v>352</v>
      </c>
      <c r="B357" s="96"/>
      <c r="C357" s="96"/>
      <c r="D357" s="155"/>
      <c r="E357" s="164"/>
      <c r="F357" s="173"/>
      <c r="G357" s="123"/>
      <c r="H357" s="111"/>
      <c r="I357" s="123"/>
      <c r="J357" s="111"/>
      <c r="K357" s="123"/>
      <c r="L357" s="111"/>
      <c r="M357" s="96"/>
    </row>
    <row r="358" spans="1:13" ht="15.75" thickTop="1" x14ac:dyDescent="0.25">
      <c r="A358" s="97" t="s">
        <v>341</v>
      </c>
      <c r="B358" s="97" t="s">
        <v>340</v>
      </c>
      <c r="C358" s="97" t="s">
        <v>6</v>
      </c>
      <c r="D358" s="148" t="s">
        <v>635</v>
      </c>
      <c r="E358" s="157" t="s">
        <v>636</v>
      </c>
      <c r="F358" s="166" t="s">
        <v>637</v>
      </c>
      <c r="G358" s="116" t="s">
        <v>638</v>
      </c>
      <c r="H358" s="104" t="s">
        <v>639</v>
      </c>
      <c r="I358" s="116" t="s">
        <v>640</v>
      </c>
      <c r="J358" s="104" t="s">
        <v>641</v>
      </c>
      <c r="K358" s="116" t="s">
        <v>642</v>
      </c>
      <c r="L358" s="104" t="s">
        <v>643</v>
      </c>
      <c r="M358" s="97" t="s">
        <v>644</v>
      </c>
    </row>
    <row r="359" spans="1:13" x14ac:dyDescent="0.25">
      <c r="A359" s="99" t="s">
        <v>11</v>
      </c>
      <c r="B359" s="99"/>
      <c r="C359" s="99"/>
      <c r="D359" s="149"/>
      <c r="E359" s="158"/>
      <c r="F359" s="167"/>
      <c r="G359" s="117"/>
      <c r="H359" s="105"/>
      <c r="I359" s="117"/>
      <c r="J359" s="105"/>
      <c r="K359" s="117"/>
      <c r="L359" s="105"/>
      <c r="M359" s="99"/>
    </row>
    <row r="360" spans="1:13" x14ac:dyDescent="0.25">
      <c r="A360" s="101"/>
      <c r="B360" s="101" t="s">
        <v>743</v>
      </c>
      <c r="C360" s="101" t="s">
        <v>15</v>
      </c>
      <c r="D360" s="152">
        <f>IFERROR(INDEX('BD Rendimientos'!G:G,MATCH("03.03.04|Broca Concreto 1/2"" 12mm|Uni.|materiales",'BD Rendimientos'!L:L,0)),"")</f>
        <v>1.8867924528301886E-2</v>
      </c>
      <c r="E360" s="161">
        <f>IFERROR(INDEX('BD Materiales'!D:D,MATCH("Broca Concreto 1/2"" 12mm",'BD Materiales'!B:B,0)),"")</f>
        <v>4.57</v>
      </c>
      <c r="F360" s="170">
        <f>IFERROR(D360*E360,"")</f>
        <v>8.622641509433962E-2</v>
      </c>
      <c r="G360" s="120"/>
      <c r="H360" s="108"/>
      <c r="I360" s="120"/>
      <c r="J360" s="108"/>
      <c r="K360" s="120">
        <v>1</v>
      </c>
      <c r="L360" s="108">
        <v>4.57</v>
      </c>
      <c r="M360" s="101" t="s">
        <v>647</v>
      </c>
    </row>
    <row r="361" spans="1:13" x14ac:dyDescent="0.25">
      <c r="B361" t="s">
        <v>790</v>
      </c>
      <c r="C361" t="s">
        <v>8</v>
      </c>
      <c r="D361" s="150">
        <f>IFERROR(INDEX('BD Rendimientos'!G:G,MATCH("03.03.04|Cemento Campeón|qq|materiales",'BD Rendimientos'!L:L,0)),"")</f>
        <v>0.18874334921686362</v>
      </c>
      <c r="E361" s="159">
        <f>IFERROR(INDEX('BD Materiales'!D:D,MATCH("Cemento Campeón",'BD Materiales'!B:B,0)),"")</f>
        <v>6.7</v>
      </c>
      <c r="F361" s="168">
        <f>IFERROR(D361*E361,"")</f>
        <v>1.2645804397529863</v>
      </c>
      <c r="G361" s="118">
        <v>3</v>
      </c>
      <c r="H361" s="106">
        <v>6.67</v>
      </c>
      <c r="I361" s="118"/>
      <c r="J361" s="106"/>
      <c r="K361" s="118">
        <v>2</v>
      </c>
      <c r="L361" s="106">
        <v>6.7</v>
      </c>
      <c r="M361" t="s">
        <v>1920</v>
      </c>
    </row>
    <row r="362" spans="1:13" x14ac:dyDescent="0.25">
      <c r="A362" s="102"/>
      <c r="B362" s="102" t="s">
        <v>856</v>
      </c>
      <c r="C362" s="102" t="s">
        <v>15</v>
      </c>
      <c r="D362" s="153">
        <f>IFERROR(INDEX('BD Rendimientos'!G:G,MATCH("03.03.04|Disco diamante segmentado 9""|Uni.|materiales",'BD Rendimientos'!L:L,0)),"")</f>
        <v>0.55662514156285392</v>
      </c>
      <c r="E362" s="162">
        <f>IFERROR(INDEX('BD Materiales'!D:D,MATCH("Disco diamante segmentado 9""",'BD Materiales'!B:B,0)),"")</f>
        <v>5.35</v>
      </c>
      <c r="F362" s="171">
        <f>IFERROR(D362*E362,"")</f>
        <v>2.9779445073612685</v>
      </c>
      <c r="G362" s="121">
        <v>1</v>
      </c>
      <c r="H362" s="109">
        <v>5.59</v>
      </c>
      <c r="I362" s="121"/>
      <c r="J362" s="109"/>
      <c r="K362" s="121">
        <v>53</v>
      </c>
      <c r="L362" s="109">
        <v>71</v>
      </c>
      <c r="M362" s="102" t="s">
        <v>652</v>
      </c>
    </row>
    <row r="363" spans="1:13" x14ac:dyDescent="0.25">
      <c r="A363" s="102"/>
      <c r="B363" s="102" t="s">
        <v>47</v>
      </c>
      <c r="C363" s="102" t="s">
        <v>6</v>
      </c>
      <c r="D363" s="153">
        <f>IFERROR(INDEX('BD Rendimientos'!G:G,MATCH("03.03.04|Hormigón Premez. fc= 210 kg S/B (Hormigón Premezclado fc= 210 kg/cm2)|m3|materiales",'BD Rendimientos'!L:L,0)),"")</f>
        <v>0.50301886792452832</v>
      </c>
      <c r="E363" s="162">
        <f>IFERROR(INDEX('BD Materiales'!D:D,MATCH("Hormigón Premez. fc= 210 kg S/B (Hormigón Premezclado fc= 210 kg/cm2)",'BD Materiales'!B:B,0)),"")</f>
        <v>71</v>
      </c>
      <c r="F363" s="171">
        <f>IFERROR(D363*E363,"")</f>
        <v>35.714339622641511</v>
      </c>
      <c r="G363" s="121">
        <v>8.83</v>
      </c>
      <c r="H363" s="109">
        <v>71</v>
      </c>
      <c r="I363" s="121"/>
      <c r="J363" s="109"/>
      <c r="K363" s="121">
        <v>0.32</v>
      </c>
      <c r="L363" s="109">
        <v>12.5</v>
      </c>
      <c r="M363" s="102" t="s">
        <v>653</v>
      </c>
    </row>
    <row r="364" spans="1:13" x14ac:dyDescent="0.25">
      <c r="A364" s="101"/>
      <c r="B364" s="101" t="s">
        <v>603</v>
      </c>
      <c r="C364" s="101" t="s">
        <v>6</v>
      </c>
      <c r="D364" s="152">
        <f>IFERROR(INDEX('BD Rendimientos'!G:G,MATCH("03.03.04|Polvo Azul|m3|materiales",'BD Rendimientos'!L:L,0)),"")</f>
        <v>4.5300113250283131E-2</v>
      </c>
      <c r="E364" s="161">
        <f>IFERROR(INDEX('BD Materiales'!D:D,MATCH("Polvo Azul",'BD Materiales'!B:B,0)),"")</f>
        <v>14.547574523429788</v>
      </c>
      <c r="F364" s="170">
        <f>IFERROR(D364*E364,"")</f>
        <v>0.65900677342830305</v>
      </c>
      <c r="G364" s="120">
        <v>0.4</v>
      </c>
      <c r="H364" s="108">
        <v>12.28</v>
      </c>
      <c r="I364" s="120"/>
      <c r="J364" s="108"/>
      <c r="K364" s="120"/>
      <c r="L364" s="108"/>
      <c r="M364" s="101" t="s">
        <v>647</v>
      </c>
    </row>
    <row r="365" spans="1:13" x14ac:dyDescent="0.25">
      <c r="A365" s="101"/>
      <c r="B365" s="101" t="s">
        <v>971</v>
      </c>
      <c r="C365" s="101" t="s">
        <v>6</v>
      </c>
      <c r="D365" s="152">
        <f>IFERROR(INDEX('BD Rendimientos'!G:G,MATCH("03.03.04|Recargo Mínimo Concreto|m3|materiales",'BD Rendimientos'!L:L,0)),"")</f>
        <v>0.16987542468856173</v>
      </c>
      <c r="E365" s="161">
        <f>IFERROR(INDEX('BD Materiales'!D:D,MATCH("Recargo Mínimo Concreto",'BD Materiales'!B:B,0)),"")</f>
        <v>10</v>
      </c>
      <c r="F365" s="170">
        <f>IFERROR(D365*E365,"")</f>
        <v>1.6987542468856174</v>
      </c>
      <c r="G365" s="120">
        <v>1.5</v>
      </c>
      <c r="H365" s="108">
        <v>10</v>
      </c>
      <c r="I365" s="120"/>
      <c r="J365" s="108"/>
      <c r="K365" s="120"/>
      <c r="L365" s="108"/>
      <c r="M365" s="101" t="s">
        <v>647</v>
      </c>
    </row>
    <row r="366" spans="1:13" x14ac:dyDescent="0.25">
      <c r="A366" s="99" t="s">
        <v>5</v>
      </c>
      <c r="B366" s="99"/>
      <c r="C366" s="99"/>
      <c r="D366" s="149"/>
      <c r="E366" s="158"/>
      <c r="F366" s="167"/>
      <c r="G366" s="117"/>
      <c r="H366" s="105"/>
      <c r="I366" s="117"/>
      <c r="J366" s="105"/>
      <c r="K366" s="117"/>
      <c r="L366" s="105"/>
      <c r="M366" s="99"/>
    </row>
    <row r="367" spans="1:13" x14ac:dyDescent="0.25">
      <c r="B367" t="s">
        <v>1123</v>
      </c>
      <c r="C367" t="s">
        <v>6</v>
      </c>
      <c r="D367" s="150">
        <f>IFERROR(INDEX('BD Rendimientos'!G:G,MATCH("03.03.04|M. Hormigón En Muros F'c=210kg/Cm²|m3|mano_obra",'BD Rendimientos'!L:L,0)),"")</f>
        <v>1</v>
      </c>
      <c r="E367" s="159">
        <f>IFERROR(INDEX('BD Mano de Obra'!D:D,MATCH("M. Hormigón En Muros F'c=210kg/Cm²",'BD Mano de Obra'!B:B,0)),"")</f>
        <v>33</v>
      </c>
      <c r="F367" s="168">
        <f>IFERROR(D367*E367,"")</f>
        <v>33</v>
      </c>
      <c r="G367" s="118">
        <v>8.83</v>
      </c>
      <c r="H367" s="106">
        <v>33</v>
      </c>
      <c r="I367" s="118"/>
      <c r="J367" s="106"/>
      <c r="K367" s="118">
        <v>53</v>
      </c>
      <c r="L367" s="106">
        <v>33</v>
      </c>
    </row>
    <row r="368" spans="1:13" x14ac:dyDescent="0.25">
      <c r="A368" s="99" t="s">
        <v>2</v>
      </c>
      <c r="B368" s="99"/>
      <c r="C368" s="99"/>
      <c r="D368" s="149"/>
      <c r="E368" s="158"/>
      <c r="F368" s="167"/>
      <c r="G368" s="117"/>
      <c r="H368" s="105"/>
      <c r="I368" s="117"/>
      <c r="J368" s="105"/>
      <c r="K368" s="117"/>
      <c r="L368" s="105"/>
      <c r="M368" s="99"/>
    </row>
    <row r="369" spans="1:13" x14ac:dyDescent="0.25">
      <c r="B369" t="s">
        <v>1200</v>
      </c>
      <c r="C369" t="s">
        <v>15</v>
      </c>
      <c r="D369" s="150">
        <f>IFERROR(INDEX('BD Rendimientos'!G:G,MATCH("03.03.04|Alquiler vibrador|Uni.|equipo",'BD Rendimientos'!L:L,0)),"")</f>
        <v>0.10380551892134447</v>
      </c>
      <c r="E369" s="159">
        <f>IFERROR(INDEX('BD Equipo'!D:D,MATCH("Alquiler vibrador",'BD Equipo'!B:B,0)),"")</f>
        <v>17.86000000000001</v>
      </c>
      <c r="F369" s="168">
        <f>IFERROR(D369*E369,"")</f>
        <v>1.8539665679352133</v>
      </c>
      <c r="G369" s="118">
        <v>1</v>
      </c>
      <c r="H369" s="106">
        <v>17.86</v>
      </c>
      <c r="I369" s="118"/>
      <c r="J369" s="106"/>
      <c r="K369" s="118">
        <v>5.0011200000000002</v>
      </c>
      <c r="L369" s="106">
        <v>17.86</v>
      </c>
    </row>
    <row r="370" spans="1:13" x14ac:dyDescent="0.25">
      <c r="B370" t="s">
        <v>1203</v>
      </c>
      <c r="C370" t="s">
        <v>6</v>
      </c>
      <c r="D370" s="150">
        <f>IFERROR(INDEX('BD Rendimientos'!G:G,MATCH("03.03.04|Bomba Estacionaria|m3|equipo",'BD Rendimientos'!L:L,0)),"")</f>
        <v>1.5622876557191394</v>
      </c>
      <c r="E370" s="159">
        <f>IFERROR(INDEX('BD Equipo'!D:D,MATCH("Bomba Estacionaria",'BD Equipo'!B:B,0)),"")</f>
        <v>8</v>
      </c>
      <c r="F370" s="168">
        <f>IFERROR(D370*E370,"")</f>
        <v>12.498301245753115</v>
      </c>
      <c r="G370" s="118">
        <v>18.760000000000002</v>
      </c>
      <c r="H370" s="106">
        <v>8</v>
      </c>
      <c r="I370" s="118"/>
      <c r="J370" s="106"/>
      <c r="K370" s="118">
        <v>53</v>
      </c>
      <c r="L370" s="106">
        <v>8</v>
      </c>
    </row>
    <row r="371" spans="1:13" x14ac:dyDescent="0.25">
      <c r="A371" s="101"/>
      <c r="B371" s="101" t="s">
        <v>1231</v>
      </c>
      <c r="C371" s="101" t="s">
        <v>6</v>
      </c>
      <c r="D371" s="152">
        <f>IFERROR(INDEX('BD Rendimientos'!G:G,MATCH("03.03.04|Servicio mínimo de Bombeo|m3|equipo",'BD Rendimientos'!L:L,0)),"")</f>
        <v>0.62287655719139301</v>
      </c>
      <c r="E371" s="161">
        <f>IFERROR(INDEX('BD Equipo'!D:D,MATCH("Servicio mínimo de Bombeo",'BD Equipo'!B:B,0)),"")</f>
        <v>8</v>
      </c>
      <c r="F371" s="170">
        <f>IFERROR(D371*E371,"")</f>
        <v>4.9830124575311441</v>
      </c>
      <c r="G371" s="120">
        <v>5.5</v>
      </c>
      <c r="H371" s="108">
        <v>8</v>
      </c>
      <c r="I371" s="120"/>
      <c r="J371" s="108"/>
      <c r="K371" s="120"/>
      <c r="L371" s="108"/>
      <c r="M371" s="101" t="s">
        <v>647</v>
      </c>
    </row>
    <row r="372" spans="1:13" ht="16.5" thickBot="1" x14ac:dyDescent="0.3">
      <c r="A372" s="100"/>
      <c r="B372" s="100" t="s">
        <v>645</v>
      </c>
      <c r="C372" s="100" t="s">
        <v>6</v>
      </c>
      <c r="D372" s="151"/>
      <c r="E372" s="160"/>
      <c r="F372" s="169">
        <f>SUM(F360,F361,F362,F363,F364,F365,F367,F369,F370,F371)</f>
        <v>94.736132276383501</v>
      </c>
      <c r="G372" s="119"/>
      <c r="H372" s="107">
        <v>133.15651189127999</v>
      </c>
      <c r="I372" s="119"/>
      <c r="J372" s="107"/>
      <c r="K372" s="119"/>
      <c r="L372" s="107">
        <v>114.099811381132</v>
      </c>
      <c r="M372" s="100" t="s">
        <v>646</v>
      </c>
    </row>
    <row r="373" spans="1:13" ht="15.75" thickTop="1" x14ac:dyDescent="0.25">
      <c r="D373" s="150"/>
      <c r="E373" s="159"/>
      <c r="F373" s="168"/>
      <c r="G373" s="118"/>
      <c r="H373" s="106"/>
      <c r="I373" s="118"/>
      <c r="J373" s="106"/>
      <c r="K373" s="118"/>
      <c r="L373" s="106"/>
    </row>
    <row r="374" spans="1:13" ht="15.75" thickBot="1" x14ac:dyDescent="0.3">
      <c r="A374" s="96" t="s">
        <v>352</v>
      </c>
      <c r="B374" s="96"/>
      <c r="C374" s="96"/>
      <c r="D374" s="155"/>
      <c r="E374" s="164"/>
      <c r="F374" s="173"/>
      <c r="G374" s="123"/>
      <c r="H374" s="111"/>
      <c r="I374" s="123"/>
      <c r="J374" s="111"/>
      <c r="K374" s="123"/>
      <c r="L374" s="111"/>
      <c r="M374" s="96"/>
    </row>
    <row r="375" spans="1:13" ht="15.75" thickTop="1" x14ac:dyDescent="0.25">
      <c r="A375" s="97" t="s">
        <v>337</v>
      </c>
      <c r="B375" s="97" t="s">
        <v>336</v>
      </c>
      <c r="C375" s="97" t="s">
        <v>6</v>
      </c>
      <c r="D375" s="148" t="s">
        <v>635</v>
      </c>
      <c r="E375" s="157" t="s">
        <v>636</v>
      </c>
      <c r="F375" s="166" t="s">
        <v>637</v>
      </c>
      <c r="G375" s="116" t="s">
        <v>638</v>
      </c>
      <c r="H375" s="104" t="s">
        <v>639</v>
      </c>
      <c r="I375" s="116" t="s">
        <v>640</v>
      </c>
      <c r="J375" s="104" t="s">
        <v>641</v>
      </c>
      <c r="K375" s="116" t="s">
        <v>642</v>
      </c>
      <c r="L375" s="104" t="s">
        <v>643</v>
      </c>
      <c r="M375" s="97" t="s">
        <v>644</v>
      </c>
    </row>
    <row r="376" spans="1:13" x14ac:dyDescent="0.25">
      <c r="A376" s="99" t="s">
        <v>11</v>
      </c>
      <c r="B376" s="99"/>
      <c r="C376" s="99"/>
      <c r="D376" s="149"/>
      <c r="E376" s="158"/>
      <c r="F376" s="167"/>
      <c r="G376" s="117"/>
      <c r="H376" s="105"/>
      <c r="I376" s="117"/>
      <c r="J376" s="105"/>
      <c r="K376" s="117"/>
      <c r="L376" s="105"/>
      <c r="M376" s="99"/>
    </row>
    <row r="377" spans="1:13" x14ac:dyDescent="0.25">
      <c r="A377" s="101"/>
      <c r="B377" s="101" t="s">
        <v>788</v>
      </c>
      <c r="C377" s="101" t="s">
        <v>8</v>
      </c>
      <c r="D377" s="152">
        <f>IFERROR(INDEX('BD Rendimientos'!G:G,MATCH("03.03.05|Cemento Campeon HS 50KG|qq|materiales",'BD Rendimientos'!L:L,0)),"")</f>
        <v>2</v>
      </c>
      <c r="E377" s="161">
        <f>IFERROR(INDEX('BD Materiales'!D:D,MATCH("Cemento Campeon HS 50KG",'BD Materiales'!B:B,0)),"")</f>
        <v>6.7489472778273614</v>
      </c>
      <c r="F377" s="170">
        <f>IFERROR(D377*E377,"")</f>
        <v>13.497894555654723</v>
      </c>
      <c r="G377" s="120"/>
      <c r="H377" s="108"/>
      <c r="I377" s="120"/>
      <c r="J377" s="108"/>
      <c r="K377" s="120">
        <v>14</v>
      </c>
      <c r="L377" s="108">
        <v>6.72</v>
      </c>
      <c r="M377" s="101" t="s">
        <v>647</v>
      </c>
    </row>
    <row r="378" spans="1:13" x14ac:dyDescent="0.25">
      <c r="B378" t="s">
        <v>47</v>
      </c>
      <c r="C378" t="s">
        <v>6</v>
      </c>
      <c r="D378" s="150">
        <f>IFERROR(INDEX('BD Rendimientos'!G:G,MATCH("03.03.05|Hormigón Premez. fc= 210 kg S/B (Hormigón Premezclado fc= 210 kg/cm2)|m3|materiales",'BD Rendimientos'!L:L,0)),"")</f>
        <v>1</v>
      </c>
      <c r="E378" s="159">
        <f>IFERROR(INDEX('BD Materiales'!D:D,MATCH("Hormigón Premez. fc= 210 kg S/B (Hormigón Premezclado fc= 210 kg/cm2)",'BD Materiales'!B:B,0)),"")</f>
        <v>71</v>
      </c>
      <c r="F378" s="168">
        <f>IFERROR(D378*E378,"")</f>
        <v>71</v>
      </c>
      <c r="G378" s="118">
        <v>2</v>
      </c>
      <c r="H378" s="106">
        <v>71</v>
      </c>
      <c r="I378" s="118">
        <v>8.61</v>
      </c>
      <c r="J378" s="106">
        <v>71</v>
      </c>
      <c r="K378" s="118">
        <v>7</v>
      </c>
      <c r="L378" s="106">
        <v>71</v>
      </c>
      <c r="M378" t="s">
        <v>1920</v>
      </c>
    </row>
    <row r="379" spans="1:13" x14ac:dyDescent="0.25">
      <c r="A379" s="101"/>
      <c r="B379" s="101" t="s">
        <v>603</v>
      </c>
      <c r="C379" s="101" t="s">
        <v>6</v>
      </c>
      <c r="D379" s="152">
        <f>IFERROR(INDEX('BD Rendimientos'!G:G,MATCH("03.03.05|Polvo Azul|m3|materiales",'BD Rendimientos'!L:L,0)),"")</f>
        <v>0.20571428571428571</v>
      </c>
      <c r="E379" s="161">
        <f>IFERROR(INDEX('BD Materiales'!D:D,MATCH("Polvo Azul",'BD Materiales'!B:B,0)),"")</f>
        <v>14.547574523429788</v>
      </c>
      <c r="F379" s="170">
        <f>IFERROR(D379*E379,"")</f>
        <v>2.9926439019626989</v>
      </c>
      <c r="G379" s="120"/>
      <c r="H379" s="108"/>
      <c r="I379" s="120"/>
      <c r="J379" s="108"/>
      <c r="K379" s="120">
        <v>1.44</v>
      </c>
      <c r="L379" s="108">
        <v>12.5</v>
      </c>
      <c r="M379" s="101" t="s">
        <v>647</v>
      </c>
    </row>
    <row r="380" spans="1:13" x14ac:dyDescent="0.25">
      <c r="A380" s="101"/>
      <c r="B380" s="101" t="s">
        <v>971</v>
      </c>
      <c r="C380" s="101" t="s">
        <v>6</v>
      </c>
      <c r="D380" s="152">
        <f>IFERROR(INDEX('BD Rendimientos'!G:G,MATCH("03.03.05|Recargo Mínimo Concreto|m3|materiales",'BD Rendimientos'!L:L,0)),"")</f>
        <v>0.53846153846153844</v>
      </c>
      <c r="E380" s="161">
        <f>IFERROR(INDEX('BD Materiales'!D:D,MATCH("Recargo Mínimo Concreto",'BD Materiales'!B:B,0)),"")</f>
        <v>10</v>
      </c>
      <c r="F380" s="170">
        <f>IFERROR(D380*E380,"")</f>
        <v>5.3846153846153841</v>
      </c>
      <c r="G380" s="120">
        <v>3.5</v>
      </c>
      <c r="H380" s="108">
        <v>10</v>
      </c>
      <c r="I380" s="120"/>
      <c r="J380" s="108"/>
      <c r="K380" s="120"/>
      <c r="L380" s="108"/>
      <c r="M380" s="101" t="s">
        <v>647</v>
      </c>
    </row>
    <row r="381" spans="1:13" x14ac:dyDescent="0.25">
      <c r="A381" s="101"/>
      <c r="B381" s="101" t="s">
        <v>602</v>
      </c>
      <c r="C381" s="101" t="s">
        <v>6</v>
      </c>
      <c r="D381" s="152">
        <f>IFERROR(INDEX('BD Rendimientos'!G:G,MATCH("03.03.05|Ripio|m3|materiales",'BD Rendimientos'!L:L,0)),"")</f>
        <v>0.20571428571428571</v>
      </c>
      <c r="E381" s="161">
        <f>IFERROR(INDEX('BD Materiales'!D:D,MATCH("Ripio",'BD Materiales'!B:B,0)),"")</f>
        <v>13.895122287420717</v>
      </c>
      <c r="F381" s="170">
        <f>IFERROR(D381*E381,"")</f>
        <v>2.8584251562694045</v>
      </c>
      <c r="G381" s="120"/>
      <c r="H381" s="108"/>
      <c r="I381" s="120"/>
      <c r="J381" s="108"/>
      <c r="K381" s="120">
        <v>1.44</v>
      </c>
      <c r="L381" s="108">
        <v>12.5</v>
      </c>
      <c r="M381" s="101" t="s">
        <v>647</v>
      </c>
    </row>
    <row r="382" spans="1:13" x14ac:dyDescent="0.25">
      <c r="A382" s="99" t="s">
        <v>5</v>
      </c>
      <c r="B382" s="99"/>
      <c r="C382" s="99"/>
      <c r="D382" s="149"/>
      <c r="E382" s="158"/>
      <c r="F382" s="167"/>
      <c r="G382" s="117"/>
      <c r="H382" s="105"/>
      <c r="I382" s="117"/>
      <c r="J382" s="105"/>
      <c r="K382" s="117"/>
      <c r="L382" s="105"/>
      <c r="M382" s="99"/>
    </row>
    <row r="383" spans="1:13" x14ac:dyDescent="0.25">
      <c r="B383" t="s">
        <v>335</v>
      </c>
      <c r="C383" t="s">
        <v>6</v>
      </c>
      <c r="D383" s="150">
        <f>IFERROR(INDEX('BD Rendimientos'!G:G,MATCH("03.03.05|M. Hormigón Premezclado En Columnas F'c=210kg/Cm² CABEZALES|m3|mano_obra",'BD Rendimientos'!L:L,0)),"")</f>
        <v>1</v>
      </c>
      <c r="E383" s="159">
        <f>IFERROR(INDEX('BD Mano de Obra'!D:D,MATCH("M. Hormigón Premezclado En Columnas F'c=210kg/Cm² CABEZALES",'BD Mano de Obra'!B:B,0)),"")</f>
        <v>33</v>
      </c>
      <c r="F383" s="168">
        <f>IFERROR(D383*E383,"")</f>
        <v>33</v>
      </c>
      <c r="G383" s="118">
        <v>6.5</v>
      </c>
      <c r="H383" s="106">
        <v>33</v>
      </c>
      <c r="I383" s="118">
        <v>8.61</v>
      </c>
      <c r="J383" s="106">
        <v>33</v>
      </c>
      <c r="K383" s="118">
        <v>7</v>
      </c>
      <c r="L383" s="106">
        <v>33</v>
      </c>
    </row>
    <row r="384" spans="1:13" x14ac:dyDescent="0.25">
      <c r="A384" s="99" t="s">
        <v>2</v>
      </c>
      <c r="B384" s="99"/>
      <c r="C384" s="99"/>
      <c r="D384" s="149"/>
      <c r="E384" s="158"/>
      <c r="F384" s="167"/>
      <c r="G384" s="117"/>
      <c r="H384" s="105"/>
      <c r="I384" s="117"/>
      <c r="J384" s="105"/>
      <c r="K384" s="117"/>
      <c r="L384" s="105"/>
      <c r="M384" s="99"/>
    </row>
    <row r="385" spans="1:13" x14ac:dyDescent="0.25">
      <c r="B385" t="s">
        <v>1200</v>
      </c>
      <c r="C385" t="s">
        <v>15</v>
      </c>
      <c r="D385" s="150">
        <f>IFERROR(INDEX('BD Rendimientos'!G:G,MATCH("03.03.05|Alquiler vibrador|Uni.|equipo",'BD Rendimientos'!L:L,0)),"")</f>
        <v>0.31393185741088181</v>
      </c>
      <c r="E385" s="159">
        <f>IFERROR(INDEX('BD Equipo'!D:D,MATCH("Alquiler vibrador",'BD Equipo'!B:B,0)),"")</f>
        <v>17.86000000000001</v>
      </c>
      <c r="F385" s="168">
        <f>IFERROR(D385*E385,"")</f>
        <v>5.6068229733583523</v>
      </c>
      <c r="G385" s="118">
        <v>1.9997199999999999</v>
      </c>
      <c r="H385" s="106">
        <v>17.86</v>
      </c>
      <c r="I385" s="118">
        <v>3</v>
      </c>
      <c r="J385" s="106">
        <v>17.86</v>
      </c>
      <c r="K385" s="118">
        <v>2</v>
      </c>
      <c r="L385" s="106">
        <v>17.86</v>
      </c>
    </row>
    <row r="386" spans="1:13" x14ac:dyDescent="0.25">
      <c r="B386" t="s">
        <v>1203</v>
      </c>
      <c r="C386" t="s">
        <v>6</v>
      </c>
      <c r="D386" s="150">
        <f>IFERROR(INDEX('BD Rendimientos'!G:G,MATCH("03.03.05|Bomba Estacionaria|m3|equipo",'BD Rendimientos'!L:L,0)),"")</f>
        <v>0.98351648351648358</v>
      </c>
      <c r="E386" s="159">
        <f>IFERROR(INDEX('BD Equipo'!D:D,MATCH("Bomba Estacionaria",'BD Equipo'!B:B,0)),"")</f>
        <v>8</v>
      </c>
      <c r="F386" s="168">
        <f>IFERROR(D386*E386,"")</f>
        <v>7.8681318681318686</v>
      </c>
      <c r="G386" s="118">
        <v>3.5</v>
      </c>
      <c r="H386" s="106">
        <v>8</v>
      </c>
      <c r="I386" s="118"/>
      <c r="J386" s="106"/>
      <c r="K386" s="118">
        <v>10</v>
      </c>
      <c r="L386" s="106">
        <v>8</v>
      </c>
    </row>
    <row r="387" spans="1:13" x14ac:dyDescent="0.25">
      <c r="A387" s="101"/>
      <c r="B387" s="101" t="s">
        <v>1231</v>
      </c>
      <c r="C387" s="101" t="s">
        <v>6</v>
      </c>
      <c r="D387" s="152">
        <f>IFERROR(INDEX('BD Rendimientos'!G:G,MATCH("03.03.05|Servicio mínimo de Bombeo|m3|equipo",'BD Rendimientos'!L:L,0)),"")</f>
        <v>1</v>
      </c>
      <c r="E387" s="161">
        <f>IFERROR(INDEX('BD Equipo'!D:D,MATCH("Servicio mínimo de Bombeo",'BD Equipo'!B:B,0)),"")</f>
        <v>8</v>
      </c>
      <c r="F387" s="170">
        <f>IFERROR(D387*E387,"")</f>
        <v>8</v>
      </c>
      <c r="G387" s="120">
        <v>6.5</v>
      </c>
      <c r="H387" s="108">
        <v>8</v>
      </c>
      <c r="I387" s="120"/>
      <c r="J387" s="108"/>
      <c r="K387" s="120"/>
      <c r="L387" s="108"/>
      <c r="M387" s="101" t="s">
        <v>647</v>
      </c>
    </row>
    <row r="388" spans="1:13" ht="16.5" thickBot="1" x14ac:dyDescent="0.3">
      <c r="A388" s="100"/>
      <c r="B388" s="100" t="s">
        <v>645</v>
      </c>
      <c r="C388" s="100" t="s">
        <v>6</v>
      </c>
      <c r="D388" s="151"/>
      <c r="E388" s="160"/>
      <c r="F388" s="169">
        <f>SUM(F377,F378,F379,F380,F381,F383,F385,F386,F387)</f>
        <v>150.20853383999241</v>
      </c>
      <c r="G388" s="119"/>
      <c r="H388" s="107">
        <v>78.033076800000003</v>
      </c>
      <c r="I388" s="119"/>
      <c r="J388" s="107">
        <v>110.222996515679</v>
      </c>
      <c r="K388" s="119"/>
      <c r="L388" s="107">
        <v>139.11428571428601</v>
      </c>
      <c r="M388" s="100" t="s">
        <v>646</v>
      </c>
    </row>
    <row r="389" spans="1:13" ht="15.75" thickTop="1" x14ac:dyDescent="0.25">
      <c r="D389" s="150"/>
      <c r="E389" s="159"/>
      <c r="F389" s="168"/>
      <c r="G389" s="118"/>
      <c r="H389" s="106"/>
      <c r="I389" s="118"/>
      <c r="J389" s="106"/>
      <c r="K389" s="118"/>
      <c r="L389" s="106"/>
    </row>
    <row r="390" spans="1:13" ht="15.75" thickBot="1" x14ac:dyDescent="0.3">
      <c r="A390" s="96" t="s">
        <v>352</v>
      </c>
      <c r="B390" s="96"/>
      <c r="C390" s="96"/>
      <c r="D390" s="155"/>
      <c r="E390" s="164"/>
      <c r="F390" s="173"/>
      <c r="G390" s="123"/>
      <c r="H390" s="111"/>
      <c r="I390" s="123"/>
      <c r="J390" s="111"/>
      <c r="K390" s="123"/>
      <c r="L390" s="111"/>
      <c r="M390" s="96"/>
    </row>
    <row r="391" spans="1:13" ht="15.75" thickTop="1" x14ac:dyDescent="0.25">
      <c r="A391" s="97" t="s">
        <v>333</v>
      </c>
      <c r="B391" s="97" t="s">
        <v>332</v>
      </c>
      <c r="C391" s="97" t="s">
        <v>6</v>
      </c>
      <c r="D391" s="148" t="s">
        <v>635</v>
      </c>
      <c r="E391" s="157" t="s">
        <v>636</v>
      </c>
      <c r="F391" s="166" t="s">
        <v>637</v>
      </c>
      <c r="G391" s="116" t="s">
        <v>638</v>
      </c>
      <c r="H391" s="104" t="s">
        <v>639</v>
      </c>
      <c r="I391" s="116" t="s">
        <v>640</v>
      </c>
      <c r="J391" s="104" t="s">
        <v>641</v>
      </c>
      <c r="K391" s="116" t="s">
        <v>642</v>
      </c>
      <c r="L391" s="104" t="s">
        <v>643</v>
      </c>
      <c r="M391" s="97" t="s">
        <v>644</v>
      </c>
    </row>
    <row r="392" spans="1:13" x14ac:dyDescent="0.25">
      <c r="A392" s="99" t="s">
        <v>11</v>
      </c>
      <c r="B392" s="99"/>
      <c r="C392" s="99"/>
      <c r="D392" s="149"/>
      <c r="E392" s="158"/>
      <c r="F392" s="167"/>
      <c r="G392" s="117"/>
      <c r="H392" s="105"/>
      <c r="I392" s="117"/>
      <c r="J392" s="105"/>
      <c r="K392" s="117"/>
      <c r="L392" s="105"/>
      <c r="M392" s="99"/>
    </row>
    <row r="393" spans="1:13" x14ac:dyDescent="0.25">
      <c r="A393" s="101"/>
      <c r="B393" s="101" t="s">
        <v>745</v>
      </c>
      <c r="C393" s="101" t="s">
        <v>15</v>
      </c>
      <c r="D393" s="152">
        <f>IFERROR(INDEX('BD Rendimientos'!G:G,MATCH("03.03.06|Broca Concreto 1/2"" 13mm|Uni.|materiales",'BD Rendimientos'!L:L,0)),"")</f>
        <v>6.6533599467731214E-2</v>
      </c>
      <c r="E393" s="161">
        <f>IFERROR(INDEX('BD Materiales'!D:D,MATCH("Broca Concreto 1/2"" 13mm",'BD Materiales'!B:B,0)),"")</f>
        <v>1.5049999999999999</v>
      </c>
      <c r="F393" s="170">
        <f>IFERROR(D393*E393,"")</f>
        <v>0.10013306719893547</v>
      </c>
      <c r="G393" s="120"/>
      <c r="H393" s="108"/>
      <c r="I393" s="120">
        <v>1</v>
      </c>
      <c r="J393" s="108">
        <v>1.23</v>
      </c>
      <c r="K393" s="120"/>
      <c r="L393" s="108"/>
      <c r="M393" s="101" t="s">
        <v>647</v>
      </c>
    </row>
    <row r="394" spans="1:13" x14ac:dyDescent="0.25">
      <c r="B394" t="s">
        <v>790</v>
      </c>
      <c r="C394" t="s">
        <v>8</v>
      </c>
      <c r="D394" s="150">
        <f>IFERROR(INDEX('BD Rendimientos'!G:G,MATCH("03.03.06|Cemento Campeón|qq|materiales",'BD Rendimientos'!L:L,0)),"")</f>
        <v>1.1437908496732025</v>
      </c>
      <c r="E394" s="159">
        <f>IFERROR(INDEX('BD Materiales'!D:D,MATCH("Cemento Campeón",'BD Materiales'!B:B,0)),"")</f>
        <v>6.7</v>
      </c>
      <c r="F394" s="168">
        <f>IFERROR(D394*E394,"")</f>
        <v>7.6633986928104569</v>
      </c>
      <c r="G394" s="118">
        <v>14</v>
      </c>
      <c r="H394" s="106">
        <v>6.6710000000000003</v>
      </c>
      <c r="I394" s="118">
        <v>4</v>
      </c>
      <c r="J394" s="106">
        <v>6.7</v>
      </c>
      <c r="K394" s="118">
        <v>18</v>
      </c>
      <c r="L394" s="106">
        <v>6.77</v>
      </c>
      <c r="M394" t="s">
        <v>1920</v>
      </c>
    </row>
    <row r="395" spans="1:13" x14ac:dyDescent="0.25">
      <c r="B395" t="s">
        <v>47</v>
      </c>
      <c r="C395" t="s">
        <v>6</v>
      </c>
      <c r="D395" s="150">
        <f>IFERROR(INDEX('BD Rendimientos'!G:G,MATCH("03.03.06|Hormigón Premez. fc= 210 kg S/B (Hormigón Premezclado fc= 210 kg/cm2)|m3|materiales",'BD Rendimientos'!L:L,0)),"")</f>
        <v>0.7886954848472989</v>
      </c>
      <c r="E395" s="159">
        <f>IFERROR(INDEX('BD Materiales'!D:D,MATCH("Hormigón Premez. fc= 210 kg S/B (Hormigón Premezclado fc= 210 kg/cm2)",'BD Materiales'!B:B,0)),"")</f>
        <v>71</v>
      </c>
      <c r="F395" s="168">
        <f>IFERROR(D395*E395,"")</f>
        <v>55.997379424158225</v>
      </c>
      <c r="G395" s="118">
        <v>8.17</v>
      </c>
      <c r="H395" s="106">
        <v>71</v>
      </c>
      <c r="I395" s="118">
        <v>10.5</v>
      </c>
      <c r="J395" s="106">
        <v>71</v>
      </c>
      <c r="K395" s="118">
        <v>1</v>
      </c>
      <c r="L395" s="106">
        <v>71</v>
      </c>
    </row>
    <row r="396" spans="1:13" x14ac:dyDescent="0.25">
      <c r="B396" t="s">
        <v>603</v>
      </c>
      <c r="C396" t="s">
        <v>6</v>
      </c>
      <c r="D396" s="150">
        <f>IFERROR(INDEX('BD Rendimientos'!G:G,MATCH("03.03.06|Polvo Azul|m3|materiales",'BD Rendimientos'!L:L,0)),"")</f>
        <v>0.12418300653594772</v>
      </c>
      <c r="E396" s="159">
        <f>IFERROR(INDEX('BD Materiales'!D:D,MATCH("Polvo Azul",'BD Materiales'!B:B,0)),"")</f>
        <v>14.547574523429788</v>
      </c>
      <c r="F396" s="168">
        <f>IFERROR(D396*E396,"")</f>
        <v>1.8065615421252679</v>
      </c>
      <c r="G396" s="118">
        <v>1.52</v>
      </c>
      <c r="H396" s="106">
        <v>12.28</v>
      </c>
      <c r="I396" s="118">
        <v>0.16</v>
      </c>
      <c r="J396" s="106">
        <v>12.5</v>
      </c>
      <c r="K396" s="118">
        <v>4.72</v>
      </c>
      <c r="L396" s="106">
        <v>11.95</v>
      </c>
      <c r="M396" t="s">
        <v>1920</v>
      </c>
    </row>
    <row r="397" spans="1:13" x14ac:dyDescent="0.25">
      <c r="B397" t="s">
        <v>971</v>
      </c>
      <c r="C397" t="s">
        <v>6</v>
      </c>
      <c r="D397" s="150">
        <f>IFERROR(INDEX('BD Rendimientos'!G:G,MATCH("03.03.06|Recargo Mínimo Concreto|m3|materiales",'BD Rendimientos'!L:L,0)),"")</f>
        <v>0.47038276388399675</v>
      </c>
      <c r="E397" s="159">
        <f>IFERROR(INDEX('BD Materiales'!D:D,MATCH("Recargo Mínimo Concreto",'BD Materiales'!B:B,0)),"")</f>
        <v>10</v>
      </c>
      <c r="F397" s="168">
        <f>IFERROR(D397*E397,"")</f>
        <v>4.7038276388399671</v>
      </c>
      <c r="G397" s="118">
        <v>5</v>
      </c>
      <c r="H397" s="106">
        <v>10</v>
      </c>
      <c r="I397" s="118">
        <v>8</v>
      </c>
      <c r="J397" s="106">
        <v>10</v>
      </c>
      <c r="K397" s="118"/>
      <c r="L397" s="106"/>
    </row>
    <row r="398" spans="1:13" x14ac:dyDescent="0.25">
      <c r="B398" t="s">
        <v>602</v>
      </c>
      <c r="C398" t="s">
        <v>6</v>
      </c>
      <c r="D398" s="150">
        <f>IFERROR(INDEX('BD Rendimientos'!G:G,MATCH("03.03.06|Ripio|m3|materiales",'BD Rendimientos'!L:L,0)),"")</f>
        <v>2.4188235294117644</v>
      </c>
      <c r="E398" s="159">
        <f>IFERROR(INDEX('BD Materiales'!D:D,MATCH("Ripio",'BD Materiales'!B:B,0)),"")</f>
        <v>13.895122287420717</v>
      </c>
      <c r="F398" s="168">
        <f>IFERROR(D398*E398,"")</f>
        <v>33.60984873286705</v>
      </c>
      <c r="G398" s="118">
        <v>1.44</v>
      </c>
      <c r="H398" s="106">
        <v>12.28</v>
      </c>
      <c r="I398" s="118"/>
      <c r="J398" s="106"/>
      <c r="K398" s="118">
        <v>4.72</v>
      </c>
      <c r="L398" s="106">
        <v>11.95</v>
      </c>
      <c r="M398" t="s">
        <v>1920</v>
      </c>
    </row>
    <row r="399" spans="1:13" x14ac:dyDescent="0.25">
      <c r="A399" s="99" t="s">
        <v>5</v>
      </c>
      <c r="B399" s="99"/>
      <c r="C399" s="99"/>
      <c r="D399" s="149"/>
      <c r="E399" s="158"/>
      <c r="F399" s="167"/>
      <c r="G399" s="117"/>
      <c r="H399" s="105"/>
      <c r="I399" s="117"/>
      <c r="J399" s="105"/>
      <c r="K399" s="117"/>
      <c r="L399" s="105"/>
      <c r="M399" s="99"/>
    </row>
    <row r="400" spans="1:13" x14ac:dyDescent="0.25">
      <c r="B400" t="s">
        <v>330</v>
      </c>
      <c r="C400" t="s">
        <v>6</v>
      </c>
      <c r="D400" s="150">
        <f>IFERROR(INDEX('BD Rendimientos'!G:G,MATCH("03.03.06|M. Hormigón Premezclado En Columnas F'c=210kg/Cm² COLUMNAS|m3|mano_obra",'BD Rendimientos'!L:L,0)),"")</f>
        <v>1</v>
      </c>
      <c r="E400" s="159">
        <f>IFERROR(INDEX('BD Mano de Obra'!D:D,MATCH("M. Hormigón Premezclado En Columnas F'c=210kg/Cm² COLUMNAS",'BD Mano de Obra'!B:B,0)),"")</f>
        <v>33</v>
      </c>
      <c r="F400" s="168">
        <f>IFERROR(D400*E400,"")</f>
        <v>33</v>
      </c>
      <c r="G400" s="118">
        <v>12.24</v>
      </c>
      <c r="H400" s="106">
        <v>33</v>
      </c>
      <c r="I400" s="118">
        <v>15.03</v>
      </c>
      <c r="J400" s="106">
        <v>33</v>
      </c>
      <c r="K400" s="118">
        <v>1</v>
      </c>
      <c r="L400" s="106">
        <v>33</v>
      </c>
    </row>
    <row r="401" spans="1:13" x14ac:dyDescent="0.25">
      <c r="A401" s="99" t="s">
        <v>2</v>
      </c>
      <c r="B401" s="99"/>
      <c r="C401" s="99"/>
      <c r="D401" s="149"/>
      <c r="E401" s="158"/>
      <c r="F401" s="167"/>
      <c r="G401" s="117"/>
      <c r="H401" s="105"/>
      <c r="I401" s="117"/>
      <c r="J401" s="105"/>
      <c r="K401" s="117"/>
      <c r="L401" s="105"/>
      <c r="M401" s="99"/>
    </row>
    <row r="402" spans="1:13" x14ac:dyDescent="0.25">
      <c r="B402" t="s">
        <v>1176</v>
      </c>
      <c r="C402" t="s">
        <v>15</v>
      </c>
      <c r="D402" s="150">
        <f>IFERROR(INDEX('BD Rendimientos'!G:G,MATCH("03.03.06|Alquiler Andamio|Uni.|equipo",'BD Rendimientos'!L:L,0)),"")</f>
        <v>7.0031505616218546</v>
      </c>
      <c r="E402" s="159">
        <f>IFERROR(INDEX('BD Equipo'!D:D,MATCH("Alquiler Andamio",'BD Equipo'!B:B,0)),"")</f>
        <v>0.35957142857142865</v>
      </c>
      <c r="F402" s="168">
        <f>IFERROR(D402*E402,"")</f>
        <v>2.5181328519431729</v>
      </c>
      <c r="G402" s="118">
        <v>90</v>
      </c>
      <c r="H402" s="106">
        <v>0.35699999999999998</v>
      </c>
      <c r="I402" s="118">
        <v>100</v>
      </c>
      <c r="J402" s="106">
        <v>0.36</v>
      </c>
      <c r="K402" s="118"/>
      <c r="L402" s="106"/>
    </row>
    <row r="403" spans="1:13" x14ac:dyDescent="0.25">
      <c r="B403" t="s">
        <v>1198</v>
      </c>
      <c r="C403" t="s">
        <v>15</v>
      </c>
      <c r="D403" s="150">
        <f>IFERROR(INDEX('BD Rendimientos'!G:G,MATCH("03.03.06|Alquiler de Tablones|Uni.|equipo",'BD Rendimientos'!L:L,0)),"")</f>
        <v>7.0031505616218546</v>
      </c>
      <c r="E403" s="159">
        <f>IFERROR(INDEX('BD Equipo'!D:D,MATCH("Alquiler de Tablones",'BD Equipo'!B:B,0)),"")</f>
        <v>8.9948260869565241E-2</v>
      </c>
      <c r="F403" s="168">
        <f>IFERROR(D403*E403,"")</f>
        <v>0.62992121362560494</v>
      </c>
      <c r="G403" s="118">
        <v>90</v>
      </c>
      <c r="H403" s="106">
        <v>8.9300000000000004E-2</v>
      </c>
      <c r="I403" s="118">
        <v>100</v>
      </c>
      <c r="J403" s="106">
        <v>0.09</v>
      </c>
      <c r="K403" s="118"/>
      <c r="L403" s="106"/>
    </row>
    <row r="404" spans="1:13" x14ac:dyDescent="0.25">
      <c r="B404" t="s">
        <v>1200</v>
      </c>
      <c r="C404" t="s">
        <v>15</v>
      </c>
      <c r="D404" s="150">
        <f>IFERROR(INDEX('BD Rendimientos'!G:G,MATCH("03.03.06|Alquiler vibrador|Uni.|equipo",'BD Rendimientos'!L:L,0)),"")</f>
        <v>0.24509803921568626</v>
      </c>
      <c r="E404" s="159">
        <f>IFERROR(INDEX('BD Equipo'!D:D,MATCH("Alquiler vibrador",'BD Equipo'!B:B,0)),"")</f>
        <v>17.86000000000001</v>
      </c>
      <c r="F404" s="168">
        <f>IFERROR(D404*E404,"")</f>
        <v>4.3774509803921591</v>
      </c>
      <c r="G404" s="118">
        <v>3</v>
      </c>
      <c r="H404" s="106">
        <v>17.86</v>
      </c>
      <c r="I404" s="118">
        <v>1</v>
      </c>
      <c r="J404" s="106">
        <v>17.86</v>
      </c>
      <c r="K404" s="118">
        <v>1.9994400000000001</v>
      </c>
      <c r="L404" s="106">
        <v>17.86</v>
      </c>
      <c r="M404" t="s">
        <v>1920</v>
      </c>
    </row>
    <row r="405" spans="1:13" x14ac:dyDescent="0.25">
      <c r="B405" t="s">
        <v>1203</v>
      </c>
      <c r="C405" t="s">
        <v>6</v>
      </c>
      <c r="D405" s="150">
        <f>IFERROR(INDEX('BD Rendimientos'!G:G,MATCH("03.03.06|Bomba Estacionaria|m3|equipo",'BD Rendimientos'!L:L,0)),"")</f>
        <v>1</v>
      </c>
      <c r="E405" s="159">
        <f>IFERROR(INDEX('BD Equipo'!D:D,MATCH("Bomba Estacionaria",'BD Equipo'!B:B,0)),"")</f>
        <v>8</v>
      </c>
      <c r="F405" s="168">
        <f>IFERROR(D405*E405,"")</f>
        <v>8</v>
      </c>
      <c r="G405" s="118">
        <v>12.24</v>
      </c>
      <c r="H405" s="106">
        <v>8</v>
      </c>
      <c r="I405" s="118">
        <v>15.03</v>
      </c>
      <c r="J405" s="106">
        <v>8</v>
      </c>
      <c r="K405" s="118">
        <v>1</v>
      </c>
      <c r="L405" s="106">
        <v>8</v>
      </c>
    </row>
    <row r="406" spans="1:13" ht="16.5" thickBot="1" x14ac:dyDescent="0.3">
      <c r="A406" s="100"/>
      <c r="B406" s="100" t="s">
        <v>645</v>
      </c>
      <c r="C406" s="100" t="s">
        <v>6</v>
      </c>
      <c r="D406" s="151"/>
      <c r="E406" s="160"/>
      <c r="F406" s="169">
        <f>SUM(F393,F394,F395,F396,F397,F398,F400,F402,F403,F404,F405)</f>
        <v>152.40665414396085</v>
      </c>
      <c r="G406" s="119"/>
      <c r="H406" s="107">
        <v>110.73527777777799</v>
      </c>
      <c r="I406" s="119"/>
      <c r="J406" s="107">
        <v>102.10379241517001</v>
      </c>
      <c r="K406" s="119"/>
      <c r="L406" s="107">
        <v>382.37799840000002</v>
      </c>
      <c r="M406" s="100" t="s">
        <v>646</v>
      </c>
    </row>
    <row r="407" spans="1:13" ht="15.75" thickTop="1" x14ac:dyDescent="0.25">
      <c r="D407" s="150"/>
      <c r="E407" s="159"/>
      <c r="F407" s="168"/>
      <c r="G407" s="118"/>
      <c r="H407" s="106"/>
      <c r="I407" s="118"/>
      <c r="J407" s="106"/>
      <c r="K407" s="118"/>
      <c r="L407" s="106"/>
    </row>
    <row r="408" spans="1:13" ht="15.75" thickBot="1" x14ac:dyDescent="0.3">
      <c r="A408" s="96" t="s">
        <v>352</v>
      </c>
      <c r="B408" s="96"/>
      <c r="C408" s="96"/>
      <c r="D408" s="155"/>
      <c r="E408" s="164"/>
      <c r="F408" s="173"/>
      <c r="G408" s="123"/>
      <c r="H408" s="111"/>
      <c r="I408" s="123"/>
      <c r="J408" s="111"/>
      <c r="K408" s="123"/>
      <c r="L408" s="111"/>
      <c r="M408" s="96"/>
    </row>
    <row r="409" spans="1:13" ht="15.75" thickTop="1" x14ac:dyDescent="0.25">
      <c r="A409" s="97" t="s">
        <v>327</v>
      </c>
      <c r="B409" s="97" t="s">
        <v>326</v>
      </c>
      <c r="C409" s="97" t="s">
        <v>6</v>
      </c>
      <c r="D409" s="148" t="s">
        <v>635</v>
      </c>
      <c r="E409" s="157" t="s">
        <v>636</v>
      </c>
      <c r="F409" s="166" t="s">
        <v>637</v>
      </c>
      <c r="G409" s="116" t="s">
        <v>638</v>
      </c>
      <c r="H409" s="104" t="s">
        <v>639</v>
      </c>
      <c r="I409" s="116" t="s">
        <v>640</v>
      </c>
      <c r="J409" s="104" t="s">
        <v>641</v>
      </c>
      <c r="K409" s="116" t="s">
        <v>642</v>
      </c>
      <c r="L409" s="104" t="s">
        <v>643</v>
      </c>
      <c r="M409" s="97" t="s">
        <v>644</v>
      </c>
    </row>
    <row r="410" spans="1:13" x14ac:dyDescent="0.25">
      <c r="A410" s="99" t="s">
        <v>11</v>
      </c>
      <c r="B410" s="99"/>
      <c r="C410" s="99"/>
      <c r="D410" s="149"/>
      <c r="E410" s="158"/>
      <c r="F410" s="167"/>
      <c r="G410" s="117"/>
      <c r="H410" s="105"/>
      <c r="I410" s="117"/>
      <c r="J410" s="105"/>
      <c r="K410" s="117"/>
      <c r="L410" s="105"/>
      <c r="M410" s="99"/>
    </row>
    <row r="411" spans="1:13" x14ac:dyDescent="0.25">
      <c r="A411" s="101"/>
      <c r="B411" s="101" t="s">
        <v>749</v>
      </c>
      <c r="C411" s="101" t="s">
        <v>15</v>
      </c>
      <c r="D411" s="152">
        <f>IFERROR(INDEX('BD Rendimientos'!G:G,MATCH("03.03.07|Broca Concreto 1/2X30cm|Uni.|materiales",'BD Rendimientos'!L:L,0)),"")</f>
        <v>2.6752273943285176E-2</v>
      </c>
      <c r="E411" s="161">
        <f>IFERROR(INDEX('BD Materiales'!D:D,MATCH("Broca Concreto 1/2X30cm",'BD Materiales'!B:B,0)),"")</f>
        <v>5.0999999999999996</v>
      </c>
      <c r="F411" s="170">
        <f>IFERROR(D411*E411,"")</f>
        <v>0.1364365971107544</v>
      </c>
      <c r="G411" s="120">
        <v>1</v>
      </c>
      <c r="H411" s="108">
        <v>5.03</v>
      </c>
      <c r="I411" s="120"/>
      <c r="J411" s="108"/>
      <c r="K411" s="120"/>
      <c r="L411" s="108"/>
      <c r="M411" s="101" t="s">
        <v>647</v>
      </c>
    </row>
    <row r="412" spans="1:13" x14ac:dyDescent="0.25">
      <c r="A412" s="101"/>
      <c r="B412" s="101" t="s">
        <v>752</v>
      </c>
      <c r="C412" s="101" t="s">
        <v>15</v>
      </c>
      <c r="D412" s="152">
        <f>IFERROR(INDEX('BD Rendimientos'!G:G,MATCH("03.03.07|Broca Concreto 5/8X12cm|Uni.|materiales",'BD Rendimientos'!L:L,0)),"")</f>
        <v>0.1070090957731407</v>
      </c>
      <c r="E412" s="161">
        <f>IFERROR(INDEX('BD Materiales'!D:D,MATCH("Broca Concreto 5/8X12cm",'BD Materiales'!B:B,0)),"")</f>
        <v>5.0529999999999999</v>
      </c>
      <c r="F412" s="170">
        <f>IFERROR(D412*E412,"")</f>
        <v>0.54071696094167998</v>
      </c>
      <c r="G412" s="120">
        <v>4</v>
      </c>
      <c r="H412" s="108">
        <v>5.0529999999999999</v>
      </c>
      <c r="I412" s="120"/>
      <c r="J412" s="108"/>
      <c r="K412" s="120"/>
      <c r="L412" s="108"/>
      <c r="M412" s="101" t="s">
        <v>647</v>
      </c>
    </row>
    <row r="413" spans="1:13" x14ac:dyDescent="0.25">
      <c r="B413" t="s">
        <v>790</v>
      </c>
      <c r="C413" t="s">
        <v>8</v>
      </c>
      <c r="D413" s="150">
        <f>IFERROR(INDEX('BD Rendimientos'!G:G,MATCH("03.03.07|Cemento Campeón|qq|materiales",'BD Rendimientos'!L:L,0)),"")</f>
        <v>0.46292698037227897</v>
      </c>
      <c r="E413" s="159">
        <f>IFERROR(INDEX('BD Materiales'!D:D,MATCH("Cemento Campeón",'BD Materiales'!B:B,0)),"")</f>
        <v>6.7</v>
      </c>
      <c r="F413" s="168">
        <f>IFERROR(D413*E413,"")</f>
        <v>3.1016107684942691</v>
      </c>
      <c r="G413" s="118">
        <v>11</v>
      </c>
      <c r="H413" s="106">
        <v>6.585</v>
      </c>
      <c r="I413" s="118">
        <v>12</v>
      </c>
      <c r="J413" s="106">
        <v>6.79</v>
      </c>
      <c r="K413" s="118"/>
      <c r="L413" s="106"/>
    </row>
    <row r="414" spans="1:13" x14ac:dyDescent="0.25">
      <c r="A414" s="101"/>
      <c r="B414" s="101" t="s">
        <v>856</v>
      </c>
      <c r="C414" s="101" t="s">
        <v>15</v>
      </c>
      <c r="D414" s="152">
        <f>IFERROR(INDEX('BD Rendimientos'!G:G,MATCH("03.03.07|Disco diamante segmentado 9""|Uni.|materiales",'BD Rendimientos'!L:L,0)),"")</f>
        <v>5.3504547886570351E-2</v>
      </c>
      <c r="E414" s="161">
        <f>IFERROR(INDEX('BD Materiales'!D:D,MATCH("Disco diamante segmentado 9""",'BD Materiales'!B:B,0)),"")</f>
        <v>5.35</v>
      </c>
      <c r="F414" s="170">
        <f>IFERROR(D414*E414,"")</f>
        <v>0.28624933119315138</v>
      </c>
      <c r="G414" s="120">
        <v>2</v>
      </c>
      <c r="H414" s="108">
        <v>5.15</v>
      </c>
      <c r="I414" s="120"/>
      <c r="J414" s="108"/>
      <c r="K414" s="120"/>
      <c r="L414" s="108"/>
      <c r="M414" s="101" t="s">
        <v>647</v>
      </c>
    </row>
    <row r="415" spans="1:13" x14ac:dyDescent="0.25">
      <c r="B415" t="s">
        <v>47</v>
      </c>
      <c r="C415" t="s">
        <v>6</v>
      </c>
      <c r="D415" s="150">
        <f>IFERROR(INDEX('BD Rendimientos'!G:G,MATCH("03.03.07|Hormigón Premez. fc= 210 kg S/B (Hormigón Premezclado fc= 210 kg/cm2)|m3|materiales",'BD Rendimientos'!L:L,0)),"")</f>
        <v>1</v>
      </c>
      <c r="E415" s="159">
        <f>IFERROR(INDEX('BD Materiales'!D:D,MATCH("Hormigón Premez. fc= 210 kg S/B (Hormigón Premezclado fc= 210 kg/cm2)",'BD Materiales'!B:B,0)),"")</f>
        <v>71</v>
      </c>
      <c r="F415" s="168">
        <f>IFERROR(D415*E415,"")</f>
        <v>71</v>
      </c>
      <c r="G415" s="118">
        <v>37.380000000000003</v>
      </c>
      <c r="H415" s="106">
        <v>71</v>
      </c>
      <c r="I415" s="118">
        <v>19</v>
      </c>
      <c r="J415" s="106">
        <v>71</v>
      </c>
      <c r="K415" s="118"/>
      <c r="L415" s="106"/>
    </row>
    <row r="416" spans="1:13" x14ac:dyDescent="0.25">
      <c r="A416" s="101"/>
      <c r="B416" s="101" t="s">
        <v>610</v>
      </c>
      <c r="C416" s="101" t="s">
        <v>15</v>
      </c>
      <c r="D416" s="152">
        <f>IFERROR(INDEX('BD Rendimientos'!G:G,MATCH("03.03.07|Maxicril|Uni.|materiales",'BD Rendimientos'!L:L,0)),"")</f>
        <v>2.6752273943285176E-2</v>
      </c>
      <c r="E416" s="161">
        <f>IFERROR(INDEX('BD Materiales'!D:D,MATCH("Maxicril",'BD Materiales'!B:B,0)),"")</f>
        <v>23.93</v>
      </c>
      <c r="F416" s="170">
        <f>IFERROR(D416*E416,"")</f>
        <v>0.64018191546281422</v>
      </c>
      <c r="G416" s="120">
        <v>1</v>
      </c>
      <c r="H416" s="108">
        <v>23.93</v>
      </c>
      <c r="I416" s="120"/>
      <c r="J416" s="108"/>
      <c r="K416" s="120"/>
      <c r="L416" s="108"/>
      <c r="M416" s="101" t="s">
        <v>647</v>
      </c>
    </row>
    <row r="417" spans="1:13" x14ac:dyDescent="0.25">
      <c r="A417" s="101"/>
      <c r="B417" s="101" t="s">
        <v>953</v>
      </c>
      <c r="C417" s="101" t="s">
        <v>15</v>
      </c>
      <c r="D417" s="152">
        <f>IFERROR(INDEX('BD Rendimientos'!G:G,MATCH("03.03.07|Plancha espumaflex 5cm|Uni.|materiales",'BD Rendimientos'!L:L,0)),"")</f>
        <v>2.6752273943285176E-2</v>
      </c>
      <c r="E417" s="161">
        <f>IFERROR(INDEX('BD Materiales'!D:D,MATCH("Plancha espumaflex 5cm",'BD Materiales'!B:B,0)),"")</f>
        <v>9.5184999999999995</v>
      </c>
      <c r="F417" s="170">
        <f>IFERROR(D417*E417,"")</f>
        <v>0.25464151952915992</v>
      </c>
      <c r="G417" s="120">
        <v>1</v>
      </c>
      <c r="H417" s="108">
        <v>9.9499999999999993</v>
      </c>
      <c r="I417" s="120"/>
      <c r="J417" s="108"/>
      <c r="K417" s="120"/>
      <c r="L417" s="108"/>
      <c r="M417" s="101" t="s">
        <v>647</v>
      </c>
    </row>
    <row r="418" spans="1:13" x14ac:dyDescent="0.25">
      <c r="B418" t="s">
        <v>603</v>
      </c>
      <c r="C418" t="s">
        <v>6</v>
      </c>
      <c r="D418" s="150">
        <f>IFERROR(INDEX('BD Rendimientos'!G:G,MATCH("03.03.07|Polvo Azul|m3|materiales",'BD Rendimientos'!L:L,0)),"")</f>
        <v>2.6542761397876716E-2</v>
      </c>
      <c r="E418" s="159">
        <f>IFERROR(INDEX('BD Materiales'!D:D,MATCH("Polvo Azul",'BD Materiales'!B:B,0)),"")</f>
        <v>14.547574523429788</v>
      </c>
      <c r="F418" s="168">
        <f>IFERROR(D418*E418,"")</f>
        <v>0.38613279949322693</v>
      </c>
      <c r="G418" s="118">
        <v>1.04</v>
      </c>
      <c r="H418" s="106">
        <v>13.31</v>
      </c>
      <c r="I418" s="118">
        <v>0.48</v>
      </c>
      <c r="J418" s="106">
        <v>17.04</v>
      </c>
      <c r="K418" s="118"/>
      <c r="L418" s="106"/>
    </row>
    <row r="419" spans="1:13" x14ac:dyDescent="0.25">
      <c r="B419" t="s">
        <v>602</v>
      </c>
      <c r="C419" t="s">
        <v>6</v>
      </c>
      <c r="D419" s="150">
        <f>IFERROR(INDEX('BD Rendimientos'!G:G,MATCH("03.03.07|Ripio|m3|materiales",'BD Rendimientos'!L:L,0)),"")</f>
        <v>1.8034411872377573E-2</v>
      </c>
      <c r="E419" s="159">
        <f>IFERROR(INDEX('BD Materiales'!D:D,MATCH("Ripio",'BD Materiales'!B:B,0)),"")</f>
        <v>13.895122287420717</v>
      </c>
      <c r="F419" s="168">
        <f>IFERROR(D419*E419,"")</f>
        <v>0.25059035834839838</v>
      </c>
      <c r="G419" s="118">
        <v>0.64</v>
      </c>
      <c r="H419" s="106">
        <v>21.7</v>
      </c>
      <c r="I419" s="118">
        <v>0.36</v>
      </c>
      <c r="J419" s="106">
        <v>11.83</v>
      </c>
      <c r="K419" s="118"/>
      <c r="L419" s="106"/>
    </row>
    <row r="420" spans="1:13" x14ac:dyDescent="0.25">
      <c r="A420" s="101"/>
      <c r="B420" s="101" t="s">
        <v>999</v>
      </c>
      <c r="C420" s="101" t="s">
        <v>15</v>
      </c>
      <c r="D420" s="152">
        <f>IFERROR(INDEX('BD Rendimientos'!G:G,MATCH("03.03.07|Sika Anchofix2 300ml|Uni.|materiales",'BD Rendimientos'!L:L,0)),"")</f>
        <v>0.18726591760299624</v>
      </c>
      <c r="E420" s="161">
        <f>IFERROR(INDEX('BD Materiales'!D:D,MATCH("Sika Anchofix2 300ml",'BD Materiales'!B:B,0)),"")</f>
        <v>26.814</v>
      </c>
      <c r="F420" s="170">
        <f>IFERROR(D420*E420,"")</f>
        <v>5.0213483146067412</v>
      </c>
      <c r="G420" s="120">
        <v>7</v>
      </c>
      <c r="H420" s="108">
        <v>26.814</v>
      </c>
      <c r="I420" s="120"/>
      <c r="J420" s="108"/>
      <c r="K420" s="120"/>
      <c r="L420" s="108"/>
      <c r="M420" s="101" t="s">
        <v>647</v>
      </c>
    </row>
    <row r="421" spans="1:13" x14ac:dyDescent="0.25">
      <c r="A421" s="101"/>
      <c r="B421" s="101" t="s">
        <v>1001</v>
      </c>
      <c r="C421" s="101" t="s">
        <v>15</v>
      </c>
      <c r="D421" s="152">
        <f>IFERROR(INDEX('BD Rendimientos'!G:G,MATCH("03.03.07|Sika Premium 32|Uni.|materiales",'BD Rendimientos'!L:L,0)),"")</f>
        <v>2.6752273943285176E-2</v>
      </c>
      <c r="E421" s="161">
        <f>IFERROR(INDEX('BD Materiales'!D:D,MATCH("Sika Premium 32",'BD Materiales'!B:B,0)),"")</f>
        <v>58.303333333333335</v>
      </c>
      <c r="F421" s="170">
        <f>IFERROR(D421*E421,"")</f>
        <v>1.5597467451400033</v>
      </c>
      <c r="G421" s="120">
        <v>1</v>
      </c>
      <c r="H421" s="108">
        <v>52.87</v>
      </c>
      <c r="I421" s="120"/>
      <c r="J421" s="108"/>
      <c r="K421" s="120"/>
      <c r="L421" s="108"/>
      <c r="M421" s="101" t="s">
        <v>647</v>
      </c>
    </row>
    <row r="422" spans="1:13" x14ac:dyDescent="0.25">
      <c r="A422" s="99" t="s">
        <v>5</v>
      </c>
      <c r="B422" s="99"/>
      <c r="C422" s="99"/>
      <c r="D422" s="149"/>
      <c r="E422" s="158"/>
      <c r="F422" s="167"/>
      <c r="G422" s="117"/>
      <c r="H422" s="105"/>
      <c r="I422" s="117"/>
      <c r="J422" s="105"/>
      <c r="K422" s="117"/>
      <c r="L422" s="105"/>
      <c r="M422" s="99"/>
    </row>
    <row r="423" spans="1:13" x14ac:dyDescent="0.25">
      <c r="B423" t="s">
        <v>1129</v>
      </c>
      <c r="C423" t="s">
        <v>6</v>
      </c>
      <c r="D423" s="150">
        <f>IFERROR(INDEX('BD Rendimientos'!G:G,MATCH("03.03.07|M. Hormigón Premezclado En Vigas F'c=210kg/Cm²|m3|mano_obra",'BD Rendimientos'!L:L,0)),"")</f>
        <v>1</v>
      </c>
      <c r="E423" s="159">
        <f>IFERROR(INDEX('BD Mano de Obra'!D:D,MATCH("M. Hormigón Premezclado En Vigas F'c=210kg/Cm²",'BD Mano de Obra'!B:B,0)),"")</f>
        <v>33</v>
      </c>
      <c r="F423" s="168">
        <f>IFERROR(D423*E423,"")</f>
        <v>33</v>
      </c>
      <c r="G423" s="118">
        <v>37.380000000000003</v>
      </c>
      <c r="H423" s="106">
        <v>33</v>
      </c>
      <c r="I423" s="118">
        <v>19</v>
      </c>
      <c r="J423" s="106">
        <v>33</v>
      </c>
      <c r="K423" s="118"/>
      <c r="L423" s="106"/>
    </row>
    <row r="424" spans="1:13" x14ac:dyDescent="0.25">
      <c r="A424" s="99" t="s">
        <v>2</v>
      </c>
      <c r="B424" s="99"/>
      <c r="C424" s="99"/>
      <c r="D424" s="149"/>
      <c r="E424" s="158"/>
      <c r="F424" s="167"/>
      <c r="G424" s="117"/>
      <c r="H424" s="105"/>
      <c r="I424" s="117"/>
      <c r="J424" s="105"/>
      <c r="K424" s="117"/>
      <c r="L424" s="105"/>
      <c r="M424" s="99"/>
    </row>
    <row r="425" spans="1:13" x14ac:dyDescent="0.25">
      <c r="A425" s="101"/>
      <c r="B425" s="101" t="s">
        <v>1176</v>
      </c>
      <c r="C425" s="101" t="s">
        <v>15</v>
      </c>
      <c r="D425" s="152">
        <f>IFERROR(INDEX('BD Rendimientos'!G:G,MATCH("03.03.07|Alquiler Andamio|Uni.|equipo",'BD Rendimientos'!L:L,0)),"")</f>
        <v>2.407704654895666</v>
      </c>
      <c r="E425" s="161">
        <f>IFERROR(INDEX('BD Equipo'!D:D,MATCH("Alquiler Andamio",'BD Equipo'!B:B,0)),"")</f>
        <v>0.35957142857142865</v>
      </c>
      <c r="F425" s="170">
        <f>IFERROR(D425*E425,"")</f>
        <v>0.86574180233891329</v>
      </c>
      <c r="G425" s="120">
        <v>90</v>
      </c>
      <c r="H425" s="108">
        <v>0.35699999999999998</v>
      </c>
      <c r="I425" s="120"/>
      <c r="J425" s="108"/>
      <c r="K425" s="120"/>
      <c r="L425" s="108"/>
      <c r="M425" s="101" t="s">
        <v>647</v>
      </c>
    </row>
    <row r="426" spans="1:13" x14ac:dyDescent="0.25">
      <c r="A426" s="101"/>
      <c r="B426" s="101" t="s">
        <v>1196</v>
      </c>
      <c r="C426" s="101" t="s">
        <v>15</v>
      </c>
      <c r="D426" s="152">
        <f>IFERROR(INDEX('BD Rendimientos'!G:G,MATCH("03.03.07|Alquiler de Tableros de madera|Uni.|equipo",'BD Rendimientos'!L:L,0)),"")</f>
        <v>2.407704654895666</v>
      </c>
      <c r="E426" s="161">
        <f>IFERROR(INDEX('BD Equipo'!D:D,MATCH("Alquiler de Tableros de madera",'BD Equipo'!B:B,0)),"")</f>
        <v>8.9200000000000002E-2</v>
      </c>
      <c r="F426" s="170">
        <f>IFERROR(D426*E426,"")</f>
        <v>0.2147672552166934</v>
      </c>
      <c r="G426" s="120">
        <v>90</v>
      </c>
      <c r="H426" s="108">
        <v>8.9200000000000002E-2</v>
      </c>
      <c r="I426" s="120"/>
      <c r="J426" s="108"/>
      <c r="K426" s="120"/>
      <c r="L426" s="108"/>
      <c r="M426" s="101" t="s">
        <v>647</v>
      </c>
    </row>
    <row r="427" spans="1:13" x14ac:dyDescent="0.25">
      <c r="B427" t="s">
        <v>1203</v>
      </c>
      <c r="C427" t="s">
        <v>6</v>
      </c>
      <c r="D427" s="150">
        <f>IFERROR(INDEX('BD Rendimientos'!G:G,MATCH("03.03.07|Bomba Estacionaria|m3|equipo",'BD Rendimientos'!L:L,0)),"")</f>
        <v>1.073836276083467</v>
      </c>
      <c r="E427" s="159">
        <f>IFERROR(INDEX('BD Equipo'!D:D,MATCH("Bomba Estacionaria",'BD Equipo'!B:B,0)),"")</f>
        <v>8</v>
      </c>
      <c r="F427" s="168">
        <f>IFERROR(D427*E427,"")</f>
        <v>8.5906902086677359</v>
      </c>
      <c r="G427" s="118">
        <v>42.9</v>
      </c>
      <c r="H427" s="106">
        <v>8</v>
      </c>
      <c r="I427" s="118">
        <v>19</v>
      </c>
      <c r="J427" s="106">
        <v>8</v>
      </c>
      <c r="K427" s="118"/>
      <c r="L427" s="106"/>
    </row>
    <row r="428" spans="1:13" x14ac:dyDescent="0.25">
      <c r="A428" s="101"/>
      <c r="B428" s="101" t="s">
        <v>1231</v>
      </c>
      <c r="C428" s="101" t="s">
        <v>6</v>
      </c>
      <c r="D428" s="152">
        <f>IFERROR(INDEX('BD Rendimientos'!G:G,MATCH("03.03.07|Servicio mínimo de Bombeo|m3|equipo",'BD Rendimientos'!L:L,0)),"")</f>
        <v>6.6880684858212941E-2</v>
      </c>
      <c r="E428" s="161">
        <f>IFERROR(INDEX('BD Equipo'!D:D,MATCH("Servicio mínimo de Bombeo",'BD Equipo'!B:B,0)),"")</f>
        <v>8</v>
      </c>
      <c r="F428" s="170">
        <f>IFERROR(D428*E428,"")</f>
        <v>0.53504547886570353</v>
      </c>
      <c r="G428" s="120">
        <v>2.5</v>
      </c>
      <c r="H428" s="108">
        <v>8</v>
      </c>
      <c r="I428" s="120"/>
      <c r="J428" s="108"/>
      <c r="K428" s="120"/>
      <c r="L428" s="108"/>
      <c r="M428" s="101" t="s">
        <v>647</v>
      </c>
    </row>
    <row r="429" spans="1:13" ht="16.5" thickBot="1" x14ac:dyDescent="0.3">
      <c r="A429" s="100"/>
      <c r="B429" s="100" t="s">
        <v>645</v>
      </c>
      <c r="C429" s="100" t="s">
        <v>6</v>
      </c>
      <c r="D429" s="151"/>
      <c r="E429" s="160"/>
      <c r="F429" s="169">
        <f>SUM(F411,F412,F413,F414,F415,F416,F417,F418,F419,F420,F421,F423,F425,F426,F427,F428)</f>
        <v>126.38390005540926</v>
      </c>
      <c r="G429" s="119"/>
      <c r="H429" s="107">
        <v>125.76333333333299</v>
      </c>
      <c r="I429" s="119"/>
      <c r="J429" s="107">
        <v>116.94305263157899</v>
      </c>
      <c r="K429" s="119"/>
      <c r="L429" s="107"/>
      <c r="M429" s="100" t="s">
        <v>646</v>
      </c>
    </row>
    <row r="430" spans="1:13" ht="15.75" thickTop="1" x14ac:dyDescent="0.25">
      <c r="D430" s="150"/>
      <c r="E430" s="159"/>
      <c r="F430" s="168"/>
      <c r="G430" s="118"/>
      <c r="H430" s="106"/>
      <c r="I430" s="118"/>
      <c r="J430" s="106"/>
      <c r="K430" s="118"/>
      <c r="L430" s="106"/>
    </row>
    <row r="431" spans="1:13" ht="15.75" thickBot="1" x14ac:dyDescent="0.3">
      <c r="A431" s="96" t="s">
        <v>352</v>
      </c>
      <c r="B431" s="96"/>
      <c r="C431" s="96"/>
      <c r="D431" s="155"/>
      <c r="E431" s="164"/>
      <c r="F431" s="173"/>
      <c r="G431" s="123"/>
      <c r="H431" s="111"/>
      <c r="I431" s="123"/>
      <c r="J431" s="111"/>
      <c r="K431" s="123"/>
      <c r="L431" s="111"/>
      <c r="M431" s="96"/>
    </row>
    <row r="432" spans="1:13" ht="15.75" thickTop="1" x14ac:dyDescent="0.25">
      <c r="A432" s="97" t="s">
        <v>319</v>
      </c>
      <c r="B432" s="97" t="s">
        <v>318</v>
      </c>
      <c r="C432" s="97" t="s">
        <v>6</v>
      </c>
      <c r="D432" s="148" t="s">
        <v>635</v>
      </c>
      <c r="E432" s="157" t="s">
        <v>636</v>
      </c>
      <c r="F432" s="166" t="s">
        <v>637</v>
      </c>
      <c r="G432" s="116" t="s">
        <v>638</v>
      </c>
      <c r="H432" s="104" t="s">
        <v>639</v>
      </c>
      <c r="I432" s="116" t="s">
        <v>640</v>
      </c>
      <c r="J432" s="104" t="s">
        <v>641</v>
      </c>
      <c r="K432" s="116" t="s">
        <v>642</v>
      </c>
      <c r="L432" s="104" t="s">
        <v>643</v>
      </c>
      <c r="M432" s="97" t="s">
        <v>644</v>
      </c>
    </row>
    <row r="433" spans="1:13" x14ac:dyDescent="0.25">
      <c r="A433" s="99" t="s">
        <v>11</v>
      </c>
      <c r="B433" s="99"/>
      <c r="C433" s="99"/>
      <c r="D433" s="149"/>
      <c r="E433" s="158"/>
      <c r="F433" s="167"/>
      <c r="G433" s="117"/>
      <c r="H433" s="105"/>
      <c r="I433" s="117"/>
      <c r="J433" s="105"/>
      <c r="K433" s="117"/>
      <c r="L433" s="105"/>
      <c r="M433" s="99"/>
    </row>
    <row r="434" spans="1:13" x14ac:dyDescent="0.25">
      <c r="A434" s="101"/>
      <c r="B434" s="101" t="s">
        <v>747</v>
      </c>
      <c r="C434" s="101" t="s">
        <v>15</v>
      </c>
      <c r="D434" s="152">
        <f>IFERROR(INDEX('BD Rendimientos'!G:G,MATCH("03.03.08|Broca Concreto 1/2X12cm|Uni.|materiales",'BD Rendimientos'!L:L,0)),"")</f>
        <v>2.697599136768276E-2</v>
      </c>
      <c r="E434" s="161">
        <f>IFERROR(INDEX('BD Materiales'!D:D,MATCH("Broca Concreto 1/2X12cm",'BD Materiales'!B:B,0)),"")</f>
        <v>4.25</v>
      </c>
      <c r="F434" s="170">
        <f>IFERROR(D434*E434,"")</f>
        <v>0.11464796331265173</v>
      </c>
      <c r="G434" s="120">
        <v>1</v>
      </c>
      <c r="H434" s="108">
        <v>4.25</v>
      </c>
      <c r="I434" s="120"/>
      <c r="J434" s="108"/>
      <c r="K434" s="120"/>
      <c r="L434" s="108"/>
      <c r="M434" s="101" t="s">
        <v>647</v>
      </c>
    </row>
    <row r="435" spans="1:13" x14ac:dyDescent="0.25">
      <c r="B435" t="s">
        <v>790</v>
      </c>
      <c r="C435" t="s">
        <v>8</v>
      </c>
      <c r="D435" s="150">
        <f>IFERROR(INDEX('BD Rendimientos'!G:G,MATCH("03.03.08|Cemento Campeón|qq|materiales",'BD Rendimientos'!L:L,0)),"")</f>
        <v>7.8616352201257858E-2</v>
      </c>
      <c r="E435" s="159">
        <f>IFERROR(INDEX('BD Materiales'!D:D,MATCH("Cemento Campeón",'BD Materiales'!B:B,0)),"")</f>
        <v>6.7</v>
      </c>
      <c r="F435" s="168">
        <f>IFERROR(D435*E435,"")</f>
        <v>0.52672955974842761</v>
      </c>
      <c r="G435" s="118">
        <v>1</v>
      </c>
      <c r="H435" s="106">
        <v>6.67</v>
      </c>
      <c r="I435" s="118">
        <v>1</v>
      </c>
      <c r="J435" s="106">
        <v>6.7</v>
      </c>
      <c r="K435" s="118">
        <v>4</v>
      </c>
      <c r="L435" s="106">
        <v>6.73</v>
      </c>
      <c r="M435" t="s">
        <v>1920</v>
      </c>
    </row>
    <row r="436" spans="1:13" x14ac:dyDescent="0.25">
      <c r="A436" s="101"/>
      <c r="B436" s="101" t="s">
        <v>854</v>
      </c>
      <c r="C436" s="101" t="s">
        <v>15</v>
      </c>
      <c r="D436" s="152">
        <f>IFERROR(INDEX('BD Rendimientos'!G:G,MATCH("03.03.08|Disco de corte metal 9""|Uni.|materiales",'BD Rendimientos'!L:L,0)),"")</f>
        <v>5.3951982735365521E-2</v>
      </c>
      <c r="E436" s="161">
        <f>IFERROR(INDEX('BD Materiales'!D:D,MATCH("Disco de corte metal 9""",'BD Materiales'!B:B,0)),"")</f>
        <v>2.5252631578947367</v>
      </c>
      <c r="F436" s="170">
        <f>IFERROR(D436*E436,"")</f>
        <v>0.13624295429699146</v>
      </c>
      <c r="G436" s="120">
        <v>2</v>
      </c>
      <c r="H436" s="108">
        <v>2.5299999999999998</v>
      </c>
      <c r="I436" s="120"/>
      <c r="J436" s="108"/>
      <c r="K436" s="120"/>
      <c r="L436" s="108"/>
      <c r="M436" s="101" t="s">
        <v>647</v>
      </c>
    </row>
    <row r="437" spans="1:13" x14ac:dyDescent="0.25">
      <c r="B437" t="s">
        <v>47</v>
      </c>
      <c r="C437" t="s">
        <v>6</v>
      </c>
      <c r="D437" s="150">
        <f>IFERROR(INDEX('BD Rendimientos'!G:G,MATCH("03.03.08|Hormigón Premez. fc= 210 kg S/B (Hormigón Premezclado fc= 210 kg/cm2)|m3|materiales",'BD Rendimientos'!L:L,0)),"")</f>
        <v>0.82165207870655499</v>
      </c>
      <c r="E437" s="159">
        <f>IFERROR(INDEX('BD Materiales'!D:D,MATCH("Hormigón Premez. fc= 210 kg S/B (Hormigón Premezclado fc= 210 kg/cm2)",'BD Materiales'!B:B,0)),"")</f>
        <v>71</v>
      </c>
      <c r="F437" s="168">
        <f>IFERROR(D437*E437,"")</f>
        <v>58.337297588165406</v>
      </c>
      <c r="G437" s="118">
        <v>26.62</v>
      </c>
      <c r="H437" s="106">
        <v>71</v>
      </c>
      <c r="I437" s="118">
        <v>9.5</v>
      </c>
      <c r="J437" s="106">
        <v>71</v>
      </c>
      <c r="K437" s="118">
        <v>43</v>
      </c>
      <c r="L437" s="106">
        <v>71</v>
      </c>
    </row>
    <row r="438" spans="1:13" x14ac:dyDescent="0.25">
      <c r="A438" s="101"/>
      <c r="B438" s="101" t="s">
        <v>1029</v>
      </c>
      <c r="C438" s="101" t="s">
        <v>15</v>
      </c>
      <c r="D438" s="152">
        <f>IFERROR(INDEX('BD Rendimientos'!G:G,MATCH("03.03.08|Tiza Industrial|Uni.|materiales",'BD Rendimientos'!L:L,0)),"")</f>
        <v>2.697599136768276E-2</v>
      </c>
      <c r="E438" s="161">
        <f>IFERROR(INDEX('BD Materiales'!D:D,MATCH("Tiza Industrial",'BD Materiales'!B:B,0)),"")</f>
        <v>0.11418750000000004</v>
      </c>
      <c r="F438" s="170">
        <f>IFERROR(D438*E438,"")</f>
        <v>3.0803210142972761E-3</v>
      </c>
      <c r="G438" s="120">
        <v>1</v>
      </c>
      <c r="H438" s="108">
        <v>0.11</v>
      </c>
      <c r="I438" s="120"/>
      <c r="J438" s="108"/>
      <c r="K438" s="120"/>
      <c r="L438" s="108"/>
      <c r="M438" s="101" t="s">
        <v>647</v>
      </c>
    </row>
    <row r="439" spans="1:13" x14ac:dyDescent="0.25">
      <c r="A439" s="101"/>
      <c r="B439" s="101" t="s">
        <v>603</v>
      </c>
      <c r="C439" s="101" t="s">
        <v>6</v>
      </c>
      <c r="D439" s="152">
        <f>IFERROR(INDEX('BD Rendimientos'!G:G,MATCH("03.03.08|Polvo Azul|m3|materiales",'BD Rendimientos'!L:L,0)),"")</f>
        <v>8.3720930232558128E-3</v>
      </c>
      <c r="E439" s="161">
        <f>IFERROR(INDEX('BD Materiales'!D:D,MATCH("Polvo Azul",'BD Materiales'!B:B,0)),"")</f>
        <v>14.547574523429788</v>
      </c>
      <c r="F439" s="170">
        <f>IFERROR(D439*E439,"")</f>
        <v>0.12179364717290053</v>
      </c>
      <c r="G439" s="120"/>
      <c r="H439" s="108"/>
      <c r="I439" s="120"/>
      <c r="J439" s="108"/>
      <c r="K439" s="120">
        <v>0.36</v>
      </c>
      <c r="L439" s="108">
        <v>13.44</v>
      </c>
      <c r="M439" s="101" t="s">
        <v>647</v>
      </c>
    </row>
    <row r="440" spans="1:13" x14ac:dyDescent="0.25">
      <c r="A440" s="101"/>
      <c r="B440" s="101" t="s">
        <v>602</v>
      </c>
      <c r="C440" s="101" t="s">
        <v>6</v>
      </c>
      <c r="D440" s="152">
        <f>IFERROR(INDEX('BD Rendimientos'!G:G,MATCH("03.03.08|Ripio|m3|materiales",'BD Rendimientos'!L:L,0)),"")</f>
        <v>5.5813953488372094E-3</v>
      </c>
      <c r="E440" s="161">
        <f>IFERROR(INDEX('BD Materiales'!D:D,MATCH("Ripio",'BD Materiales'!B:B,0)),"")</f>
        <v>13.895122287420717</v>
      </c>
      <c r="F440" s="170">
        <f>IFERROR(D440*E440,"")</f>
        <v>7.7554170906534242E-2</v>
      </c>
      <c r="G440" s="120"/>
      <c r="H440" s="108"/>
      <c r="I440" s="120"/>
      <c r="J440" s="108"/>
      <c r="K440" s="120">
        <v>0.24</v>
      </c>
      <c r="L440" s="108">
        <v>14.79</v>
      </c>
      <c r="M440" s="101" t="s">
        <v>647</v>
      </c>
    </row>
    <row r="441" spans="1:13" x14ac:dyDescent="0.25">
      <c r="A441" s="99" t="s">
        <v>5</v>
      </c>
      <c r="B441" s="99"/>
      <c r="C441" s="99"/>
      <c r="D441" s="149"/>
      <c r="E441" s="158"/>
      <c r="F441" s="167"/>
      <c r="G441" s="117"/>
      <c r="H441" s="105"/>
      <c r="I441" s="117"/>
      <c r="J441" s="105"/>
      <c r="K441" s="117"/>
      <c r="L441" s="105"/>
      <c r="M441" s="99"/>
    </row>
    <row r="442" spans="1:13" x14ac:dyDescent="0.25">
      <c r="B442" t="s">
        <v>316</v>
      </c>
      <c r="C442" t="s">
        <v>6</v>
      </c>
      <c r="D442" s="150">
        <f>IFERROR(INDEX('BD Rendimientos'!G:G,MATCH("03.03.08|M. Hormigón En Losa De Entrepiso F'c=210kg/Cm²|m3|mano_obra",'BD Rendimientos'!L:L,0)),"")</f>
        <v>1</v>
      </c>
      <c r="E442" s="159">
        <f>IFERROR(INDEX('BD Mano de Obra'!D:D,MATCH("M. Hormigón En Losa De Entrepiso F'c=210kg/Cm²",'BD Mano de Obra'!B:B,0)),"")</f>
        <v>34.333333333333336</v>
      </c>
      <c r="F442" s="168">
        <f>IFERROR(D442*E442,"")</f>
        <v>34.333333333333336</v>
      </c>
      <c r="G442" s="118">
        <v>37.07</v>
      </c>
      <c r="H442" s="106">
        <v>37</v>
      </c>
      <c r="I442" s="118">
        <v>12.72</v>
      </c>
      <c r="J442" s="106">
        <v>33</v>
      </c>
      <c r="K442" s="118">
        <v>43</v>
      </c>
      <c r="L442" s="106">
        <v>33</v>
      </c>
    </row>
    <row r="443" spans="1:13" x14ac:dyDescent="0.25">
      <c r="A443" s="99" t="s">
        <v>2</v>
      </c>
      <c r="B443" s="99"/>
      <c r="C443" s="99"/>
      <c r="D443" s="149"/>
      <c r="E443" s="158"/>
      <c r="F443" s="167"/>
      <c r="G443" s="117"/>
      <c r="H443" s="105"/>
      <c r="I443" s="117"/>
      <c r="J443" s="105"/>
      <c r="K443" s="117"/>
      <c r="L443" s="105"/>
      <c r="M443" s="99"/>
    </row>
    <row r="444" spans="1:13" x14ac:dyDescent="0.25">
      <c r="A444" s="101"/>
      <c r="B444" s="101" t="s">
        <v>1184</v>
      </c>
      <c r="C444" s="101" t="s">
        <v>15</v>
      </c>
      <c r="D444" s="152">
        <f>IFERROR(INDEX('BD Rendimientos'!G:G,MATCH("03.03.08|Alquiler Rotomartillo|Uni.|equipo",'BD Rendimientos'!L:L,0)),"")</f>
        <v>2.697599136768276E-2</v>
      </c>
      <c r="E444" s="161">
        <f>IFERROR(INDEX('BD Equipo'!D:D,MATCH("Alquiler Rotomartillo",'BD Equipo'!B:B,0)),"")</f>
        <v>31.25</v>
      </c>
      <c r="F444" s="170">
        <f>IFERROR(D444*E444,"")</f>
        <v>0.84299973024008623</v>
      </c>
      <c r="G444" s="120">
        <v>1</v>
      </c>
      <c r="H444" s="108">
        <v>31.25</v>
      </c>
      <c r="I444" s="120"/>
      <c r="J444" s="108"/>
      <c r="K444" s="120"/>
      <c r="L444" s="108"/>
      <c r="M444" s="101" t="s">
        <v>647</v>
      </c>
    </row>
    <row r="445" spans="1:13" x14ac:dyDescent="0.25">
      <c r="B445" t="s">
        <v>1200</v>
      </c>
      <c r="C445" t="s">
        <v>15</v>
      </c>
      <c r="D445" s="150">
        <f>IFERROR(INDEX('BD Rendimientos'!G:G,MATCH("03.03.08|Alquiler vibrador|Uni.|equipo",'BD Rendimientos'!L:L,0)),"")</f>
        <v>7.5197196916858958E-2</v>
      </c>
      <c r="E445" s="159">
        <f>IFERROR(INDEX('BD Equipo'!D:D,MATCH("Alquiler vibrador",'BD Equipo'!B:B,0)),"")</f>
        <v>17.86000000000001</v>
      </c>
      <c r="F445" s="168">
        <f>IFERROR(D445*E445,"")</f>
        <v>1.3430219369351017</v>
      </c>
      <c r="G445" s="118">
        <v>2</v>
      </c>
      <c r="H445" s="106">
        <v>17.86</v>
      </c>
      <c r="I445" s="118">
        <v>1</v>
      </c>
      <c r="J445" s="106">
        <v>17.86</v>
      </c>
      <c r="K445" s="118">
        <v>4</v>
      </c>
      <c r="L445" s="106">
        <v>17.86</v>
      </c>
    </row>
    <row r="446" spans="1:13" x14ac:dyDescent="0.25">
      <c r="B446" t="s">
        <v>1203</v>
      </c>
      <c r="C446" t="s">
        <v>6</v>
      </c>
      <c r="D446" s="150">
        <f>IFERROR(INDEX('BD Rendimientos'!G:G,MATCH("03.03.08|Bomba Estacionaria|m3|equipo",'BD Rendimientos'!L:L,0)),"")</f>
        <v>0.93156720783969571</v>
      </c>
      <c r="E446" s="159">
        <f>IFERROR(INDEX('BD Equipo'!D:D,MATCH("Bomba Estacionaria",'BD Equipo'!B:B,0)),"")</f>
        <v>8</v>
      </c>
      <c r="F446" s="168">
        <f>IFERROR(D446*E446,"")</f>
        <v>7.4525376627175657</v>
      </c>
      <c r="G446" s="118"/>
      <c r="H446" s="106"/>
      <c r="I446" s="118">
        <v>9.5</v>
      </c>
      <c r="J446" s="106">
        <v>8</v>
      </c>
      <c r="K446" s="118">
        <v>48</v>
      </c>
      <c r="L446" s="106">
        <v>8</v>
      </c>
    </row>
    <row r="447" spans="1:13" ht="16.5" thickBot="1" x14ac:dyDescent="0.3">
      <c r="A447" s="100"/>
      <c r="B447" s="100" t="s">
        <v>645</v>
      </c>
      <c r="C447" s="100" t="s">
        <v>6</v>
      </c>
      <c r="D447" s="151"/>
      <c r="E447" s="160"/>
      <c r="F447" s="169">
        <f>SUM(F434,F435,F436,F437,F438,F439,F440,F442,F444,F445,F446)</f>
        <v>103.28923886784328</v>
      </c>
      <c r="G447" s="119"/>
      <c r="H447" s="107">
        <v>90.225789047747497</v>
      </c>
      <c r="I447" s="119"/>
      <c r="J447" s="107">
        <v>93.932389937106905</v>
      </c>
      <c r="K447" s="119"/>
      <c r="L447" s="107">
        <v>115.412744186046</v>
      </c>
      <c r="M447" s="100" t="s">
        <v>646</v>
      </c>
    </row>
    <row r="448" spans="1:13" ht="15.75" thickTop="1" x14ac:dyDescent="0.25">
      <c r="D448" s="150"/>
      <c r="E448" s="159"/>
      <c r="F448" s="168"/>
      <c r="G448" s="118"/>
      <c r="H448" s="106"/>
      <c r="I448" s="118"/>
      <c r="J448" s="106"/>
      <c r="K448" s="118"/>
      <c r="L448" s="106"/>
    </row>
    <row r="449" spans="1:13" ht="15.75" thickBot="1" x14ac:dyDescent="0.3">
      <c r="A449" s="96" t="s">
        <v>352</v>
      </c>
      <c r="B449" s="96"/>
      <c r="C449" s="96"/>
      <c r="D449" s="155"/>
      <c r="E449" s="164"/>
      <c r="F449" s="173"/>
      <c r="G449" s="123"/>
      <c r="H449" s="111"/>
      <c r="I449" s="123"/>
      <c r="J449" s="111"/>
      <c r="K449" s="123"/>
      <c r="L449" s="111"/>
      <c r="M449" s="96"/>
    </row>
    <row r="450" spans="1:13" ht="15.75" thickTop="1" x14ac:dyDescent="0.25">
      <c r="A450" s="97" t="s">
        <v>314</v>
      </c>
      <c r="B450" s="97" t="s">
        <v>313</v>
      </c>
      <c r="C450" s="97" t="s">
        <v>6</v>
      </c>
      <c r="D450" s="148" t="s">
        <v>635</v>
      </c>
      <c r="E450" s="157" t="s">
        <v>636</v>
      </c>
      <c r="F450" s="166" t="s">
        <v>637</v>
      </c>
      <c r="G450" s="116" t="s">
        <v>638</v>
      </c>
      <c r="H450" s="104" t="s">
        <v>639</v>
      </c>
      <c r="I450" s="116" t="s">
        <v>640</v>
      </c>
      <c r="J450" s="104" t="s">
        <v>641</v>
      </c>
      <c r="K450" s="116" t="s">
        <v>642</v>
      </c>
      <c r="L450" s="104" t="s">
        <v>643</v>
      </c>
      <c r="M450" s="97" t="s">
        <v>644</v>
      </c>
    </row>
    <row r="451" spans="1:13" x14ac:dyDescent="0.25">
      <c r="A451" s="99" t="s">
        <v>11</v>
      </c>
      <c r="B451" s="99"/>
      <c r="C451" s="99"/>
      <c r="D451" s="149"/>
      <c r="E451" s="158"/>
      <c r="F451" s="167"/>
      <c r="G451" s="117"/>
      <c r="H451" s="105"/>
      <c r="I451" s="117"/>
      <c r="J451" s="105"/>
      <c r="K451" s="117"/>
      <c r="L451" s="105"/>
      <c r="M451" s="99"/>
    </row>
    <row r="452" spans="1:13" x14ac:dyDescent="0.25">
      <c r="B452" t="s">
        <v>790</v>
      </c>
      <c r="C452" t="s">
        <v>8</v>
      </c>
      <c r="D452" s="150">
        <f>IFERROR(INDEX('BD Rendimientos'!G:G,MATCH("03.03.09|Cemento Campeón|qq|materiales",'BD Rendimientos'!L:L,0)),"")</f>
        <v>0.20378108870571524</v>
      </c>
      <c r="E452" s="159">
        <f>IFERROR(INDEX('BD Materiales'!D:D,MATCH("Cemento Campeón",'BD Materiales'!B:B,0)),"")</f>
        <v>6.7</v>
      </c>
      <c r="F452" s="168">
        <f>IFERROR(D452*E452,"")</f>
        <v>1.3653332943282921</v>
      </c>
      <c r="G452" s="118">
        <v>1</v>
      </c>
      <c r="H452" s="106">
        <v>6.67</v>
      </c>
      <c r="I452" s="118">
        <v>9.9600000000000009</v>
      </c>
      <c r="J452" s="106">
        <v>6.79</v>
      </c>
      <c r="K452" s="118"/>
      <c r="L452" s="106"/>
      <c r="M452" t="s">
        <v>1920</v>
      </c>
    </row>
    <row r="453" spans="1:13" x14ac:dyDescent="0.25">
      <c r="A453" s="101"/>
      <c r="B453" s="101" t="s">
        <v>798</v>
      </c>
      <c r="C453" s="101" t="s">
        <v>15</v>
      </c>
      <c r="D453" s="152">
        <f>IFERROR(INDEX('BD Rendimientos'!G:G,MATCH("03.03.09|Chapisco 25 kg|Uni.|materiales",'BD Rendimientos'!L:L,0)),"")</f>
        <v>0.16647876738068396</v>
      </c>
      <c r="E453" s="161">
        <f>IFERROR(INDEX('BD Materiales'!D:D,MATCH("Chapisco 25 kg",'BD Materiales'!B:B,0)),"")</f>
        <v>7.6570634920634939</v>
      </c>
      <c r="F453" s="170">
        <f>IFERROR(D453*E453,"")</f>
        <v>1.2747384919143661</v>
      </c>
      <c r="G453" s="120"/>
      <c r="H453" s="108"/>
      <c r="I453" s="120">
        <v>4.43</v>
      </c>
      <c r="J453" s="108">
        <v>8.06</v>
      </c>
      <c r="K453" s="120"/>
      <c r="L453" s="108"/>
      <c r="M453" s="101" t="s">
        <v>647</v>
      </c>
    </row>
    <row r="454" spans="1:13" x14ac:dyDescent="0.25">
      <c r="A454" s="101"/>
      <c r="B454" s="101" t="s">
        <v>156</v>
      </c>
      <c r="C454" s="101" t="s">
        <v>30</v>
      </c>
      <c r="D454" s="152">
        <f>IFERROR(INDEX('BD Rendimientos'!G:G,MATCH("03.03.09|Clavos de acero 1” (1/2 kilo) (Clavos de acero 1” (1/2 kilo))|Kg.|materiales",'BD Rendimientos'!L:L,0)),"")</f>
        <v>1.3904547162720781E-2</v>
      </c>
      <c r="E454" s="161">
        <f>IFERROR(INDEX('BD Materiales'!D:D,MATCH("Clavos de acero 1” (1/2 kilo) (Clavos de acero 1” (1/2 kilo))",'BD Materiales'!B:B,0)),"")</f>
        <v>9.0133333333333336</v>
      </c>
      <c r="F454" s="170">
        <f>IFERROR(D454*E454,"")</f>
        <v>0.12532631842665665</v>
      </c>
      <c r="G454" s="120"/>
      <c r="H454" s="108"/>
      <c r="I454" s="120">
        <v>0.37</v>
      </c>
      <c r="J454" s="108">
        <v>9.08</v>
      </c>
      <c r="K454" s="120"/>
      <c r="L454" s="108"/>
      <c r="M454" s="101" t="s">
        <v>647</v>
      </c>
    </row>
    <row r="455" spans="1:13" x14ac:dyDescent="0.25">
      <c r="B455" t="s">
        <v>47</v>
      </c>
      <c r="C455" t="s">
        <v>6</v>
      </c>
      <c r="D455" s="150">
        <f>IFERROR(INDEX('BD Rendimientos'!G:G,MATCH("03.03.09|Hormigón Premez. fc= 210 kg S/B (Hormigón Premezclado fc= 210 kg/cm2)|m3|materiales",'BD Rendimientos'!L:L,0)),"")</f>
        <v>0.60989445385816121</v>
      </c>
      <c r="E455" s="159">
        <f>IFERROR(INDEX('BD Materiales'!D:D,MATCH("Hormigón Premez. fc= 210 kg S/B (Hormigón Premezclado fc= 210 kg/cm2)",'BD Materiales'!B:B,0)),"")</f>
        <v>71</v>
      </c>
      <c r="F455" s="168">
        <f>IFERROR(D455*E455,"")</f>
        <v>43.302506223929448</v>
      </c>
      <c r="G455" s="118">
        <v>26.5</v>
      </c>
      <c r="H455" s="106">
        <v>71</v>
      </c>
      <c r="I455" s="118">
        <v>9</v>
      </c>
      <c r="J455" s="106">
        <v>71</v>
      </c>
      <c r="K455" s="118"/>
      <c r="L455" s="106"/>
    </row>
    <row r="456" spans="1:13" x14ac:dyDescent="0.25">
      <c r="A456" s="101"/>
      <c r="B456" s="101" t="s">
        <v>155</v>
      </c>
      <c r="C456" s="101" t="s">
        <v>144</v>
      </c>
      <c r="D456" s="152">
        <f>IFERROR(INDEX('BD Rendimientos'!G:G,MATCH("03.03.09|Malla para tumbado (rollo) (Malla para tumbado (rollo))|rollo|materiales",'BD Rendimientos'!L:L,0)),"")</f>
        <v>1.3904547162720781E-2</v>
      </c>
      <c r="E456" s="161">
        <f>IFERROR(INDEX('BD Materiales'!D:D,MATCH("Malla para tumbado (rollo) (Malla para tumbado (rollo))",'BD Materiales'!B:B,0)),"")</f>
        <v>12.525</v>
      </c>
      <c r="F456" s="170">
        <f>IFERROR(D456*E456,"")</f>
        <v>0.17415445321307779</v>
      </c>
      <c r="G456" s="120"/>
      <c r="H456" s="108"/>
      <c r="I456" s="120">
        <v>0.37</v>
      </c>
      <c r="J456" s="108">
        <v>13.62</v>
      </c>
      <c r="K456" s="120"/>
      <c r="L456" s="108"/>
      <c r="M456" s="101" t="s">
        <v>647</v>
      </c>
    </row>
    <row r="457" spans="1:13" x14ac:dyDescent="0.25">
      <c r="A457" s="101"/>
      <c r="B457" s="101" t="s">
        <v>921</v>
      </c>
      <c r="C457" s="101" t="s">
        <v>15</v>
      </c>
      <c r="D457" s="152">
        <f>IFERROR(INDEX('BD Rendimientos'!G:G,MATCH("03.03.09|Maxicril Caneca|Uni.|materiales",'BD Rendimientos'!L:L,0)),"")</f>
        <v>1.3904547162720781E-2</v>
      </c>
      <c r="E457" s="161">
        <f>IFERROR(INDEX('BD Materiales'!D:D,MATCH("Maxicril Caneca",'BD Materiales'!B:B,0)),"")</f>
        <v>103.07</v>
      </c>
      <c r="F457" s="170">
        <f>IFERROR(D457*E457,"")</f>
        <v>1.4331416760616309</v>
      </c>
      <c r="G457" s="120"/>
      <c r="H457" s="108"/>
      <c r="I457" s="120">
        <v>0.37</v>
      </c>
      <c r="J457" s="108">
        <v>101.57</v>
      </c>
      <c r="K457" s="120"/>
      <c r="L457" s="108"/>
      <c r="M457" s="101" t="s">
        <v>647</v>
      </c>
    </row>
    <row r="458" spans="1:13" x14ac:dyDescent="0.25">
      <c r="A458" s="101"/>
      <c r="B458" s="101" t="s">
        <v>923</v>
      </c>
      <c r="C458" s="101" t="s">
        <v>15</v>
      </c>
      <c r="D458" s="152">
        <f>IFERROR(INDEX('BD Rendimientos'!G:G,MATCH("03.03.09|Maxicril Galon|Uni.|materiales",'BD Rendimientos'!L:L,0)),"")</f>
        <v>1.3904547162720781E-2</v>
      </c>
      <c r="E458" s="161">
        <f>IFERROR(INDEX('BD Materiales'!D:D,MATCH("Maxicril Galon",'BD Materiales'!B:B,0)),"")</f>
        <v>27</v>
      </c>
      <c r="F458" s="170">
        <f>IFERROR(D458*E458,"")</f>
        <v>0.37542277339346108</v>
      </c>
      <c r="G458" s="120"/>
      <c r="H458" s="108"/>
      <c r="I458" s="120">
        <v>0.37</v>
      </c>
      <c r="J458" s="108">
        <v>27</v>
      </c>
      <c r="K458" s="120"/>
      <c r="L458" s="108"/>
      <c r="M458" s="101" t="s">
        <v>647</v>
      </c>
    </row>
    <row r="459" spans="1:13" x14ac:dyDescent="0.25">
      <c r="A459" s="101"/>
      <c r="B459" s="101" t="s">
        <v>145</v>
      </c>
      <c r="C459" s="101" t="s">
        <v>144</v>
      </c>
      <c r="D459" s="152">
        <f>IFERROR(INDEX('BD Rendimientos'!G:G,MATCH("03.03.09|Plastico Negro 1.5 mts (Plastico Negro 1.5 mts (2.20 mts x kg) (45 kilos))|rollo|materiales",'BD Rendimientos'!L:L,0)),"")</f>
        <v>1.1273957158962795E-2</v>
      </c>
      <c r="E459" s="161">
        <f>IFERROR(INDEX('BD Materiales'!D:D,MATCH("Plastico Negro 1.5 mts (Plastico Negro 1.5 mts (2.20 mts x kg) (45 kilos))",'BD Materiales'!B:B,0)),"")</f>
        <v>67.732222222222219</v>
      </c>
      <c r="F459" s="170">
        <f>IFERROR(D459*E459,"")</f>
        <v>0.76361017161468114</v>
      </c>
      <c r="G459" s="120"/>
      <c r="H459" s="108"/>
      <c r="I459" s="120">
        <v>0.3</v>
      </c>
      <c r="J459" s="108">
        <v>68.77</v>
      </c>
      <c r="K459" s="120"/>
      <c r="L459" s="108"/>
      <c r="M459" s="101" t="s">
        <v>647</v>
      </c>
    </row>
    <row r="460" spans="1:13" x14ac:dyDescent="0.25">
      <c r="B460" t="s">
        <v>603</v>
      </c>
      <c r="C460" t="s">
        <v>6</v>
      </c>
      <c r="D460" s="150">
        <f>IFERROR(INDEX('BD Rendimientos'!G:G,MATCH("03.03.09|Polvo Azul|m3|materiales",'BD Rendimientos'!L:L,0)),"")</f>
        <v>4.6238601339223098E-2</v>
      </c>
      <c r="E460" s="159">
        <f>IFERROR(INDEX('BD Materiales'!D:D,MATCH("Polvo Azul",'BD Materiales'!B:B,0)),"")</f>
        <v>14.547574523429788</v>
      </c>
      <c r="F460" s="168">
        <f>IFERROR(D460*E460,"")</f>
        <v>0.67265949884150844</v>
      </c>
      <c r="G460" s="118">
        <v>0.08</v>
      </c>
      <c r="H460" s="106">
        <v>12.25</v>
      </c>
      <c r="I460" s="118">
        <v>2.39</v>
      </c>
      <c r="J460" s="106">
        <v>17.03</v>
      </c>
      <c r="K460" s="118"/>
      <c r="L460" s="106"/>
      <c r="M460" t="s">
        <v>1920</v>
      </c>
    </row>
    <row r="461" spans="1:13" x14ac:dyDescent="0.25">
      <c r="A461" s="99" t="s">
        <v>5</v>
      </c>
      <c r="B461" s="99"/>
      <c r="C461" s="99"/>
      <c r="D461" s="149"/>
      <c r="E461" s="158"/>
      <c r="F461" s="167"/>
      <c r="G461" s="117"/>
      <c r="H461" s="105"/>
      <c r="I461" s="117"/>
      <c r="J461" s="105"/>
      <c r="K461" s="117"/>
      <c r="L461" s="105"/>
      <c r="M461" s="99"/>
    </row>
    <row r="462" spans="1:13" x14ac:dyDescent="0.25">
      <c r="B462" t="s">
        <v>311</v>
      </c>
      <c r="C462" t="s">
        <v>6</v>
      </c>
      <c r="D462" s="150">
        <f>IFERROR(INDEX('BD Rendimientos'!G:G,MATCH("03.03.09|M. Hormigón En Cubierta Plana F'c=210kg/Cm²|m3|mano_obra",'BD Rendimientos'!L:L,0)),"")</f>
        <v>1</v>
      </c>
      <c r="E462" s="159">
        <f>IFERROR(INDEX('BD Mano de Obra'!D:D,MATCH("M. Hormigón En Cubierta Plana F'c=210kg/Cm²",'BD Mano de Obra'!B:B,0)),"")</f>
        <v>35</v>
      </c>
      <c r="F462" s="168">
        <f>IFERROR(D462*E462,"")</f>
        <v>35</v>
      </c>
      <c r="G462" s="118">
        <v>30.06</v>
      </c>
      <c r="H462" s="106">
        <v>37</v>
      </c>
      <c r="I462" s="118">
        <v>26.61</v>
      </c>
      <c r="J462" s="106">
        <v>33</v>
      </c>
      <c r="K462" s="118"/>
      <c r="L462" s="106"/>
    </row>
    <row r="463" spans="1:13" x14ac:dyDescent="0.25">
      <c r="A463" s="99" t="s">
        <v>2</v>
      </c>
      <c r="B463" s="99"/>
      <c r="C463" s="99"/>
      <c r="D463" s="149"/>
      <c r="E463" s="158"/>
      <c r="F463" s="167"/>
      <c r="G463" s="117"/>
      <c r="H463" s="105"/>
      <c r="I463" s="117"/>
      <c r="J463" s="105"/>
      <c r="K463" s="117"/>
      <c r="L463" s="105"/>
      <c r="M463" s="99"/>
    </row>
    <row r="464" spans="1:13" x14ac:dyDescent="0.25">
      <c r="A464" s="101"/>
      <c r="B464" s="101" t="s">
        <v>1184</v>
      </c>
      <c r="C464" s="101" t="s">
        <v>15</v>
      </c>
      <c r="D464" s="152">
        <f>IFERROR(INDEX('BD Rendimientos'!G:G,MATCH("03.03.09|Alquiler Rotomartillo|Uni.|equipo",'BD Rendimientos'!L:L,0)),"")</f>
        <v>6.6533599467731214E-2</v>
      </c>
      <c r="E464" s="161">
        <f>IFERROR(INDEX('BD Equipo'!D:D,MATCH("Alquiler Rotomartillo",'BD Equipo'!B:B,0)),"")</f>
        <v>31.25</v>
      </c>
      <c r="F464" s="170">
        <f>IFERROR(D464*E464,"")</f>
        <v>2.0791749833666002</v>
      </c>
      <c r="G464" s="120">
        <v>2</v>
      </c>
      <c r="H464" s="108">
        <v>31.25</v>
      </c>
      <c r="I464" s="120"/>
      <c r="J464" s="108"/>
      <c r="K464" s="120"/>
      <c r="L464" s="108"/>
      <c r="M464" s="101" t="s">
        <v>647</v>
      </c>
    </row>
    <row r="465" spans="1:13" x14ac:dyDescent="0.25">
      <c r="B465" t="s">
        <v>1200</v>
      </c>
      <c r="C465" t="s">
        <v>15</v>
      </c>
      <c r="D465" s="150">
        <f>IFERROR(INDEX('BD Rendimientos'!G:G,MATCH("03.03.09|Alquiler vibrador|Uni.|equipo",'BD Rendimientos'!L:L,0)),"")</f>
        <v>5.2056728332136933E-2</v>
      </c>
      <c r="E465" s="159">
        <f>IFERROR(INDEX('BD Equipo'!D:D,MATCH("Alquiler vibrador",'BD Equipo'!B:B,0)),"")</f>
        <v>17.86000000000001</v>
      </c>
      <c r="F465" s="168">
        <f>IFERROR(D465*E465,"")</f>
        <v>0.92973316801196615</v>
      </c>
      <c r="G465" s="118">
        <v>2</v>
      </c>
      <c r="H465" s="106">
        <v>17.86</v>
      </c>
      <c r="I465" s="118">
        <v>1</v>
      </c>
      <c r="J465" s="106">
        <v>17.86</v>
      </c>
      <c r="K465" s="118"/>
      <c r="L465" s="106"/>
    </row>
    <row r="466" spans="1:13" x14ac:dyDescent="0.25">
      <c r="A466" s="101"/>
      <c r="B466" s="101" t="s">
        <v>1203</v>
      </c>
      <c r="C466" s="101" t="s">
        <v>6</v>
      </c>
      <c r="D466" s="152">
        <f>IFERROR(INDEX('BD Rendimientos'!G:G,MATCH("03.03.09|Bomba Estacionaria|m3|equipo",'BD Rendimientos'!L:L,0)),"")</f>
        <v>0.33821871476888388</v>
      </c>
      <c r="E466" s="161">
        <f>IFERROR(INDEX('BD Equipo'!D:D,MATCH("Bomba Estacionaria",'BD Equipo'!B:B,0)),"")</f>
        <v>8</v>
      </c>
      <c r="F466" s="170">
        <f>IFERROR(D466*E466,"")</f>
        <v>2.705749718151071</v>
      </c>
      <c r="G466" s="120"/>
      <c r="H466" s="108"/>
      <c r="I466" s="120">
        <v>9</v>
      </c>
      <c r="J466" s="108">
        <v>8</v>
      </c>
      <c r="K466" s="120"/>
      <c r="L466" s="108"/>
      <c r="M466" s="101" t="s">
        <v>647</v>
      </c>
    </row>
    <row r="467" spans="1:13" ht="16.5" thickBot="1" x14ac:dyDescent="0.3">
      <c r="A467" s="100"/>
      <c r="B467" s="100" t="s">
        <v>645</v>
      </c>
      <c r="C467" s="100" t="s">
        <v>6</v>
      </c>
      <c r="D467" s="151"/>
      <c r="E467" s="160"/>
      <c r="F467" s="169">
        <f>SUM(F452,F453,F454,F455,F456,F457,F458,F459,F460,F462,F464,F465,F466)</f>
        <v>90.201550771252755</v>
      </c>
      <c r="G467" s="119"/>
      <c r="H467" s="107">
        <v>103.11343978709201</v>
      </c>
      <c r="I467" s="119"/>
      <c r="J467" s="107">
        <v>68.681954152574207</v>
      </c>
      <c r="K467" s="119"/>
      <c r="L467" s="107"/>
      <c r="M467" s="100" t="s">
        <v>646</v>
      </c>
    </row>
    <row r="468" spans="1:13" ht="15.75" thickTop="1" x14ac:dyDescent="0.25">
      <c r="D468" s="150"/>
      <c r="E468" s="159"/>
      <c r="F468" s="168"/>
      <c r="G468" s="118"/>
      <c r="H468" s="106"/>
      <c r="I468" s="118"/>
      <c r="J468" s="106"/>
      <c r="K468" s="118"/>
      <c r="L468" s="106"/>
    </row>
    <row r="469" spans="1:13" ht="15.75" thickBot="1" x14ac:dyDescent="0.3">
      <c r="A469" s="96" t="s">
        <v>352</v>
      </c>
      <c r="B469" s="96"/>
      <c r="C469" s="96"/>
      <c r="D469" s="155"/>
      <c r="E469" s="164"/>
      <c r="F469" s="173"/>
      <c r="G469" s="123"/>
      <c r="H469" s="111"/>
      <c r="I469" s="123"/>
      <c r="J469" s="111"/>
      <c r="K469" s="123"/>
      <c r="L469" s="111"/>
      <c r="M469" s="96"/>
    </row>
    <row r="470" spans="1:13" ht="15.75" thickTop="1" x14ac:dyDescent="0.25">
      <c r="A470" s="97" t="s">
        <v>309</v>
      </c>
      <c r="B470" s="97" t="s">
        <v>308</v>
      </c>
      <c r="C470" s="97" t="s">
        <v>3</v>
      </c>
      <c r="D470" s="148" t="s">
        <v>635</v>
      </c>
      <c r="E470" s="157" t="s">
        <v>636</v>
      </c>
      <c r="F470" s="166" t="s">
        <v>637</v>
      </c>
      <c r="G470" s="116" t="s">
        <v>638</v>
      </c>
      <c r="H470" s="104" t="s">
        <v>639</v>
      </c>
      <c r="I470" s="116" t="s">
        <v>640</v>
      </c>
      <c r="J470" s="104" t="s">
        <v>641</v>
      </c>
      <c r="K470" s="116" t="s">
        <v>642</v>
      </c>
      <c r="L470" s="104" t="s">
        <v>643</v>
      </c>
      <c r="M470" s="97" t="s">
        <v>644</v>
      </c>
    </row>
    <row r="471" spans="1:13" x14ac:dyDescent="0.25">
      <c r="A471" s="99" t="s">
        <v>11</v>
      </c>
      <c r="B471" s="99"/>
      <c r="C471" s="99"/>
      <c r="D471" s="149"/>
      <c r="E471" s="158"/>
      <c r="F471" s="167"/>
      <c r="G471" s="117"/>
      <c r="H471" s="105"/>
      <c r="I471" s="117"/>
      <c r="J471" s="105"/>
      <c r="K471" s="117"/>
      <c r="L471" s="105"/>
      <c r="M471" s="99"/>
    </row>
    <row r="472" spans="1:13" x14ac:dyDescent="0.25">
      <c r="A472" s="101"/>
      <c r="B472" s="101" t="s">
        <v>749</v>
      </c>
      <c r="C472" s="101" t="s">
        <v>15</v>
      </c>
      <c r="D472" s="152">
        <f>IFERROR(INDEX('BD Rendimientos'!G:G,MATCH("03.03.11|Broca Concreto 1/2X30cm|Uni.|materiales",'BD Rendimientos'!L:L,0)),"")</f>
        <v>1.5952949434467942E-2</v>
      </c>
      <c r="E472" s="161">
        <f>IFERROR(INDEX('BD Materiales'!D:D,MATCH("Broca Concreto 1/2X30cm",'BD Materiales'!B:B,0)),"")</f>
        <v>5.0999999999999996</v>
      </c>
      <c r="F472" s="170">
        <f>IFERROR(D472*E472,"")</f>
        <v>8.1360042115786499E-2</v>
      </c>
      <c r="G472" s="120">
        <v>3</v>
      </c>
      <c r="H472" s="108">
        <v>5.0999999999999996</v>
      </c>
      <c r="I472" s="120"/>
      <c r="J472" s="108"/>
      <c r="K472" s="120"/>
      <c r="L472" s="108"/>
      <c r="M472" s="101" t="s">
        <v>647</v>
      </c>
    </row>
    <row r="473" spans="1:13" x14ac:dyDescent="0.25">
      <c r="A473" s="101"/>
      <c r="B473" s="101" t="s">
        <v>790</v>
      </c>
      <c r="C473" s="101" t="s">
        <v>8</v>
      </c>
      <c r="D473" s="152">
        <f>IFERROR(INDEX('BD Rendimientos'!G:G,MATCH("03.03.11|Cemento Campeón|qq|materiales",'BD Rendimientos'!L:L,0)),"")</f>
        <v>8.5082396983829023E-2</v>
      </c>
      <c r="E473" s="161">
        <f>IFERROR(INDEX('BD Materiales'!D:D,MATCH("Cemento Campeón",'BD Materiales'!B:B,0)),"")</f>
        <v>6.7</v>
      </c>
      <c r="F473" s="170">
        <f>IFERROR(D473*E473,"")</f>
        <v>0.57005205979165452</v>
      </c>
      <c r="G473" s="120">
        <v>16</v>
      </c>
      <c r="H473" s="108">
        <v>6.59</v>
      </c>
      <c r="I473" s="120"/>
      <c r="J473" s="108"/>
      <c r="K473" s="120"/>
      <c r="L473" s="108"/>
      <c r="M473" s="101" t="s">
        <v>647</v>
      </c>
    </row>
    <row r="474" spans="1:13" x14ac:dyDescent="0.25">
      <c r="A474" s="101"/>
      <c r="B474" s="101" t="s">
        <v>967</v>
      </c>
      <c r="C474" s="101" t="s">
        <v>6</v>
      </c>
      <c r="D474" s="152">
        <f>IFERROR(INDEX('BD Rendimientos'!G:G,MATCH("03.03.11|Polvo Rosado|m3|materiales",'BD Rendimientos'!L:L,0)),"")</f>
        <v>6.3811797737871765E-3</v>
      </c>
      <c r="E474" s="161">
        <f>IFERROR(INDEX('BD Materiales'!D:D,MATCH("Polvo Rosado",'BD Materiales'!B:B,0)),"")</f>
        <v>13.75</v>
      </c>
      <c r="F474" s="170">
        <f>IFERROR(D474*E474,"")</f>
        <v>8.7741221889573673E-2</v>
      </c>
      <c r="G474" s="120">
        <v>1.2</v>
      </c>
      <c r="H474" s="108">
        <v>13.75</v>
      </c>
      <c r="I474" s="120"/>
      <c r="J474" s="108"/>
      <c r="K474" s="120"/>
      <c r="L474" s="108"/>
      <c r="M474" s="101" t="s">
        <v>647</v>
      </c>
    </row>
    <row r="475" spans="1:13" x14ac:dyDescent="0.25">
      <c r="A475" s="101"/>
      <c r="B475" s="101" t="s">
        <v>602</v>
      </c>
      <c r="C475" s="101" t="s">
        <v>6</v>
      </c>
      <c r="D475" s="152">
        <f>IFERROR(INDEX('BD Rendimientos'!G:G,MATCH("03.03.11|Ripio|m3|materiales",'BD Rendimientos'!L:L,0)),"")</f>
        <v>4.2541198491914513E-3</v>
      </c>
      <c r="E475" s="161">
        <f>IFERROR(INDEX('BD Materiales'!D:D,MATCH("Ripio",'BD Materiales'!B:B,0)),"")</f>
        <v>13.895122287420717</v>
      </c>
      <c r="F475" s="170">
        <f>IFERROR(D475*E475,"")</f>
        <v>5.9111515529858993E-2</v>
      </c>
      <c r="G475" s="120">
        <v>0.8</v>
      </c>
      <c r="H475" s="108">
        <v>13.73</v>
      </c>
      <c r="I475" s="120"/>
      <c r="J475" s="108"/>
      <c r="K475" s="120"/>
      <c r="L475" s="108"/>
      <c r="M475" s="101" t="s">
        <v>647</v>
      </c>
    </row>
    <row r="476" spans="1:13" x14ac:dyDescent="0.25">
      <c r="A476" s="101"/>
      <c r="B476" s="101" t="s">
        <v>997</v>
      </c>
      <c r="C476" s="101" t="s">
        <v>15</v>
      </c>
      <c r="D476" s="152">
        <f>IFERROR(INDEX('BD Rendimientos'!G:G,MATCH("03.03.11|Sika Anchofix-2 300ml|Uni.|materiales",'BD Rendimientos'!L:L,0)),"")</f>
        <v>2.658824905744657E-2</v>
      </c>
      <c r="E476" s="161">
        <f>IFERROR(INDEX('BD Materiales'!D:D,MATCH("Sika Anchofix-2 300ml",'BD Materiales'!B:B,0)),"")</f>
        <v>25.139090909090907</v>
      </c>
      <c r="F476" s="170">
        <f>IFERROR(D476*E476,"")</f>
        <v>0.66840441016869989</v>
      </c>
      <c r="G476" s="120">
        <v>5</v>
      </c>
      <c r="H476" s="108">
        <v>26.53</v>
      </c>
      <c r="I476" s="120"/>
      <c r="J476" s="108"/>
      <c r="K476" s="120"/>
      <c r="L476" s="108"/>
      <c r="M476" s="101" t="s">
        <v>647</v>
      </c>
    </row>
    <row r="477" spans="1:13" x14ac:dyDescent="0.25">
      <c r="A477" s="99" t="s">
        <v>5</v>
      </c>
      <c r="B477" s="99"/>
      <c r="C477" s="99"/>
      <c r="D477" s="149"/>
      <c r="E477" s="158"/>
      <c r="F477" s="167"/>
      <c r="G477" s="117"/>
      <c r="H477" s="105"/>
      <c r="I477" s="117"/>
      <c r="J477" s="105"/>
      <c r="K477" s="117"/>
      <c r="L477" s="105"/>
      <c r="M477" s="99"/>
    </row>
    <row r="478" spans="1:13" x14ac:dyDescent="0.25">
      <c r="B478" t="s">
        <v>306</v>
      </c>
      <c r="C478" t="s">
        <v>3</v>
      </c>
      <c r="D478" s="150">
        <f>IFERROR(INDEX('BD Rendimientos'!G:G,MATCH("03.03.11|M. Hormigón en dintel descolgado perimetral|ml|mano_obra",'BD Rendimientos'!L:L,0)),"")</f>
        <v>1</v>
      </c>
      <c r="E478" s="159">
        <f>IFERROR(INDEX('BD Mano de Obra'!D:D,MATCH("M. Hormigón en dintel descolgado perimetral",'BD Mano de Obra'!B:B,0)),"")</f>
        <v>4.25</v>
      </c>
      <c r="F478" s="168">
        <f>IFERROR(D478*E478,"")</f>
        <v>4.25</v>
      </c>
      <c r="G478" s="118">
        <v>188.053</v>
      </c>
      <c r="H478" s="106">
        <v>4.25</v>
      </c>
      <c r="I478" s="118">
        <v>10.5</v>
      </c>
      <c r="J478" s="106">
        <v>4.25</v>
      </c>
      <c r="K478" s="118"/>
      <c r="L478" s="106"/>
    </row>
    <row r="479" spans="1:13" x14ac:dyDescent="0.25">
      <c r="A479" s="99" t="s">
        <v>2</v>
      </c>
      <c r="B479" s="99"/>
      <c r="C479" s="99"/>
      <c r="D479" s="149"/>
      <c r="E479" s="158"/>
      <c r="F479" s="167"/>
      <c r="G479" s="117"/>
      <c r="H479" s="105"/>
      <c r="I479" s="117"/>
      <c r="J479" s="105"/>
      <c r="K479" s="117"/>
      <c r="L479" s="105"/>
      <c r="M479" s="99"/>
    </row>
    <row r="480" spans="1:13" x14ac:dyDescent="0.25">
      <c r="A480" s="101"/>
      <c r="B480" s="101" t="s">
        <v>1176</v>
      </c>
      <c r="C480" s="101" t="s">
        <v>15</v>
      </c>
      <c r="D480" s="152">
        <f>IFERROR(INDEX('BD Rendimientos'!G:G,MATCH("03.03.11|Alquiler Andamio|Uni.|equipo",'BD Rendimientos'!L:L,0)),"")</f>
        <v>1.8718127336442387</v>
      </c>
      <c r="E480" s="161">
        <f>IFERROR(INDEX('BD Equipo'!D:D,MATCH("Alquiler Andamio",'BD Equipo'!B:B,0)),"")</f>
        <v>0.35957142857142865</v>
      </c>
      <c r="F480" s="170">
        <f>IFERROR(D480*E480,"")</f>
        <v>0.67305037865465001</v>
      </c>
      <c r="G480" s="120">
        <v>352</v>
      </c>
      <c r="H480" s="108">
        <v>0.35699999999999998</v>
      </c>
      <c r="I480" s="120"/>
      <c r="J480" s="108"/>
      <c r="K480" s="120"/>
      <c r="L480" s="108"/>
      <c r="M480" s="101" t="s">
        <v>647</v>
      </c>
    </row>
    <row r="481" spans="1:13" x14ac:dyDescent="0.25">
      <c r="A481" s="101"/>
      <c r="B481" s="101" t="s">
        <v>1198</v>
      </c>
      <c r="C481" s="101" t="s">
        <v>15</v>
      </c>
      <c r="D481" s="152">
        <f>IFERROR(INDEX('BD Rendimientos'!G:G,MATCH("03.03.11|Alquiler de Tablones|Uni.|equipo",'BD Rendimientos'!L:L,0)),"")</f>
        <v>1.8718127336442387</v>
      </c>
      <c r="E481" s="161">
        <f>IFERROR(INDEX('BD Equipo'!D:D,MATCH("Alquiler de Tablones",'BD Equipo'!B:B,0)),"")</f>
        <v>8.9948260869565241E-2</v>
      </c>
      <c r="F481" s="170">
        <f>IFERROR(D481*E481,"")</f>
        <v>0.16836630006480602</v>
      </c>
      <c r="G481" s="120">
        <v>352</v>
      </c>
      <c r="H481" s="108">
        <v>8.9510000000000006E-2</v>
      </c>
      <c r="I481" s="120"/>
      <c r="J481" s="108"/>
      <c r="K481" s="120"/>
      <c r="L481" s="108"/>
      <c r="M481" s="101" t="s">
        <v>647</v>
      </c>
    </row>
    <row r="482" spans="1:13" ht="16.5" thickBot="1" x14ac:dyDescent="0.3">
      <c r="A482" s="100"/>
      <c r="B482" s="100" t="s">
        <v>645</v>
      </c>
      <c r="C482" s="100" t="s">
        <v>3</v>
      </c>
      <c r="D482" s="151"/>
      <c r="E482" s="160"/>
      <c r="F482" s="169">
        <f>SUM(F472,F473,F474,F475,F476,F478,F480,F481)</f>
        <v>6.5580859282150294</v>
      </c>
      <c r="G482" s="119"/>
      <c r="H482" s="107">
        <v>6.5793726768517402</v>
      </c>
      <c r="I482" s="119"/>
      <c r="J482" s="107">
        <v>4.25</v>
      </c>
      <c r="K482" s="119"/>
      <c r="L482" s="107"/>
      <c r="M482" s="100" t="s">
        <v>646</v>
      </c>
    </row>
    <row r="483" spans="1:13" ht="15.75" thickTop="1" x14ac:dyDescent="0.25">
      <c r="D483" s="150"/>
      <c r="E483" s="159"/>
      <c r="F483" s="168"/>
      <c r="G483" s="118"/>
      <c r="H483" s="106"/>
      <c r="I483" s="118"/>
      <c r="J483" s="106"/>
      <c r="K483" s="118"/>
      <c r="L483" s="106"/>
    </row>
    <row r="484" spans="1:13" ht="15.75" thickBot="1" x14ac:dyDescent="0.3">
      <c r="A484" s="96" t="s">
        <v>352</v>
      </c>
      <c r="B484" s="96"/>
      <c r="C484" s="96"/>
      <c r="D484" s="155"/>
      <c r="E484" s="164"/>
      <c r="F484" s="173"/>
      <c r="G484" s="123"/>
      <c r="H484" s="111"/>
      <c r="I484" s="123"/>
      <c r="J484" s="111"/>
      <c r="K484" s="123"/>
      <c r="L484" s="111"/>
      <c r="M484" s="96"/>
    </row>
    <row r="485" spans="1:13" ht="15.75" thickTop="1" x14ac:dyDescent="0.25">
      <c r="A485" s="97" t="s">
        <v>305</v>
      </c>
      <c r="B485" s="97" t="s">
        <v>304</v>
      </c>
      <c r="C485" s="97" t="s">
        <v>88</v>
      </c>
      <c r="D485" s="148" t="s">
        <v>635</v>
      </c>
      <c r="E485" s="157" t="s">
        <v>636</v>
      </c>
      <c r="F485" s="166" t="s">
        <v>637</v>
      </c>
      <c r="G485" s="116" t="s">
        <v>638</v>
      </c>
      <c r="H485" s="104" t="s">
        <v>639</v>
      </c>
      <c r="I485" s="116" t="s">
        <v>640</v>
      </c>
      <c r="J485" s="104" t="s">
        <v>641</v>
      </c>
      <c r="K485" s="116" t="s">
        <v>642</v>
      </c>
      <c r="L485" s="104" t="s">
        <v>643</v>
      </c>
      <c r="M485" s="97" t="s">
        <v>644</v>
      </c>
    </row>
    <row r="486" spans="1:13" x14ac:dyDescent="0.25">
      <c r="A486" s="99" t="s">
        <v>2</v>
      </c>
      <c r="B486" s="99"/>
      <c r="C486" s="99"/>
      <c r="D486" s="149"/>
      <c r="E486" s="158"/>
      <c r="F486" s="167"/>
      <c r="G486" s="117"/>
      <c r="H486" s="105"/>
      <c r="I486" s="117"/>
      <c r="J486" s="105"/>
      <c r="K486" s="117"/>
      <c r="L486" s="105"/>
      <c r="M486" s="99"/>
    </row>
    <row r="487" spans="1:13" x14ac:dyDescent="0.25">
      <c r="B487" t="s">
        <v>329</v>
      </c>
      <c r="C487" t="s">
        <v>88</v>
      </c>
      <c r="D487" s="150">
        <f>IFERROR(INDEX('BD Rendimientos'!G:G,MATCH("03.03.15|M. Pruebas De Laboratorio|Glb|equipo",'BD Rendimientos'!L:L,0)),"")</f>
        <v>1</v>
      </c>
      <c r="E487" s="159">
        <f>IFERROR(INDEX('BD Equipo'!D:D,MATCH("M. Pruebas De Laboratorio",'BD Equipo'!B:B,0)),"")</f>
        <v>60</v>
      </c>
      <c r="F487" s="168">
        <f>IFERROR(D487*E487,"")</f>
        <v>60</v>
      </c>
      <c r="G487" s="118">
        <v>1</v>
      </c>
      <c r="H487" s="106">
        <v>60</v>
      </c>
      <c r="I487" s="118">
        <v>1</v>
      </c>
      <c r="J487" s="106">
        <v>40</v>
      </c>
      <c r="K487" s="118">
        <v>1</v>
      </c>
      <c r="L487" s="106">
        <v>80</v>
      </c>
    </row>
    <row r="488" spans="1:13" ht="16.5" thickBot="1" x14ac:dyDescent="0.3">
      <c r="A488" s="100"/>
      <c r="B488" s="100" t="s">
        <v>645</v>
      </c>
      <c r="C488" s="100" t="s">
        <v>88</v>
      </c>
      <c r="D488" s="151"/>
      <c r="E488" s="160"/>
      <c r="F488" s="169">
        <f>SUM(F487)</f>
        <v>60</v>
      </c>
      <c r="G488" s="119"/>
      <c r="H488" s="107">
        <v>60</v>
      </c>
      <c r="I488" s="119"/>
      <c r="J488" s="107">
        <v>40</v>
      </c>
      <c r="K488" s="119"/>
      <c r="L488" s="107">
        <v>80</v>
      </c>
      <c r="M488" s="100" t="s">
        <v>646</v>
      </c>
    </row>
    <row r="489" spans="1:13" ht="15.75" thickTop="1" x14ac:dyDescent="0.25">
      <c r="D489" s="150"/>
      <c r="E489" s="159"/>
      <c r="F489" s="168"/>
      <c r="G489" s="118"/>
      <c r="H489" s="106"/>
      <c r="I489" s="118"/>
      <c r="J489" s="106"/>
      <c r="K489" s="118"/>
      <c r="L489" s="106"/>
    </row>
    <row r="490" spans="1:13" ht="15.75" thickBot="1" x14ac:dyDescent="0.3">
      <c r="A490" s="96" t="s">
        <v>352</v>
      </c>
      <c r="B490" s="96"/>
      <c r="C490" s="96"/>
      <c r="D490" s="155"/>
      <c r="E490" s="164"/>
      <c r="F490" s="173"/>
      <c r="G490" s="123"/>
      <c r="H490" s="111"/>
      <c r="I490" s="123"/>
      <c r="J490" s="111"/>
      <c r="K490" s="123"/>
      <c r="L490" s="111"/>
      <c r="M490" s="96"/>
    </row>
    <row r="491" spans="1:13" ht="15.75" thickTop="1" x14ac:dyDescent="0.25">
      <c r="A491" s="98" t="s">
        <v>302</v>
      </c>
      <c r="B491" s="98" t="s">
        <v>301</v>
      </c>
      <c r="C491" s="98" t="s">
        <v>6</v>
      </c>
      <c r="D491" s="154" t="s">
        <v>635</v>
      </c>
      <c r="E491" s="163" t="s">
        <v>636</v>
      </c>
      <c r="F491" s="172" t="s">
        <v>637</v>
      </c>
      <c r="G491" s="122" t="s">
        <v>638</v>
      </c>
      <c r="H491" s="110" t="s">
        <v>639</v>
      </c>
      <c r="I491" s="122" t="s">
        <v>640</v>
      </c>
      <c r="J491" s="110" t="s">
        <v>641</v>
      </c>
      <c r="K491" s="122" t="s">
        <v>642</v>
      </c>
      <c r="L491" s="110" t="s">
        <v>643</v>
      </c>
      <c r="M491" s="98" t="s">
        <v>668</v>
      </c>
    </row>
    <row r="492" spans="1:13" x14ac:dyDescent="0.25">
      <c r="A492" s="99" t="s">
        <v>11</v>
      </c>
      <c r="B492" s="99"/>
      <c r="C492" s="99"/>
      <c r="D492" s="149"/>
      <c r="E492" s="158"/>
      <c r="F492" s="167"/>
      <c r="G492" s="117"/>
      <c r="H492" s="105"/>
      <c r="I492" s="117"/>
      <c r="J492" s="105"/>
      <c r="K492" s="117"/>
      <c r="L492" s="105"/>
      <c r="M492" s="99"/>
    </row>
    <row r="493" spans="1:13" x14ac:dyDescent="0.25">
      <c r="A493" s="101"/>
      <c r="B493" s="101" t="s">
        <v>790</v>
      </c>
      <c r="C493" s="101" t="s">
        <v>8</v>
      </c>
      <c r="D493" s="152">
        <f>IFERROR(INDEX('BD Rendimientos'!G:G,MATCH("03.03.21|Cemento Campeón|qq|materiales",'BD Rendimientos'!L:L,0)),"")</f>
        <v>2.5062656641604009</v>
      </c>
      <c r="E493" s="161">
        <f>IFERROR(INDEX('BD Materiales'!D:D,MATCH("Cemento Campeón",'BD Materiales'!B:B,0)),"")</f>
        <v>6.7</v>
      </c>
      <c r="F493" s="170">
        <f>IFERROR(D493*E493,"")</f>
        <v>16.791979949874687</v>
      </c>
      <c r="G493" s="120"/>
      <c r="H493" s="108"/>
      <c r="I493" s="120">
        <v>20</v>
      </c>
      <c r="J493" s="108">
        <v>6.82</v>
      </c>
      <c r="K493" s="120"/>
      <c r="L493" s="108"/>
      <c r="M493" s="101" t="s">
        <v>647</v>
      </c>
    </row>
    <row r="494" spans="1:13" x14ac:dyDescent="0.25">
      <c r="A494" s="101"/>
      <c r="B494" s="101" t="s">
        <v>603</v>
      </c>
      <c r="C494" s="101" t="s">
        <v>6</v>
      </c>
      <c r="D494" s="152">
        <f>IFERROR(INDEX('BD Rendimientos'!G:G,MATCH("03.03.21|Polvo Azul|m3|materiales",'BD Rendimientos'!L:L,0)),"")</f>
        <v>0.35588972431077692</v>
      </c>
      <c r="E494" s="161">
        <f>IFERROR(INDEX('BD Materiales'!D:D,MATCH("Polvo Azul",'BD Materiales'!B:B,0)),"")</f>
        <v>14.547574523429788</v>
      </c>
      <c r="F494" s="170">
        <f>IFERROR(D494*E494,"")</f>
        <v>5.1773322865339093</v>
      </c>
      <c r="G494" s="120"/>
      <c r="H494" s="108"/>
      <c r="I494" s="120">
        <v>2.84</v>
      </c>
      <c r="J494" s="108">
        <v>12.5</v>
      </c>
      <c r="K494" s="120"/>
      <c r="L494" s="108"/>
      <c r="M494" s="101" t="s">
        <v>647</v>
      </c>
    </row>
    <row r="495" spans="1:13" x14ac:dyDescent="0.25">
      <c r="A495" s="101"/>
      <c r="B495" s="101" t="s">
        <v>602</v>
      </c>
      <c r="C495" s="101" t="s">
        <v>6</v>
      </c>
      <c r="D495" s="152">
        <f>IFERROR(INDEX('BD Rendimientos'!G:G,MATCH("03.03.21|Ripio|m3|materiales",'BD Rendimientos'!L:L,0)),"")</f>
        <v>0.35588972431077692</v>
      </c>
      <c r="E495" s="161">
        <f>IFERROR(INDEX('BD Materiales'!D:D,MATCH("Ripio",'BD Materiales'!B:B,0)),"")</f>
        <v>13.895122287420717</v>
      </c>
      <c r="F495" s="170">
        <f>IFERROR(D495*E495,"")</f>
        <v>4.9451312401346907</v>
      </c>
      <c r="G495" s="120"/>
      <c r="H495" s="108"/>
      <c r="I495" s="120">
        <v>2.84</v>
      </c>
      <c r="J495" s="108">
        <v>12.5</v>
      </c>
      <c r="K495" s="120"/>
      <c r="L495" s="108"/>
      <c r="M495" s="101" t="s">
        <v>647</v>
      </c>
    </row>
    <row r="496" spans="1:13" x14ac:dyDescent="0.25">
      <c r="A496" s="99" t="s">
        <v>5</v>
      </c>
      <c r="B496" s="99"/>
      <c r="C496" s="99"/>
      <c r="D496" s="149"/>
      <c r="E496" s="158"/>
      <c r="F496" s="167"/>
      <c r="G496" s="117"/>
      <c r="H496" s="105"/>
      <c r="I496" s="117"/>
      <c r="J496" s="105"/>
      <c r="K496" s="117"/>
      <c r="L496" s="105"/>
      <c r="M496" s="99"/>
    </row>
    <row r="497" spans="1:13" x14ac:dyDescent="0.25">
      <c r="A497" s="101"/>
      <c r="B497" s="101" t="s">
        <v>300</v>
      </c>
      <c r="C497" s="101" t="s">
        <v>6</v>
      </c>
      <c r="D497" s="152">
        <f>IFERROR(INDEX('BD Rendimientos'!G:G,MATCH("03.03.21|M. Hormigón en detalle tipo Vigueta|m3|mano_obra",'BD Rendimientos'!L:L,0)),"")</f>
        <v>1</v>
      </c>
      <c r="E497" s="161">
        <f>IFERROR(INDEX('BD Mano de Obra'!D:D,MATCH("M. Hormigón en detalle tipo Vigueta",'BD Mano de Obra'!B:B,0)),"")</f>
        <v>33</v>
      </c>
      <c r="F497" s="170">
        <f>IFERROR(D497*E497,"")</f>
        <v>33</v>
      </c>
      <c r="G497" s="120"/>
      <c r="H497" s="108"/>
      <c r="I497" s="120">
        <v>7.98</v>
      </c>
      <c r="J497" s="108">
        <v>33</v>
      </c>
      <c r="K497" s="120"/>
      <c r="L497" s="108"/>
      <c r="M497" s="101" t="s">
        <v>647</v>
      </c>
    </row>
    <row r="498" spans="1:13" ht="16.5" thickBot="1" x14ac:dyDescent="0.3">
      <c r="A498" s="100"/>
      <c r="B498" s="100" t="s">
        <v>645</v>
      </c>
      <c r="C498" s="100" t="s">
        <v>6</v>
      </c>
      <c r="D498" s="151"/>
      <c r="E498" s="160"/>
      <c r="F498" s="169">
        <f>SUM(F493,F494,F495,F497)</f>
        <v>59.914443476543291</v>
      </c>
      <c r="G498" s="119"/>
      <c r="H498" s="107"/>
      <c r="I498" s="119"/>
      <c r="J498" s="107">
        <v>58.989974937343398</v>
      </c>
      <c r="K498" s="119"/>
      <c r="L498" s="107"/>
      <c r="M498" s="100" t="s">
        <v>646</v>
      </c>
    </row>
    <row r="499" spans="1:13" ht="15.75" thickTop="1" x14ac:dyDescent="0.25">
      <c r="D499" s="150"/>
      <c r="E499" s="159"/>
      <c r="F499" s="168"/>
      <c r="G499" s="118"/>
      <c r="H499" s="106"/>
      <c r="I499" s="118"/>
      <c r="J499" s="106"/>
      <c r="K499" s="118"/>
      <c r="L499" s="106"/>
    </row>
    <row r="500" spans="1:13" ht="15.75" thickBot="1" x14ac:dyDescent="0.3">
      <c r="A500" s="96" t="s">
        <v>352</v>
      </c>
      <c r="B500" s="96"/>
      <c r="C500" s="96"/>
      <c r="D500" s="155"/>
      <c r="E500" s="164"/>
      <c r="F500" s="173"/>
      <c r="G500" s="123"/>
      <c r="H500" s="111"/>
      <c r="I500" s="123"/>
      <c r="J500" s="111"/>
      <c r="K500" s="123"/>
      <c r="L500" s="111"/>
      <c r="M500" s="96"/>
    </row>
    <row r="501" spans="1:13" ht="15.75" thickTop="1" x14ac:dyDescent="0.25">
      <c r="A501" s="98" t="s">
        <v>299</v>
      </c>
      <c r="B501" s="98" t="s">
        <v>298</v>
      </c>
      <c r="C501" s="98" t="s">
        <v>6</v>
      </c>
      <c r="D501" s="154" t="s">
        <v>635</v>
      </c>
      <c r="E501" s="163" t="s">
        <v>636</v>
      </c>
      <c r="F501" s="172" t="s">
        <v>637</v>
      </c>
      <c r="G501" s="122" t="s">
        <v>638</v>
      </c>
      <c r="H501" s="110" t="s">
        <v>639</v>
      </c>
      <c r="I501" s="122" t="s">
        <v>640</v>
      </c>
      <c r="J501" s="110" t="s">
        <v>641</v>
      </c>
      <c r="K501" s="122" t="s">
        <v>642</v>
      </c>
      <c r="L501" s="110" t="s">
        <v>643</v>
      </c>
      <c r="M501" s="98" t="s">
        <v>668</v>
      </c>
    </row>
    <row r="502" spans="1:13" x14ac:dyDescent="0.25">
      <c r="A502" s="99" t="s">
        <v>5</v>
      </c>
      <c r="B502" s="99"/>
      <c r="C502" s="99"/>
      <c r="D502" s="149"/>
      <c r="E502" s="158"/>
      <c r="F502" s="167"/>
      <c r="G502" s="117"/>
      <c r="H502" s="105"/>
      <c r="I502" s="117"/>
      <c r="J502" s="105"/>
      <c r="K502" s="117"/>
      <c r="L502" s="105"/>
      <c r="M502" s="99"/>
    </row>
    <row r="503" spans="1:13" x14ac:dyDescent="0.25">
      <c r="A503" s="101"/>
      <c r="B503" s="101" t="s">
        <v>297</v>
      </c>
      <c r="C503" s="101" t="s">
        <v>6</v>
      </c>
      <c r="D503" s="152">
        <f>IFERROR(INDEX('BD Rendimientos'!G:G,MATCH("03.03.22|M. Hormigón de nivelación de placas metálicas|m3|mano_obra",'BD Rendimientos'!L:L,0)),"")</f>
        <v>1</v>
      </c>
      <c r="E503" s="161">
        <f>IFERROR(INDEX('BD Mano de Obra'!D:D,MATCH("M. Hormigón de nivelación de placas metálicas",'BD Mano de Obra'!B:B,0)),"")</f>
        <v>15</v>
      </c>
      <c r="F503" s="170">
        <f>IFERROR(D503*E503,"")</f>
        <v>15</v>
      </c>
      <c r="G503" s="120"/>
      <c r="H503" s="108"/>
      <c r="I503" s="120">
        <v>0.6</v>
      </c>
      <c r="J503" s="108">
        <v>15</v>
      </c>
      <c r="K503" s="120"/>
      <c r="L503" s="108"/>
      <c r="M503" s="101" t="s">
        <v>647</v>
      </c>
    </row>
    <row r="504" spans="1:13" ht="16.5" thickBot="1" x14ac:dyDescent="0.3">
      <c r="A504" s="100"/>
      <c r="B504" s="100" t="s">
        <v>645</v>
      </c>
      <c r="C504" s="100" t="s">
        <v>6</v>
      </c>
      <c r="D504" s="151"/>
      <c r="E504" s="160"/>
      <c r="F504" s="169">
        <f>SUM(F503)</f>
        <v>15</v>
      </c>
      <c r="G504" s="119"/>
      <c r="H504" s="107"/>
      <c r="I504" s="119"/>
      <c r="J504" s="107">
        <v>15</v>
      </c>
      <c r="K504" s="119"/>
      <c r="L504" s="107"/>
      <c r="M504" s="100" t="s">
        <v>646</v>
      </c>
    </row>
    <row r="505" spans="1:13" ht="15.75" thickTop="1" x14ac:dyDescent="0.25">
      <c r="D505" s="150"/>
      <c r="E505" s="159"/>
      <c r="F505" s="168"/>
      <c r="G505" s="118"/>
      <c r="H505" s="106"/>
      <c r="I505" s="118"/>
      <c r="J505" s="106"/>
      <c r="K505" s="118"/>
      <c r="L505" s="106"/>
    </row>
    <row r="506" spans="1:13" ht="18" thickBot="1" x14ac:dyDescent="0.35">
      <c r="A506" s="95" t="s">
        <v>296</v>
      </c>
      <c r="B506" s="95"/>
      <c r="C506" s="95"/>
      <c r="D506" s="147"/>
      <c r="E506" s="156"/>
      <c r="F506" s="165"/>
      <c r="G506" s="115"/>
      <c r="H506" s="103"/>
      <c r="I506" s="115"/>
      <c r="J506" s="103"/>
      <c r="K506" s="115"/>
      <c r="L506" s="103"/>
      <c r="M506" s="95"/>
    </row>
    <row r="507" spans="1:13" ht="15.75" thickTop="1" x14ac:dyDescent="0.25">
      <c r="A507" s="97" t="s">
        <v>295</v>
      </c>
      <c r="B507" s="97" t="s">
        <v>294</v>
      </c>
      <c r="C507" s="97" t="s">
        <v>130</v>
      </c>
      <c r="D507" s="148" t="s">
        <v>635</v>
      </c>
      <c r="E507" s="157" t="s">
        <v>636</v>
      </c>
      <c r="F507" s="166" t="s">
        <v>637</v>
      </c>
      <c r="G507" s="116" t="s">
        <v>638</v>
      </c>
      <c r="H507" s="104" t="s">
        <v>639</v>
      </c>
      <c r="I507" s="116" t="s">
        <v>640</v>
      </c>
      <c r="J507" s="104" t="s">
        <v>641</v>
      </c>
      <c r="K507" s="116" t="s">
        <v>642</v>
      </c>
      <c r="L507" s="104" t="s">
        <v>643</v>
      </c>
      <c r="M507" s="97" t="s">
        <v>644</v>
      </c>
    </row>
    <row r="508" spans="1:13" x14ac:dyDescent="0.25">
      <c r="A508" s="99" t="s">
        <v>5</v>
      </c>
      <c r="B508" s="99"/>
      <c r="C508" s="99"/>
      <c r="D508" s="149"/>
      <c r="E508" s="158"/>
      <c r="F508" s="167"/>
      <c r="G508" s="117"/>
      <c r="H508" s="105"/>
      <c r="I508" s="117"/>
      <c r="J508" s="105"/>
      <c r="K508" s="117"/>
      <c r="L508" s="105"/>
      <c r="M508" s="99"/>
    </row>
    <row r="509" spans="1:13" x14ac:dyDescent="0.25">
      <c r="B509" t="s">
        <v>1088</v>
      </c>
      <c r="C509" t="s">
        <v>130</v>
      </c>
      <c r="D509" s="150">
        <f>IFERROR(INDEX('BD Rendimientos'!G:G,MATCH("04.01.01|M. Encofrado y Desencofrado Columnas Rectangulares|m2|mano_obra",'BD Rendimientos'!L:L,0)),"")</f>
        <v>1</v>
      </c>
      <c r="E509" s="159">
        <f>IFERROR(INDEX('BD Mano de Obra'!D:D,MATCH("M. Encofrado y Desencofrado Columnas Rectangulares",'BD Mano de Obra'!B:B,0)),"")</f>
        <v>11.25</v>
      </c>
      <c r="F509" s="168">
        <f>IFERROR(D509*E509,"")</f>
        <v>11.25</v>
      </c>
      <c r="G509" s="118">
        <v>120.59</v>
      </c>
      <c r="H509" s="106">
        <v>13.89</v>
      </c>
      <c r="I509" s="118">
        <v>195.83</v>
      </c>
      <c r="J509" s="106">
        <v>9.93</v>
      </c>
      <c r="K509" s="118">
        <v>208.98</v>
      </c>
      <c r="L509" s="106">
        <v>9.93</v>
      </c>
    </row>
    <row r="510" spans="1:13" ht="16.5" thickBot="1" x14ac:dyDescent="0.3">
      <c r="A510" s="100"/>
      <c r="B510" s="100" t="s">
        <v>645</v>
      </c>
      <c r="C510" s="100" t="s">
        <v>130</v>
      </c>
      <c r="D510" s="151"/>
      <c r="E510" s="160"/>
      <c r="F510" s="169">
        <f>SUM(F509)</f>
        <v>11.25</v>
      </c>
      <c r="G510" s="119"/>
      <c r="H510" s="107">
        <v>13.89</v>
      </c>
      <c r="I510" s="119"/>
      <c r="J510" s="107">
        <v>9.93</v>
      </c>
      <c r="K510" s="119"/>
      <c r="L510" s="107">
        <v>9.93</v>
      </c>
      <c r="M510" s="100" t="s">
        <v>646</v>
      </c>
    </row>
    <row r="511" spans="1:13" ht="16.5" thickTop="1" thickBot="1" x14ac:dyDescent="0.3">
      <c r="D511" s="150"/>
      <c r="E511" s="159"/>
      <c r="F511" s="168"/>
      <c r="G511" s="118"/>
      <c r="H511" s="106"/>
      <c r="I511" s="118"/>
      <c r="J511" s="106"/>
      <c r="K511" s="118"/>
      <c r="L511" s="106"/>
    </row>
    <row r="512" spans="1:13" ht="15.75" thickTop="1" x14ac:dyDescent="0.25">
      <c r="A512" s="98" t="s">
        <v>292</v>
      </c>
      <c r="B512" s="98" t="s">
        <v>291</v>
      </c>
      <c r="C512" s="98" t="s">
        <v>130</v>
      </c>
      <c r="D512" s="154" t="s">
        <v>635</v>
      </c>
      <c r="E512" s="163" t="s">
        <v>636</v>
      </c>
      <c r="F512" s="172" t="s">
        <v>637</v>
      </c>
      <c r="G512" s="122" t="s">
        <v>638</v>
      </c>
      <c r="H512" s="110" t="s">
        <v>639</v>
      </c>
      <c r="I512" s="122" t="s">
        <v>640</v>
      </c>
      <c r="J512" s="110" t="s">
        <v>641</v>
      </c>
      <c r="K512" s="122" t="s">
        <v>642</v>
      </c>
      <c r="L512" s="110" t="s">
        <v>643</v>
      </c>
      <c r="M512" s="98" t="s">
        <v>668</v>
      </c>
    </row>
    <row r="513" spans="1:13" x14ac:dyDescent="0.25">
      <c r="A513" s="99" t="s">
        <v>5</v>
      </c>
      <c r="B513" s="99"/>
      <c r="C513" s="99"/>
      <c r="D513" s="149"/>
      <c r="E513" s="158"/>
      <c r="F513" s="167"/>
      <c r="G513" s="117"/>
      <c r="H513" s="105"/>
      <c r="I513" s="117"/>
      <c r="J513" s="105"/>
      <c r="K513" s="117"/>
      <c r="L513" s="105"/>
      <c r="M513" s="99"/>
    </row>
    <row r="514" spans="1:13" x14ac:dyDescent="0.25">
      <c r="A514" s="101"/>
      <c r="B514" s="101" t="s">
        <v>1086</v>
      </c>
      <c r="C514" s="101" t="s">
        <v>130</v>
      </c>
      <c r="D514" s="152">
        <f>IFERROR(INDEX('BD Rendimientos'!G:G,MATCH("04.01.01.01|M. Encofrado y Desencofrado Columnas Circulares|m2|mano_obra",'BD Rendimientos'!L:L,0)),"")</f>
        <v>1</v>
      </c>
      <c r="E514" s="161">
        <f>IFERROR(INDEX('BD Mano de Obra'!D:D,MATCH("M. Encofrado y Desencofrado Columnas Circulares",'BD Mano de Obra'!B:B,0)),"")</f>
        <v>25.09</v>
      </c>
      <c r="F514" s="170">
        <f>IFERROR(D514*E514,"")</f>
        <v>25.09</v>
      </c>
      <c r="G514" s="120">
        <v>26.68</v>
      </c>
      <c r="H514" s="108">
        <v>25.09</v>
      </c>
      <c r="I514" s="120"/>
      <c r="J514" s="108"/>
      <c r="K514" s="120"/>
      <c r="L514" s="108"/>
      <c r="M514" s="101" t="s">
        <v>647</v>
      </c>
    </row>
    <row r="515" spans="1:13" ht="16.5" thickBot="1" x14ac:dyDescent="0.3">
      <c r="A515" s="100"/>
      <c r="B515" s="100" t="s">
        <v>645</v>
      </c>
      <c r="C515" s="100" t="s">
        <v>130</v>
      </c>
      <c r="D515" s="151"/>
      <c r="E515" s="160"/>
      <c r="F515" s="169">
        <f>SUM(F514)</f>
        <v>25.09</v>
      </c>
      <c r="G515" s="119"/>
      <c r="H515" s="107">
        <v>25.09</v>
      </c>
      <c r="I515" s="119"/>
      <c r="J515" s="107"/>
      <c r="K515" s="119"/>
      <c r="L515" s="107"/>
      <c r="M515" s="100" t="s">
        <v>646</v>
      </c>
    </row>
    <row r="516" spans="1:13" ht="16.5" thickTop="1" thickBot="1" x14ac:dyDescent="0.3">
      <c r="D516" s="150"/>
      <c r="E516" s="159"/>
      <c r="F516" s="168"/>
      <c r="G516" s="118"/>
      <c r="H516" s="106"/>
      <c r="I516" s="118"/>
      <c r="J516" s="106"/>
      <c r="K516" s="118"/>
      <c r="L516" s="106"/>
    </row>
    <row r="517" spans="1:13" ht="15.75" thickTop="1" x14ac:dyDescent="0.25">
      <c r="A517" s="97" t="s">
        <v>289</v>
      </c>
      <c r="B517" s="97" t="s">
        <v>288</v>
      </c>
      <c r="C517" s="97" t="s">
        <v>130</v>
      </c>
      <c r="D517" s="148" t="s">
        <v>635</v>
      </c>
      <c r="E517" s="157" t="s">
        <v>636</v>
      </c>
      <c r="F517" s="166" t="s">
        <v>637</v>
      </c>
      <c r="G517" s="116" t="s">
        <v>638</v>
      </c>
      <c r="H517" s="104" t="s">
        <v>639</v>
      </c>
      <c r="I517" s="116" t="s">
        <v>640</v>
      </c>
      <c r="J517" s="104" t="s">
        <v>641</v>
      </c>
      <c r="K517" s="116" t="s">
        <v>642</v>
      </c>
      <c r="L517" s="104" t="s">
        <v>643</v>
      </c>
      <c r="M517" s="97" t="s">
        <v>644</v>
      </c>
    </row>
    <row r="518" spans="1:13" x14ac:dyDescent="0.25">
      <c r="A518" s="99" t="s">
        <v>5</v>
      </c>
      <c r="B518" s="99"/>
      <c r="C518" s="99"/>
      <c r="D518" s="149"/>
      <c r="E518" s="158"/>
      <c r="F518" s="167"/>
      <c r="G518" s="117"/>
      <c r="H518" s="105"/>
      <c r="I518" s="117"/>
      <c r="J518" s="105"/>
      <c r="K518" s="117"/>
      <c r="L518" s="105"/>
      <c r="M518" s="99"/>
    </row>
    <row r="519" spans="1:13" x14ac:dyDescent="0.25">
      <c r="A519" s="102"/>
      <c r="B519" s="102" t="s">
        <v>1098</v>
      </c>
      <c r="C519" s="102" t="s">
        <v>130</v>
      </c>
      <c r="D519" s="153">
        <f>IFERROR(INDEX('BD Rendimientos'!G:G,MATCH("04.01.02|M. Encofrado y Desencofrado de Vigas|m2|mano_obra",'BD Rendimientos'!L:L,0)),"")</f>
        <v>1</v>
      </c>
      <c r="E519" s="162">
        <f>IFERROR(INDEX('BD Mano de Obra'!D:D,MATCH("M. Encofrado y Desencofrado de Vigas",'BD Mano de Obra'!B:B,0)),"")</f>
        <v>11.5</v>
      </c>
      <c r="F519" s="171">
        <f>IFERROR(D519*E519,"")</f>
        <v>11.5</v>
      </c>
      <c r="G519" s="121">
        <v>324.92590000000001</v>
      </c>
      <c r="H519" s="109">
        <v>25.87</v>
      </c>
      <c r="I519" s="121">
        <v>227.32</v>
      </c>
      <c r="J519" s="109">
        <v>11</v>
      </c>
      <c r="K519" s="121">
        <v>766.81</v>
      </c>
      <c r="L519" s="109">
        <v>11.5</v>
      </c>
      <c r="M519" s="102" t="s">
        <v>654</v>
      </c>
    </row>
    <row r="520" spans="1:13" x14ac:dyDescent="0.25">
      <c r="A520" s="99" t="s">
        <v>2</v>
      </c>
      <c r="B520" s="99"/>
      <c r="C520" s="99"/>
      <c r="D520" s="149"/>
      <c r="E520" s="158"/>
      <c r="F520" s="167"/>
      <c r="G520" s="117"/>
      <c r="H520" s="105"/>
      <c r="I520" s="117"/>
      <c r="J520" s="105"/>
      <c r="K520" s="117"/>
      <c r="L520" s="105"/>
      <c r="M520" s="99"/>
    </row>
    <row r="521" spans="1:13" x14ac:dyDescent="0.25">
      <c r="A521" s="101"/>
      <c r="B521" s="101" t="s">
        <v>1186</v>
      </c>
      <c r="C521" s="101" t="s">
        <v>15</v>
      </c>
      <c r="D521" s="152">
        <f>IFERROR(INDEX('BD Rendimientos'!G:G,MATCH("04.01.02|Alquiler andamio|Uni.|equipo",'BD Rendimientos'!L:L,0)),"")</f>
        <v>0.3695231391870491</v>
      </c>
      <c r="E521" s="161">
        <f>IFERROR(INDEX('BD Equipo'!D:D,MATCH("Alquiler andamio",'BD Equipo'!B:B,0)),"")</f>
        <v>0.35957142857142865</v>
      </c>
      <c r="F521" s="170">
        <f>IFERROR(D521*E521,"")</f>
        <v>0.13286996304768611</v>
      </c>
      <c r="G521" s="120"/>
      <c r="H521" s="108"/>
      <c r="I521" s="120">
        <v>84</v>
      </c>
      <c r="J521" s="108">
        <v>0.36</v>
      </c>
      <c r="K521" s="120"/>
      <c r="L521" s="108"/>
      <c r="M521" s="101" t="s">
        <v>647</v>
      </c>
    </row>
    <row r="522" spans="1:13" x14ac:dyDescent="0.25">
      <c r="A522" s="101"/>
      <c r="B522" s="101" t="s">
        <v>1198</v>
      </c>
      <c r="C522" s="101" t="s">
        <v>15</v>
      </c>
      <c r="D522" s="152">
        <f>IFERROR(INDEX('BD Rendimientos'!G:G,MATCH("04.01.02|Alquiler de Tablones|Uni.|equipo",'BD Rendimientos'!L:L,0)),"")</f>
        <v>0.3695231391870491</v>
      </c>
      <c r="E522" s="161">
        <f>IFERROR(INDEX('BD Equipo'!D:D,MATCH("Alquiler de Tablones",'BD Equipo'!B:B,0)),"")</f>
        <v>8.9948260869565241E-2</v>
      </c>
      <c r="F522" s="170">
        <f>IFERROR(D522*E522,"")</f>
        <v>3.3237963720937361E-2</v>
      </c>
      <c r="G522" s="120"/>
      <c r="H522" s="108"/>
      <c r="I522" s="120">
        <v>84</v>
      </c>
      <c r="J522" s="108">
        <v>0.09</v>
      </c>
      <c r="K522" s="120"/>
      <c r="L522" s="108"/>
      <c r="M522" s="101" t="s">
        <v>647</v>
      </c>
    </row>
    <row r="523" spans="1:13" ht="16.5" thickBot="1" x14ac:dyDescent="0.3">
      <c r="A523" s="100"/>
      <c r="B523" s="100" t="s">
        <v>645</v>
      </c>
      <c r="C523" s="100" t="s">
        <v>130</v>
      </c>
      <c r="D523" s="151"/>
      <c r="E523" s="160"/>
      <c r="F523" s="169">
        <f>SUM(F519,F521,F522)</f>
        <v>11.666107926768623</v>
      </c>
      <c r="G523" s="119"/>
      <c r="H523" s="107">
        <v>25.87</v>
      </c>
      <c r="I523" s="119"/>
      <c r="J523" s="107">
        <v>11.166285412634201</v>
      </c>
      <c r="K523" s="119"/>
      <c r="L523" s="107">
        <v>11.5</v>
      </c>
      <c r="M523" s="100" t="s">
        <v>646</v>
      </c>
    </row>
    <row r="524" spans="1:13" ht="16.5" thickTop="1" thickBot="1" x14ac:dyDescent="0.3">
      <c r="D524" s="150"/>
      <c r="E524" s="159"/>
      <c r="F524" s="168"/>
      <c r="G524" s="118"/>
      <c r="H524" s="106"/>
      <c r="I524" s="118"/>
      <c r="J524" s="106"/>
      <c r="K524" s="118"/>
      <c r="L524" s="106"/>
    </row>
    <row r="525" spans="1:13" ht="15.75" thickTop="1" x14ac:dyDescent="0.25">
      <c r="A525" s="98" t="s">
        <v>506</v>
      </c>
      <c r="B525" s="98" t="s">
        <v>286</v>
      </c>
      <c r="C525" s="98" t="s">
        <v>130</v>
      </c>
      <c r="D525" s="154" t="s">
        <v>635</v>
      </c>
      <c r="E525" s="163" t="s">
        <v>636</v>
      </c>
      <c r="F525" s="172" t="s">
        <v>637</v>
      </c>
      <c r="G525" s="122" t="s">
        <v>638</v>
      </c>
      <c r="H525" s="110" t="s">
        <v>639</v>
      </c>
      <c r="I525" s="122" t="s">
        <v>640</v>
      </c>
      <c r="J525" s="110" t="s">
        <v>641</v>
      </c>
      <c r="K525" s="122" t="s">
        <v>642</v>
      </c>
      <c r="L525" s="110" t="s">
        <v>643</v>
      </c>
      <c r="M525" s="98" t="s">
        <v>668</v>
      </c>
    </row>
    <row r="526" spans="1:13" x14ac:dyDescent="0.25">
      <c r="A526" s="99" t="s">
        <v>5</v>
      </c>
      <c r="B526" s="99"/>
      <c r="C526" s="99"/>
      <c r="D526" s="149"/>
      <c r="E526" s="158"/>
      <c r="F526" s="167"/>
      <c r="G526" s="117"/>
      <c r="H526" s="105"/>
      <c r="I526" s="117"/>
      <c r="J526" s="105"/>
      <c r="K526" s="117"/>
      <c r="L526" s="105"/>
      <c r="M526" s="99"/>
    </row>
    <row r="527" spans="1:13" x14ac:dyDescent="0.25">
      <c r="B527" t="s">
        <v>1096</v>
      </c>
      <c r="C527" t="s">
        <v>130</v>
      </c>
      <c r="D527" s="150">
        <f>IFERROR(INDEX('BD Rendimientos'!G:G,MATCH("04.01.03|M. Encofrado y Desencofrado de Losa|m2|mano_obra",'BD Rendimientos'!L:L,0)),"")</f>
        <v>1</v>
      </c>
      <c r="E527" s="159">
        <f>IFERROR(INDEX('BD Mano de Obra'!D:D,MATCH("M. Encofrado y Desencofrado de Losa",'BD Mano de Obra'!B:B,0)),"")</f>
        <v>12.565000000000001</v>
      </c>
      <c r="F527" s="168">
        <f>IFERROR(D527*E527,"")</f>
        <v>12.565000000000001</v>
      </c>
      <c r="G527" s="118"/>
      <c r="H527" s="106">
        <v>13.63</v>
      </c>
      <c r="I527" s="118">
        <v>13.6</v>
      </c>
      <c r="J527" s="106">
        <v>11.5</v>
      </c>
      <c r="K527" s="118"/>
      <c r="L527" s="106"/>
      <c r="M527" t="s">
        <v>1921</v>
      </c>
    </row>
    <row r="528" spans="1:13" ht="16.5" thickBot="1" x14ac:dyDescent="0.3">
      <c r="A528" s="100"/>
      <c r="B528" s="100" t="s">
        <v>645</v>
      </c>
      <c r="C528" s="100" t="s">
        <v>130</v>
      </c>
      <c r="D528" s="151"/>
      <c r="E528" s="160"/>
      <c r="F528" s="169">
        <f>SUM(F527)</f>
        <v>12.565000000000001</v>
      </c>
      <c r="G528" s="119"/>
      <c r="H528" s="107"/>
      <c r="I528" s="119"/>
      <c r="J528" s="107">
        <v>11.5</v>
      </c>
      <c r="K528" s="119"/>
      <c r="L528" s="107"/>
      <c r="M528" s="100" t="s">
        <v>646</v>
      </c>
    </row>
    <row r="529" spans="1:13" ht="16.5" thickTop="1" thickBot="1" x14ac:dyDescent="0.3">
      <c r="D529" s="150"/>
      <c r="E529" s="159"/>
      <c r="F529" s="168"/>
      <c r="G529" s="118"/>
      <c r="H529" s="106"/>
      <c r="I529" s="118"/>
      <c r="J529" s="106"/>
      <c r="K529" s="118"/>
      <c r="L529" s="106"/>
    </row>
    <row r="530" spans="1:13" ht="15.75" thickTop="1" x14ac:dyDescent="0.25">
      <c r="A530" s="97" t="s">
        <v>284</v>
      </c>
      <c r="B530" s="97" t="s">
        <v>283</v>
      </c>
      <c r="C530" s="97" t="s">
        <v>3</v>
      </c>
      <c r="D530" s="148" t="s">
        <v>635</v>
      </c>
      <c r="E530" s="157" t="s">
        <v>636</v>
      </c>
      <c r="F530" s="166" t="s">
        <v>637</v>
      </c>
      <c r="G530" s="116" t="s">
        <v>638</v>
      </c>
      <c r="H530" s="104" t="s">
        <v>639</v>
      </c>
      <c r="I530" s="116" t="s">
        <v>640</v>
      </c>
      <c r="J530" s="104" t="s">
        <v>641</v>
      </c>
      <c r="K530" s="116" t="s">
        <v>642</v>
      </c>
      <c r="L530" s="104" t="s">
        <v>643</v>
      </c>
      <c r="M530" s="97" t="s">
        <v>644</v>
      </c>
    </row>
    <row r="531" spans="1:13" x14ac:dyDescent="0.25">
      <c r="A531" s="99" t="s">
        <v>5</v>
      </c>
      <c r="B531" s="99"/>
      <c r="C531" s="99"/>
      <c r="D531" s="149"/>
      <c r="E531" s="158"/>
      <c r="F531" s="167"/>
      <c r="G531" s="117"/>
      <c r="H531" s="105"/>
      <c r="I531" s="117"/>
      <c r="J531" s="105"/>
      <c r="K531" s="117"/>
      <c r="L531" s="105"/>
      <c r="M531" s="99"/>
    </row>
    <row r="532" spans="1:13" x14ac:dyDescent="0.25">
      <c r="B532" t="s">
        <v>1092</v>
      </c>
      <c r="C532" t="s">
        <v>3</v>
      </c>
      <c r="D532" s="150">
        <f>IFERROR(INDEX('BD Rendimientos'!G:G,MATCH("04.01.05|M. Encofrado y Desencofrado Losa Perimetral|ml|mano_obra",'BD Rendimientos'!L:L,0)),"")</f>
        <v>1</v>
      </c>
      <c r="E532" s="159">
        <f>IFERROR(INDEX('BD Mano de Obra'!D:D,MATCH("M. Encofrado y Desencofrado Losa Perimetral",'BD Mano de Obra'!B:B,0)),"")</f>
        <v>3.8699999999999997</v>
      </c>
      <c r="F532" s="168">
        <f>IFERROR(D532*E532,"")</f>
        <v>3.8699999999999997</v>
      </c>
      <c r="G532" s="118">
        <v>167.28</v>
      </c>
      <c r="H532" s="106">
        <v>3.85</v>
      </c>
      <c r="I532" s="118">
        <v>151.33000000000001</v>
      </c>
      <c r="J532" s="106">
        <v>3.88</v>
      </c>
      <c r="K532" s="118">
        <v>773.48</v>
      </c>
      <c r="L532" s="106">
        <v>3.88</v>
      </c>
    </row>
    <row r="533" spans="1:13" ht="16.5" thickBot="1" x14ac:dyDescent="0.3">
      <c r="A533" s="100"/>
      <c r="B533" s="100" t="s">
        <v>645</v>
      </c>
      <c r="C533" s="100" t="s">
        <v>3</v>
      </c>
      <c r="D533" s="151"/>
      <c r="E533" s="160"/>
      <c r="F533" s="169">
        <f>SUM(F532)</f>
        <v>3.8699999999999997</v>
      </c>
      <c r="G533" s="119"/>
      <c r="H533" s="107">
        <v>3.85</v>
      </c>
      <c r="I533" s="119"/>
      <c r="J533" s="107">
        <v>3.88</v>
      </c>
      <c r="K533" s="119"/>
      <c r="L533" s="107">
        <v>3.88</v>
      </c>
      <c r="M533" s="100" t="s">
        <v>646</v>
      </c>
    </row>
    <row r="534" spans="1:13" ht="16.5" thickTop="1" thickBot="1" x14ac:dyDescent="0.3">
      <c r="D534" s="150"/>
      <c r="E534" s="159"/>
      <c r="F534" s="168"/>
      <c r="G534" s="118"/>
      <c r="H534" s="106"/>
      <c r="I534" s="118"/>
      <c r="J534" s="106"/>
      <c r="K534" s="118"/>
      <c r="L534" s="106"/>
    </row>
    <row r="535" spans="1:13" ht="15.75" thickTop="1" x14ac:dyDescent="0.25">
      <c r="A535" s="97" t="s">
        <v>282</v>
      </c>
      <c r="B535" s="97" t="s">
        <v>281</v>
      </c>
      <c r="C535" s="97" t="s">
        <v>130</v>
      </c>
      <c r="D535" s="148" t="s">
        <v>635</v>
      </c>
      <c r="E535" s="157" t="s">
        <v>636</v>
      </c>
      <c r="F535" s="166" t="s">
        <v>637</v>
      </c>
      <c r="G535" s="116" t="s">
        <v>638</v>
      </c>
      <c r="H535" s="104" t="s">
        <v>639</v>
      </c>
      <c r="I535" s="116" t="s">
        <v>640</v>
      </c>
      <c r="J535" s="104" t="s">
        <v>641</v>
      </c>
      <c r="K535" s="116" t="s">
        <v>642</v>
      </c>
      <c r="L535" s="104" t="s">
        <v>643</v>
      </c>
      <c r="M535" s="97" t="s">
        <v>644</v>
      </c>
    </row>
    <row r="536" spans="1:13" x14ac:dyDescent="0.25">
      <c r="A536" s="99" t="s">
        <v>5</v>
      </c>
      <c r="B536" s="99"/>
      <c r="C536" s="99"/>
      <c r="D536" s="149"/>
      <c r="E536" s="158"/>
      <c r="F536" s="167"/>
      <c r="G536" s="117"/>
      <c r="H536" s="105"/>
      <c r="I536" s="117"/>
      <c r="J536" s="105"/>
      <c r="K536" s="117"/>
      <c r="L536" s="105"/>
      <c r="M536" s="99"/>
    </row>
    <row r="537" spans="1:13" x14ac:dyDescent="0.25">
      <c r="B537" t="s">
        <v>1094</v>
      </c>
      <c r="C537" t="s">
        <v>130</v>
      </c>
      <c r="D537" s="150">
        <f>IFERROR(INDEX('BD Rendimientos'!G:G,MATCH("04.01.06|M. Encofrado y Desencofrado Muros|m2|mano_obra",'BD Rendimientos'!L:L,0)),"")</f>
        <v>1</v>
      </c>
      <c r="E537" s="159">
        <f>IFERROR(INDEX('BD Mano de Obra'!D:D,MATCH("M. Encofrado y Desencofrado Muros",'BD Mano de Obra'!B:B,0)),"")</f>
        <v>11.285</v>
      </c>
      <c r="F537" s="168">
        <f>IFERROR(D537*E537,"")</f>
        <v>11.285</v>
      </c>
      <c r="G537" s="118">
        <v>90.47</v>
      </c>
      <c r="H537" s="106">
        <v>12.77</v>
      </c>
      <c r="I537" s="118"/>
      <c r="J537" s="106"/>
      <c r="K537" s="118">
        <v>475.23</v>
      </c>
      <c r="L537" s="106">
        <v>9.8000000000000007</v>
      </c>
    </row>
    <row r="538" spans="1:13" ht="16.5" thickBot="1" x14ac:dyDescent="0.3">
      <c r="A538" s="100"/>
      <c r="B538" s="100" t="s">
        <v>645</v>
      </c>
      <c r="C538" s="100" t="s">
        <v>130</v>
      </c>
      <c r="D538" s="151"/>
      <c r="E538" s="160"/>
      <c r="F538" s="169">
        <f>SUM(F537)</f>
        <v>11.285</v>
      </c>
      <c r="G538" s="119"/>
      <c r="H538" s="107">
        <v>12.77</v>
      </c>
      <c r="I538" s="119"/>
      <c r="J538" s="107"/>
      <c r="K538" s="119"/>
      <c r="L538" s="107">
        <v>9.8000000000000007</v>
      </c>
      <c r="M538" s="100" t="s">
        <v>646</v>
      </c>
    </row>
    <row r="539" spans="1:13" ht="16.5" thickTop="1" thickBot="1" x14ac:dyDescent="0.3">
      <c r="D539" s="150"/>
      <c r="E539" s="159"/>
      <c r="F539" s="168"/>
      <c r="G539" s="118"/>
      <c r="H539" s="106"/>
      <c r="I539" s="118"/>
      <c r="J539" s="106"/>
      <c r="K539" s="118"/>
      <c r="L539" s="106"/>
    </row>
    <row r="540" spans="1:13" ht="15.75" thickTop="1" x14ac:dyDescent="0.25">
      <c r="A540" s="97" t="s">
        <v>279</v>
      </c>
      <c r="B540" s="97" t="s">
        <v>278</v>
      </c>
      <c r="C540" s="97" t="s">
        <v>130</v>
      </c>
      <c r="D540" s="148" t="s">
        <v>635</v>
      </c>
      <c r="E540" s="157" t="s">
        <v>636</v>
      </c>
      <c r="F540" s="166" t="s">
        <v>637</v>
      </c>
      <c r="G540" s="116" t="s">
        <v>638</v>
      </c>
      <c r="H540" s="104" t="s">
        <v>639</v>
      </c>
      <c r="I540" s="116" t="s">
        <v>640</v>
      </c>
      <c r="J540" s="104" t="s">
        <v>641</v>
      </c>
      <c r="K540" s="116" t="s">
        <v>642</v>
      </c>
      <c r="L540" s="104" t="s">
        <v>643</v>
      </c>
      <c r="M540" s="97" t="s">
        <v>644</v>
      </c>
    </row>
    <row r="541" spans="1:13" x14ac:dyDescent="0.25">
      <c r="A541" s="99" t="s">
        <v>5</v>
      </c>
      <c r="B541" s="99"/>
      <c r="C541" s="99"/>
      <c r="D541" s="149"/>
      <c r="E541" s="158"/>
      <c r="F541" s="167"/>
      <c r="G541" s="117"/>
      <c r="H541" s="105"/>
      <c r="I541" s="117"/>
      <c r="J541" s="105"/>
      <c r="K541" s="117"/>
      <c r="L541" s="105"/>
      <c r="M541" s="99"/>
    </row>
    <row r="542" spans="1:13" x14ac:dyDescent="0.25">
      <c r="B542" t="s">
        <v>277</v>
      </c>
      <c r="C542" t="s">
        <v>130</v>
      </c>
      <c r="D542" s="150">
        <f>IFERROR(INDEX('BD Rendimientos'!G:G,MATCH("04.01.07|M. Apuntalamiento de losa deck metálico|m2|mano_obra",'BD Rendimientos'!L:L,0)),"")</f>
        <v>1</v>
      </c>
      <c r="E542" s="159">
        <f>IFERROR(INDEX('BD Mano de Obra'!D:D,MATCH("M. Apuntalamiento de losa deck metálico",'BD Mano de Obra'!B:B,0)),"")</f>
        <v>1.54</v>
      </c>
      <c r="F542" s="168">
        <f>IFERROR(D542*E542,"")</f>
        <v>1.54</v>
      </c>
      <c r="G542" s="118">
        <v>542.19000000000005</v>
      </c>
      <c r="H542" s="106">
        <v>1.9</v>
      </c>
      <c r="I542" s="118">
        <v>196.51</v>
      </c>
      <c r="J542" s="106">
        <v>1.36</v>
      </c>
      <c r="K542" s="118">
        <v>400.44</v>
      </c>
      <c r="L542" s="106">
        <v>1.36</v>
      </c>
    </row>
    <row r="543" spans="1:13" ht="16.5" thickBot="1" x14ac:dyDescent="0.3">
      <c r="A543" s="100"/>
      <c r="B543" s="100" t="s">
        <v>645</v>
      </c>
      <c r="C543" s="100" t="s">
        <v>130</v>
      </c>
      <c r="D543" s="151"/>
      <c r="E543" s="160"/>
      <c r="F543" s="169">
        <f>SUM(F542)</f>
        <v>1.54</v>
      </c>
      <c r="G543" s="119"/>
      <c r="H543" s="107">
        <v>1.9</v>
      </c>
      <c r="I543" s="119"/>
      <c r="J543" s="107">
        <v>1.36</v>
      </c>
      <c r="K543" s="119"/>
      <c r="L543" s="107">
        <v>1.36</v>
      </c>
      <c r="M543" s="100" t="s">
        <v>646</v>
      </c>
    </row>
    <row r="544" spans="1:13" ht="16.5" thickTop="1" thickBot="1" x14ac:dyDescent="0.3">
      <c r="D544" s="150"/>
      <c r="E544" s="159"/>
      <c r="F544" s="168"/>
      <c r="G544" s="118"/>
      <c r="H544" s="106"/>
      <c r="I544" s="118"/>
      <c r="J544" s="106"/>
      <c r="K544" s="118"/>
      <c r="L544" s="106"/>
    </row>
    <row r="545" spans="1:13" ht="15.75" thickTop="1" x14ac:dyDescent="0.25">
      <c r="A545" s="97" t="s">
        <v>276</v>
      </c>
      <c r="B545" s="97" t="s">
        <v>275</v>
      </c>
      <c r="C545" s="97" t="s">
        <v>3</v>
      </c>
      <c r="D545" s="148" t="s">
        <v>635</v>
      </c>
      <c r="E545" s="157" t="s">
        <v>636</v>
      </c>
      <c r="F545" s="166" t="s">
        <v>637</v>
      </c>
      <c r="G545" s="116" t="s">
        <v>638</v>
      </c>
      <c r="H545" s="104" t="s">
        <v>639</v>
      </c>
      <c r="I545" s="116" t="s">
        <v>640</v>
      </c>
      <c r="J545" s="104" t="s">
        <v>641</v>
      </c>
      <c r="K545" s="116" t="s">
        <v>642</v>
      </c>
      <c r="L545" s="104" t="s">
        <v>643</v>
      </c>
      <c r="M545" s="97" t="s">
        <v>644</v>
      </c>
    </row>
    <row r="546" spans="1:13" x14ac:dyDescent="0.25">
      <c r="A546" s="99" t="s">
        <v>11</v>
      </c>
      <c r="B546" s="99"/>
      <c r="C546" s="99"/>
      <c r="D546" s="149"/>
      <c r="E546" s="158"/>
      <c r="F546" s="167"/>
      <c r="G546" s="117"/>
      <c r="H546" s="105"/>
      <c r="I546" s="117"/>
      <c r="J546" s="105"/>
      <c r="K546" s="117"/>
      <c r="L546" s="105"/>
      <c r="M546" s="99"/>
    </row>
    <row r="547" spans="1:13" x14ac:dyDescent="0.25">
      <c r="A547" s="101"/>
      <c r="B547" s="101" t="s">
        <v>703</v>
      </c>
      <c r="C547" s="101" t="s">
        <v>144</v>
      </c>
      <c r="D547" s="152">
        <f>IFERROR(INDEX('BD Rendimientos'!G:G,MATCH("04.01.08|Alambre galvanizado Nº 14|rollo|materiales",'BD Rendimientos'!L:L,0)),"")</f>
        <v>9.5238095238095233E-2</v>
      </c>
      <c r="E547" s="161">
        <f>IFERROR(INDEX('BD Materiales'!D:D,MATCH("Alambre galvanizado Nº 14",'BD Materiales'!B:B,0)),"")</f>
        <v>96.23</v>
      </c>
      <c r="F547" s="170">
        <f>IFERROR(D547*E547,"")</f>
        <v>9.1647619047619049</v>
      </c>
      <c r="G547" s="120"/>
      <c r="H547" s="108"/>
      <c r="I547" s="120">
        <v>1</v>
      </c>
      <c r="J547" s="108">
        <v>92.45</v>
      </c>
      <c r="K547" s="120"/>
      <c r="L547" s="108"/>
      <c r="M547" s="101" t="s">
        <v>647</v>
      </c>
    </row>
    <row r="548" spans="1:13" x14ac:dyDescent="0.25">
      <c r="A548" s="102"/>
      <c r="B548" s="102" t="s">
        <v>810</v>
      </c>
      <c r="C548" s="102" t="s">
        <v>30</v>
      </c>
      <c r="D548" s="153">
        <f>IFERROR(INDEX('BD Rendimientos'!G:G,MATCH("04.01.08|Clavos de acero 2''|Kg.|materiales",'BD Rendimientos'!L:L,0)),"")</f>
        <v>6.6096109086318466E-2</v>
      </c>
      <c r="E548" s="162">
        <f>IFERROR(INDEX('BD Materiales'!D:D,MATCH("Clavos de acero 2''",'BD Materiales'!B:B,0)),"")</f>
        <v>3.2450000000000001</v>
      </c>
      <c r="F548" s="171">
        <f>IFERROR(D548*E548,"")</f>
        <v>0.21448187398510343</v>
      </c>
      <c r="G548" s="121">
        <v>5</v>
      </c>
      <c r="H548" s="109">
        <v>3.02</v>
      </c>
      <c r="I548" s="121">
        <v>1</v>
      </c>
      <c r="J548" s="109">
        <v>7.2</v>
      </c>
      <c r="K548" s="121"/>
      <c r="L548" s="109"/>
      <c r="M548" s="102" t="s">
        <v>655</v>
      </c>
    </row>
    <row r="549" spans="1:13" x14ac:dyDescent="0.25">
      <c r="B549" t="s">
        <v>816</v>
      </c>
      <c r="C549" t="s">
        <v>30</v>
      </c>
      <c r="D549" s="150">
        <f>IFERROR(INDEX('BD Rendimientos'!G:G,MATCH("04.01.08|Clavos de acero 21/2''|Kg.|materiales",'BD Rendimientos'!L:L,0)),"")</f>
        <v>0.33702874562678747</v>
      </c>
      <c r="E549" s="159">
        <f>IFERROR(INDEX('BD Materiales'!D:D,MATCH("Clavos de acero 21/2''",'BD Materiales'!B:B,0)),"")</f>
        <v>3.5214999999999996</v>
      </c>
      <c r="F549" s="168">
        <f>IFERROR(D549*E549,"")</f>
        <v>1.1868467277247319</v>
      </c>
      <c r="G549" s="118">
        <v>1</v>
      </c>
      <c r="H549" s="106">
        <v>3.08</v>
      </c>
      <c r="I549" s="118">
        <v>7</v>
      </c>
      <c r="J549" s="106">
        <v>3.9380000000000002</v>
      </c>
      <c r="K549" s="118"/>
      <c r="L549" s="106"/>
      <c r="M549" t="s">
        <v>1920</v>
      </c>
    </row>
    <row r="550" spans="1:13" x14ac:dyDescent="0.25">
      <c r="B550" t="s">
        <v>824</v>
      </c>
      <c r="C550" t="s">
        <v>30</v>
      </c>
      <c r="D550" s="150">
        <f>IFERROR(INDEX('BD Rendimientos'!G:G,MATCH("04.01.08|Clavos galvanizados 2''|Kg.|materiales",'BD Rendimientos'!L:L,0)),"")</f>
        <v>0.17057273505804912</v>
      </c>
      <c r="E550" s="159">
        <f>IFERROR(INDEX('BD Materiales'!D:D,MATCH("Clavos galvanizados 2''",'BD Materiales'!B:B,0)),"")</f>
        <v>1.9257894736842103</v>
      </c>
      <c r="F550" s="168">
        <f>IFERROR(D550*E550,"")</f>
        <v>0.32848717767231667</v>
      </c>
      <c r="G550" s="118">
        <v>7.5</v>
      </c>
      <c r="H550" s="106">
        <v>1.7549999999999999</v>
      </c>
      <c r="I550" s="118">
        <v>3</v>
      </c>
      <c r="J550" s="106">
        <v>2.0733333333333301</v>
      </c>
      <c r="K550" s="118"/>
      <c r="L550" s="106"/>
      <c r="M550" t="s">
        <v>1920</v>
      </c>
    </row>
    <row r="551" spans="1:13" x14ac:dyDescent="0.25">
      <c r="B551" t="s">
        <v>820</v>
      </c>
      <c r="C551" t="s">
        <v>30</v>
      </c>
      <c r="D551" s="150">
        <f>IFERROR(INDEX('BD Rendimientos'!G:G,MATCH("04.01.08|Clavos galvanizados 2 1/2''|Kg.|materiales",'BD Rendimientos'!L:L,0)),"")</f>
        <v>0.30234364103482947</v>
      </c>
      <c r="E551" s="159">
        <f>IFERROR(INDEX('BD Materiales'!D:D,MATCH("Clavos galvanizados 2 1/2''",'BD Materiales'!B:B,0)),"")</f>
        <v>1.8223333333333334</v>
      </c>
      <c r="F551" s="168">
        <f>IFERROR(D551*E551,"")</f>
        <v>0.55097089517913755</v>
      </c>
      <c r="G551" s="118">
        <v>4.5</v>
      </c>
      <c r="H551" s="106">
        <v>1.68</v>
      </c>
      <c r="I551" s="118">
        <v>6</v>
      </c>
      <c r="J551" s="106">
        <v>1.94</v>
      </c>
      <c r="K551" s="118"/>
      <c r="L551" s="106"/>
      <c r="M551" t="s">
        <v>1920</v>
      </c>
    </row>
    <row r="552" spans="1:13" x14ac:dyDescent="0.25">
      <c r="A552" s="101"/>
      <c r="B552" s="101" t="s">
        <v>606</v>
      </c>
      <c r="C552" s="101" t="s">
        <v>15</v>
      </c>
      <c r="D552" s="152">
        <f>IFERROR(INDEX('BD Rendimientos'!G:G,MATCH("04.01.08|Tablas de Monte|Uni.|materiales",'BD Rendimientos'!L:L,0)),"")</f>
        <v>4.2857142857142856</v>
      </c>
      <c r="E552" s="161">
        <f>IFERROR(INDEX('BD Materiales'!D:D,MATCH("Tablas de Monte",'BD Materiales'!B:B,0)),"")</f>
        <v>2.4034925925925932</v>
      </c>
      <c r="F552" s="170">
        <f>IFERROR(D552*E552,"")</f>
        <v>10.300682539682542</v>
      </c>
      <c r="G552" s="120"/>
      <c r="H552" s="108"/>
      <c r="I552" s="120">
        <v>45</v>
      </c>
      <c r="J552" s="108">
        <v>2.4500000000000002</v>
      </c>
      <c r="K552" s="120"/>
      <c r="L552" s="108"/>
      <c r="M552" s="101" t="s">
        <v>647</v>
      </c>
    </row>
    <row r="553" spans="1:13" x14ac:dyDescent="0.25">
      <c r="A553" s="99" t="s">
        <v>5</v>
      </c>
      <c r="B553" s="99"/>
      <c r="C553" s="99"/>
      <c r="D553" s="149"/>
      <c r="E553" s="158"/>
      <c r="F553" s="167"/>
      <c r="G553" s="117"/>
      <c r="H553" s="105"/>
      <c r="I553" s="117"/>
      <c r="J553" s="105"/>
      <c r="K553" s="117"/>
      <c r="L553" s="105"/>
      <c r="M553" s="99"/>
    </row>
    <row r="554" spans="1:13" x14ac:dyDescent="0.25">
      <c r="B554" t="s">
        <v>1090</v>
      </c>
      <c r="C554" t="s">
        <v>3</v>
      </c>
      <c r="D554" s="150">
        <f>IFERROR(INDEX('BD Rendimientos'!G:G,MATCH("04.01.08|M. Encofrado y Desencofrado Dintel Descolgado Perimetral|ml|mano_obra",'BD Rendimientos'!L:L,0)),"")</f>
        <v>1</v>
      </c>
      <c r="E554" s="159">
        <f>IFERROR(INDEX('BD Mano de Obra'!D:D,MATCH("M. Encofrado y Desencofrado Dintel Descolgado Perimetral",'BD Mano de Obra'!B:B,0)),"")</f>
        <v>6.5</v>
      </c>
      <c r="F554" s="168">
        <f>IFERROR(D554*E554,"")</f>
        <v>6.5</v>
      </c>
      <c r="G554" s="118">
        <v>135.30289999999999</v>
      </c>
      <c r="H554" s="106">
        <v>6.5</v>
      </c>
      <c r="I554" s="118">
        <v>10.5</v>
      </c>
      <c r="J554" s="106">
        <v>6.5</v>
      </c>
      <c r="K554" s="118">
        <v>113.59</v>
      </c>
      <c r="L554" s="106">
        <v>6.5</v>
      </c>
    </row>
    <row r="555" spans="1:13" x14ac:dyDescent="0.25">
      <c r="A555" s="99" t="s">
        <v>2</v>
      </c>
      <c r="B555" s="99"/>
      <c r="C555" s="99"/>
      <c r="D555" s="149"/>
      <c r="E555" s="158"/>
      <c r="F555" s="167"/>
      <c r="G555" s="117"/>
      <c r="H555" s="105"/>
      <c r="I555" s="117"/>
      <c r="J555" s="105"/>
      <c r="K555" s="117"/>
      <c r="L555" s="105"/>
      <c r="M555" s="99"/>
    </row>
    <row r="556" spans="1:13" x14ac:dyDescent="0.25">
      <c r="A556" s="101"/>
      <c r="B556" s="101" t="s">
        <v>1186</v>
      </c>
      <c r="C556" s="101" t="s">
        <v>15</v>
      </c>
      <c r="D556" s="152">
        <f>IFERROR(INDEX('BD Rendimientos'!G:G,MATCH("04.01.08|Alquiler andamio|Uni.|equipo",'BD Rendimientos'!L:L,0)),"")</f>
        <v>8</v>
      </c>
      <c r="E556" s="161">
        <f>IFERROR(INDEX('BD Equipo'!D:D,MATCH("Alquiler andamio",'BD Equipo'!B:B,0)),"")</f>
        <v>0.35957142857142865</v>
      </c>
      <c r="F556" s="170">
        <f>IFERROR(D556*E556,"")</f>
        <v>2.8765714285714292</v>
      </c>
      <c r="G556" s="120"/>
      <c r="H556" s="108"/>
      <c r="I556" s="120">
        <v>84</v>
      </c>
      <c r="J556" s="108">
        <v>0.36</v>
      </c>
      <c r="K556" s="120"/>
      <c r="L556" s="108"/>
      <c r="M556" s="101" t="s">
        <v>647</v>
      </c>
    </row>
    <row r="557" spans="1:13" x14ac:dyDescent="0.25">
      <c r="A557" s="101"/>
      <c r="B557" s="101" t="s">
        <v>1198</v>
      </c>
      <c r="C557" s="101" t="s">
        <v>15</v>
      </c>
      <c r="D557" s="152">
        <f>IFERROR(INDEX('BD Rendimientos'!G:G,MATCH("04.01.08|Alquiler de Tablones|Uni.|equipo",'BD Rendimientos'!L:L,0)),"")</f>
        <v>8</v>
      </c>
      <c r="E557" s="161">
        <f>IFERROR(INDEX('BD Equipo'!D:D,MATCH("Alquiler de Tablones",'BD Equipo'!B:B,0)),"")</f>
        <v>8.9948260869565241E-2</v>
      </c>
      <c r="F557" s="170">
        <f>IFERROR(D557*E557,"")</f>
        <v>0.71958608695652193</v>
      </c>
      <c r="G557" s="120"/>
      <c r="H557" s="108"/>
      <c r="I557" s="120">
        <v>84</v>
      </c>
      <c r="J557" s="108">
        <v>0.09</v>
      </c>
      <c r="K557" s="120"/>
      <c r="L557" s="108"/>
      <c r="M557" s="101" t="s">
        <v>647</v>
      </c>
    </row>
    <row r="558" spans="1:13" ht="16.5" thickBot="1" x14ac:dyDescent="0.3">
      <c r="A558" s="100"/>
      <c r="B558" s="100" t="s">
        <v>645</v>
      </c>
      <c r="C558" s="100" t="s">
        <v>3</v>
      </c>
      <c r="D558" s="151"/>
      <c r="E558" s="160"/>
      <c r="F558" s="169">
        <f>SUM(F547,F548,F549,F550,F551,F552,F554,F556,F557)</f>
        <v>31.842388634533688</v>
      </c>
      <c r="G558" s="119"/>
      <c r="H558" s="107">
        <v>6.7875215534922004</v>
      </c>
      <c r="I558" s="119"/>
      <c r="J558" s="107">
        <v>34.416761904761898</v>
      </c>
      <c r="K558" s="119"/>
      <c r="L558" s="107">
        <v>6.5</v>
      </c>
      <c r="M558" s="100" t="s">
        <v>646</v>
      </c>
    </row>
    <row r="559" spans="1:13" ht="15.75" thickTop="1" x14ac:dyDescent="0.25">
      <c r="D559" s="150"/>
      <c r="E559" s="159"/>
      <c r="F559" s="168"/>
      <c r="G559" s="118"/>
      <c r="H559" s="106"/>
      <c r="I559" s="118"/>
      <c r="J559" s="106"/>
      <c r="K559" s="118"/>
      <c r="L559" s="106"/>
    </row>
    <row r="560" spans="1:13" ht="18" thickBot="1" x14ac:dyDescent="0.35">
      <c r="A560" s="95" t="s">
        <v>272</v>
      </c>
      <c r="B560" s="95"/>
      <c r="C560" s="95"/>
      <c r="D560" s="147"/>
      <c r="E560" s="156"/>
      <c r="F560" s="165"/>
      <c r="G560" s="115"/>
      <c r="H560" s="103"/>
      <c r="I560" s="115"/>
      <c r="J560" s="103"/>
      <c r="K560" s="115"/>
      <c r="L560" s="103"/>
      <c r="M560" s="95"/>
    </row>
    <row r="561" spans="1:13" ht="15.75" thickTop="1" x14ac:dyDescent="0.25">
      <c r="A561" s="97" t="s">
        <v>271</v>
      </c>
      <c r="B561" s="97" t="s">
        <v>270</v>
      </c>
      <c r="C561" s="97" t="s">
        <v>130</v>
      </c>
      <c r="D561" s="148" t="s">
        <v>635</v>
      </c>
      <c r="E561" s="157" t="s">
        <v>636</v>
      </c>
      <c r="F561" s="166" t="s">
        <v>637</v>
      </c>
      <c r="G561" s="116" t="s">
        <v>638</v>
      </c>
      <c r="H561" s="104" t="s">
        <v>639</v>
      </c>
      <c r="I561" s="116" t="s">
        <v>640</v>
      </c>
      <c r="J561" s="104" t="s">
        <v>641</v>
      </c>
      <c r="K561" s="116" t="s">
        <v>642</v>
      </c>
      <c r="L561" s="104" t="s">
        <v>643</v>
      </c>
      <c r="M561" s="97" t="s">
        <v>644</v>
      </c>
    </row>
    <row r="562" spans="1:13" x14ac:dyDescent="0.25">
      <c r="A562" s="99" t="s">
        <v>11</v>
      </c>
      <c r="B562" s="99"/>
      <c r="C562" s="99"/>
      <c r="D562" s="149"/>
      <c r="E562" s="158"/>
      <c r="F562" s="167"/>
      <c r="G562" s="117"/>
      <c r="H562" s="105"/>
      <c r="I562" s="117"/>
      <c r="J562" s="105"/>
      <c r="K562" s="117"/>
      <c r="L562" s="105"/>
      <c r="M562" s="99"/>
    </row>
    <row r="563" spans="1:13" x14ac:dyDescent="0.25">
      <c r="B563" t="s">
        <v>720</v>
      </c>
      <c r="C563" t="s">
        <v>6</v>
      </c>
      <c r="D563" s="150">
        <f>IFERROR(INDEX('BD Rendimientos'!G:G,MATCH("05.01.01|Arena Rosada|m3|materiales",'BD Rendimientos'!L:L,0)),"")</f>
        <v>3.9328437640159856E-2</v>
      </c>
      <c r="E563" s="159">
        <f>IFERROR(INDEX('BD Materiales'!D:D,MATCH("Arena Rosada",'BD Materiales'!B:B,0)),"")</f>
        <v>13.25016774891775</v>
      </c>
      <c r="F563" s="168">
        <f>IFERROR(D563*E563,"")</f>
        <v>0.52110839603496906</v>
      </c>
      <c r="G563" s="118">
        <v>11.75</v>
      </c>
      <c r="H563" s="106">
        <v>12.53</v>
      </c>
      <c r="I563" s="118">
        <v>8.8000000000000007</v>
      </c>
      <c r="J563" s="106">
        <v>12.16</v>
      </c>
      <c r="K563" s="118">
        <v>6.76</v>
      </c>
      <c r="L563" s="106">
        <v>11.97</v>
      </c>
      <c r="M563" t="s">
        <v>1920</v>
      </c>
    </row>
    <row r="564" spans="1:13" x14ac:dyDescent="0.25">
      <c r="B564" t="s">
        <v>733</v>
      </c>
      <c r="C564" t="s">
        <v>15</v>
      </c>
      <c r="D564" s="150">
        <f>IFERROR(INDEX('BD Rendimientos'!G:G,MATCH("05.01.01|Bloque alivianado 20x40x20|Uni.|materiales",'BD Rendimientos'!L:L,0)),"")</f>
        <v>7.4346347305076419</v>
      </c>
      <c r="E564" s="159">
        <f>IFERROR(INDEX('BD Materiales'!D:D,MATCH("Bloque alivianado 20x40x20",'BD Materiales'!B:B,0)),"")</f>
        <v>0.44341249999999999</v>
      </c>
      <c r="F564" s="168">
        <f>IFERROR(D564*E564,"")</f>
        <v>3.2966099724412197</v>
      </c>
      <c r="G564" s="118">
        <v>3107</v>
      </c>
      <c r="H564" s="106">
        <v>0.45390000000000003</v>
      </c>
      <c r="I564" s="118">
        <v>3153</v>
      </c>
      <c r="J564" s="106">
        <v>0.42</v>
      </c>
      <c r="K564" s="118">
        <v>1075</v>
      </c>
      <c r="L564" s="106">
        <v>0.45</v>
      </c>
    </row>
    <row r="565" spans="1:13" x14ac:dyDescent="0.25">
      <c r="A565" s="101"/>
      <c r="B565" s="101" t="s">
        <v>775</v>
      </c>
      <c r="C565" s="101" t="s">
        <v>222</v>
      </c>
      <c r="D565" s="152">
        <f>IFERROR(INDEX('BD Rendimientos'!G:G,MATCH("05.01.01|Caoba Roja|lb|materiales",'BD Rendimientos'!L:L,0)),"")</f>
        <v>1.1630871200050985E-3</v>
      </c>
      <c r="E565" s="161">
        <f>IFERROR(INDEX('BD Materiales'!D:D,MATCH("Caoba Roja",'BD Materiales'!B:B,0)),"")</f>
        <v>0.51700000000000002</v>
      </c>
      <c r="F565" s="170">
        <f>IFERROR(D565*E565,"")</f>
        <v>6.0131604104263594E-4</v>
      </c>
      <c r="G565" s="120"/>
      <c r="H565" s="108"/>
      <c r="I565" s="120">
        <v>0.73</v>
      </c>
      <c r="J565" s="108">
        <v>0.51</v>
      </c>
      <c r="K565" s="120"/>
      <c r="L565" s="108"/>
      <c r="M565" s="101" t="s">
        <v>647</v>
      </c>
    </row>
    <row r="566" spans="1:13" x14ac:dyDescent="0.25">
      <c r="B566" t="s">
        <v>785</v>
      </c>
      <c r="C566" t="s">
        <v>174</v>
      </c>
      <c r="D566" s="150">
        <f>IFERROR(INDEX('BD Rendimientos'!G:G,MATCH("05.01.01|Cemento Campeon|saco|materiales",'BD Rendimientos'!L:L,0)),"")</f>
        <v>0.2065080025249599</v>
      </c>
      <c r="E566" s="159">
        <f>IFERROR(INDEX('BD Materiales'!D:D,MATCH("Cemento Campeon",'BD Materiales'!B:B,0)),"")</f>
        <v>6.6975000000000007</v>
      </c>
      <c r="F566" s="168">
        <f>IFERROR(D566*E566,"")</f>
        <v>1.3830873469109191</v>
      </c>
      <c r="G566" s="118">
        <v>82</v>
      </c>
      <c r="H566" s="106">
        <v>6.6159999999999997</v>
      </c>
      <c r="I566" s="118">
        <v>84</v>
      </c>
      <c r="J566" s="106">
        <v>6.8</v>
      </c>
      <c r="K566" s="118">
        <v>33</v>
      </c>
      <c r="L566" s="106">
        <v>6.79</v>
      </c>
    </row>
    <row r="567" spans="1:13" x14ac:dyDescent="0.25">
      <c r="B567" t="s">
        <v>856</v>
      </c>
      <c r="C567" t="s">
        <v>15</v>
      </c>
      <c r="D567" s="150">
        <f>IFERROR(INDEX('BD Rendimientos'!G:G,MATCH("05.01.01|Disco diamante segmentado 9""|Uni.|materiales",'BD Rendimientos'!L:L,0)),"")</f>
        <v>4.6272649367324899E-2</v>
      </c>
      <c r="E567" s="159">
        <f>IFERROR(INDEX('BD Materiales'!D:D,MATCH("Disco diamante segmentado 9""",'BD Materiales'!B:B,0)),"")</f>
        <v>5.35</v>
      </c>
      <c r="F567" s="168">
        <f>IFERROR(D567*E567,"")</f>
        <v>0.2475586741151882</v>
      </c>
      <c r="G567" s="118">
        <v>20</v>
      </c>
      <c r="H567" s="106">
        <v>5.34</v>
      </c>
      <c r="I567" s="118"/>
      <c r="J567" s="106"/>
      <c r="K567" s="118">
        <v>4</v>
      </c>
      <c r="L567" s="106">
        <v>5.34</v>
      </c>
    </row>
    <row r="568" spans="1:13" x14ac:dyDescent="0.25">
      <c r="B568" t="s">
        <v>951</v>
      </c>
      <c r="C568" t="s">
        <v>15</v>
      </c>
      <c r="D568" s="150">
        <f>IFERROR(INDEX('BD Rendimientos'!G:G,MATCH("05.01.01|Plancha espumaflex 2cm|Uni.|materiales",'BD Rendimientos'!L:L,0)),"")</f>
        <v>7.9940893322752692E-3</v>
      </c>
      <c r="E568" s="159">
        <f>IFERROR(INDEX('BD Materiales'!D:D,MATCH("Plancha espumaflex 2cm",'BD Materiales'!B:B,0)),"")</f>
        <v>4.0571428571428569</v>
      </c>
      <c r="F568" s="168">
        <f>IFERROR(D568*E568,"")</f>
        <v>3.2433162433802516E-2</v>
      </c>
      <c r="G568" s="118"/>
      <c r="H568" s="106"/>
      <c r="I568" s="118">
        <v>2</v>
      </c>
      <c r="J568" s="106">
        <v>4.32</v>
      </c>
      <c r="K568" s="118">
        <v>2</v>
      </c>
      <c r="L568" s="106">
        <v>3.95</v>
      </c>
      <c r="M568" t="s">
        <v>1920</v>
      </c>
    </row>
    <row r="569" spans="1:13" x14ac:dyDescent="0.25">
      <c r="B569" t="s">
        <v>997</v>
      </c>
      <c r="C569" t="s">
        <v>15</v>
      </c>
      <c r="D569" s="150">
        <f>IFERROR(INDEX('BD Rendimientos'!G:G,MATCH("05.01.01|Sika Anchofix-2 300ml|Uni.|materiales",'BD Rendimientos'!L:L,0)),"")</f>
        <v>2.6043351489452415E-2</v>
      </c>
      <c r="E569" s="159">
        <f>IFERROR(INDEX('BD Materiales'!D:D,MATCH("Sika Anchofix-2 300ml",'BD Materiales'!B:B,0)),"")</f>
        <v>25.139090909090907</v>
      </c>
      <c r="F569" s="168">
        <f>IFERROR(D569*E569,"")</f>
        <v>0.65470618067075237</v>
      </c>
      <c r="G569" s="118">
        <v>6</v>
      </c>
      <c r="H569" s="106">
        <v>26.23</v>
      </c>
      <c r="I569" s="118"/>
      <c r="J569" s="106"/>
      <c r="K569" s="118">
        <v>5</v>
      </c>
      <c r="L569" s="106">
        <v>23.17</v>
      </c>
    </row>
    <row r="570" spans="1:13" x14ac:dyDescent="0.25">
      <c r="A570" s="101"/>
      <c r="B570" s="101" t="s">
        <v>1047</v>
      </c>
      <c r="C570" s="101" t="s">
        <v>15</v>
      </c>
      <c r="D570" s="152">
        <f>IFERROR(INDEX('BD Rendimientos'!G:G,MATCH("05.01.01|Varilla Hierro D=12mmx12m|Uni.|materiales",'BD Rendimientos'!L:L,0)),"")</f>
        <v>2.5603277219484095E-2</v>
      </c>
      <c r="E570" s="161">
        <f>IFERROR(INDEX('BD Materiales'!D:D,MATCH("Varilla Hierro D=12mmx12m",'BD Materiales'!B:B,0)),"")</f>
        <v>11.714999999999998</v>
      </c>
      <c r="F570" s="170">
        <f>IFERROR(D570*E570,"")</f>
        <v>0.2999423926262561</v>
      </c>
      <c r="G570" s="120"/>
      <c r="H570" s="108"/>
      <c r="I570" s="120"/>
      <c r="J570" s="108"/>
      <c r="K570" s="120">
        <v>4</v>
      </c>
      <c r="L570" s="108">
        <v>11.51</v>
      </c>
      <c r="M570" s="101" t="s">
        <v>647</v>
      </c>
    </row>
    <row r="571" spans="1:13" x14ac:dyDescent="0.25">
      <c r="A571" s="99" t="s">
        <v>5</v>
      </c>
      <c r="B571" s="99"/>
      <c r="C571" s="99"/>
      <c r="D571" s="149"/>
      <c r="E571" s="158"/>
      <c r="F571" s="167"/>
      <c r="G571" s="117"/>
      <c r="H571" s="105"/>
      <c r="I571" s="117"/>
      <c r="J571" s="105"/>
      <c r="K571" s="117"/>
      <c r="L571" s="105"/>
      <c r="M571" s="99"/>
    </row>
    <row r="572" spans="1:13" x14ac:dyDescent="0.25">
      <c r="B572" t="s">
        <v>268</v>
      </c>
      <c r="C572" t="s">
        <v>130</v>
      </c>
      <c r="D572" s="150">
        <f>IFERROR(INDEX('BD Rendimientos'!G:G,MATCH("05.01.01|M. Mampostería De Bloque E=20cm|m2|mano_obra",'BD Rendimientos'!L:L,0)),"")</f>
        <v>1</v>
      </c>
      <c r="E572" s="159">
        <f>IFERROR(INDEX('BD Mano de Obra'!D:D,MATCH("M. Mampostería De Bloque E=20cm",'BD Mano de Obra'!B:B,0)),"")</f>
        <v>6.126666666666666</v>
      </c>
      <c r="F572" s="168">
        <f>IFERROR(D572*E572,"")</f>
        <v>6.126666666666666</v>
      </c>
      <c r="G572" s="118">
        <v>298.76600000000002</v>
      </c>
      <c r="H572" s="106">
        <v>7.38</v>
      </c>
      <c r="I572" s="118">
        <v>627.64</v>
      </c>
      <c r="J572" s="106">
        <v>5.5</v>
      </c>
      <c r="K572" s="118">
        <v>156.22999999999999</v>
      </c>
      <c r="L572" s="106">
        <v>5.5</v>
      </c>
    </row>
    <row r="573" spans="1:13" x14ac:dyDescent="0.25">
      <c r="A573" s="99" t="s">
        <v>2</v>
      </c>
      <c r="B573" s="99"/>
      <c r="C573" s="99"/>
      <c r="D573" s="149"/>
      <c r="E573" s="158"/>
      <c r="F573" s="167"/>
      <c r="G573" s="117"/>
      <c r="H573" s="105"/>
      <c r="I573" s="117"/>
      <c r="J573" s="105"/>
      <c r="K573" s="117"/>
      <c r="L573" s="105"/>
      <c r="M573" s="99"/>
    </row>
    <row r="574" spans="1:13" x14ac:dyDescent="0.25">
      <c r="B574" t="s">
        <v>1176</v>
      </c>
      <c r="C574" t="s">
        <v>15</v>
      </c>
      <c r="D574" s="150">
        <f>IFERROR(INDEX('BD Rendimientos'!G:G,MATCH("05.01.01|Alquiler Andamio|Uni.|equipo",'BD Rendimientos'!L:L,0)),"")</f>
        <v>1.2353581258401076</v>
      </c>
      <c r="E574" s="159">
        <f>IFERROR(INDEX('BD Equipo'!D:D,MATCH("Alquiler Andamio",'BD Equipo'!B:B,0)),"")</f>
        <v>0.35957142857142865</v>
      </c>
      <c r="F574" s="168">
        <f>IFERROR(D574*E574,"")</f>
        <v>0.44419948610565024</v>
      </c>
      <c r="G574" s="118">
        <v>492.05</v>
      </c>
      <c r="H574" s="106">
        <v>0.36</v>
      </c>
      <c r="I574" s="118">
        <v>294</v>
      </c>
      <c r="J574" s="106">
        <v>0.36</v>
      </c>
      <c r="K574" s="118">
        <v>193</v>
      </c>
      <c r="L574" s="106">
        <v>0.36</v>
      </c>
      <c r="M574" t="s">
        <v>1920</v>
      </c>
    </row>
    <row r="575" spans="1:13" x14ac:dyDescent="0.25">
      <c r="B575" t="s">
        <v>1198</v>
      </c>
      <c r="C575" t="s">
        <v>15</v>
      </c>
      <c r="D575" s="150">
        <f>IFERROR(INDEX('BD Rendimientos'!G:G,MATCH("05.01.01|Alquiler de Tablones|Uni.|equipo",'BD Rendimientos'!L:L,0)),"")</f>
        <v>1.2353581258401076</v>
      </c>
      <c r="E575" s="159">
        <f>IFERROR(INDEX('BD Equipo'!D:D,MATCH("Alquiler de Tablones",'BD Equipo'!B:B,0)),"")</f>
        <v>8.9948260869565241E-2</v>
      </c>
      <c r="F575" s="168">
        <f>IFERROR(D575*E575,"")</f>
        <v>0.11111831497040321</v>
      </c>
      <c r="G575" s="118">
        <v>492</v>
      </c>
      <c r="H575" s="106">
        <v>0.09</v>
      </c>
      <c r="I575" s="118">
        <v>294</v>
      </c>
      <c r="J575" s="106">
        <v>0.09</v>
      </c>
      <c r="K575" s="118">
        <v>193</v>
      </c>
      <c r="L575" s="106">
        <v>0.09</v>
      </c>
      <c r="M575" t="s">
        <v>1920</v>
      </c>
    </row>
    <row r="576" spans="1:13" ht="16.5" thickBot="1" x14ac:dyDescent="0.3">
      <c r="A576" s="100"/>
      <c r="B576" s="100" t="s">
        <v>645</v>
      </c>
      <c r="C576" s="100" t="s">
        <v>130</v>
      </c>
      <c r="D576" s="151"/>
      <c r="E576" s="160"/>
      <c r="F576" s="169">
        <f>SUM(F563,F564,F565,F566,F567,F568,F569,F570,F572,F574,F575)</f>
        <v>13.118031909016871</v>
      </c>
      <c r="G576" s="119"/>
      <c r="H576" s="107">
        <v>16.034280607565801</v>
      </c>
      <c r="I576" s="119"/>
      <c r="J576" s="107">
        <v>8.9156208973296796</v>
      </c>
      <c r="K576" s="119"/>
      <c r="L576" s="107">
        <v>12.3279920629841</v>
      </c>
      <c r="M576" s="100" t="s">
        <v>646</v>
      </c>
    </row>
    <row r="577" spans="1:13" ht="16.5" thickTop="1" thickBot="1" x14ac:dyDescent="0.3">
      <c r="D577" s="150"/>
      <c r="E577" s="159"/>
      <c r="F577" s="168"/>
      <c r="G577" s="118"/>
      <c r="H577" s="106"/>
      <c r="I577" s="118"/>
      <c r="J577" s="106"/>
      <c r="K577" s="118"/>
      <c r="L577" s="106"/>
    </row>
    <row r="578" spans="1:13" ht="15.75" thickTop="1" x14ac:dyDescent="0.25">
      <c r="A578" s="97" t="s">
        <v>267</v>
      </c>
      <c r="B578" s="97" t="s">
        <v>266</v>
      </c>
      <c r="C578" s="97" t="s">
        <v>130</v>
      </c>
      <c r="D578" s="148" t="s">
        <v>635</v>
      </c>
      <c r="E578" s="157" t="s">
        <v>636</v>
      </c>
      <c r="F578" s="166" t="s">
        <v>637</v>
      </c>
      <c r="G578" s="116" t="s">
        <v>638</v>
      </c>
      <c r="H578" s="104" t="s">
        <v>639</v>
      </c>
      <c r="I578" s="116" t="s">
        <v>640</v>
      </c>
      <c r="J578" s="104" t="s">
        <v>641</v>
      </c>
      <c r="K578" s="116" t="s">
        <v>642</v>
      </c>
      <c r="L578" s="104" t="s">
        <v>643</v>
      </c>
      <c r="M578" s="97" t="s">
        <v>644</v>
      </c>
    </row>
    <row r="579" spans="1:13" x14ac:dyDescent="0.25">
      <c r="A579" s="99" t="s">
        <v>11</v>
      </c>
      <c r="B579" s="99"/>
      <c r="C579" s="99"/>
      <c r="D579" s="149"/>
      <c r="E579" s="158"/>
      <c r="F579" s="167"/>
      <c r="G579" s="117"/>
      <c r="H579" s="105"/>
      <c r="I579" s="117"/>
      <c r="J579" s="105"/>
      <c r="K579" s="117"/>
      <c r="L579" s="105"/>
      <c r="M579" s="99"/>
    </row>
    <row r="580" spans="1:13" x14ac:dyDescent="0.25">
      <c r="B580" t="s">
        <v>720</v>
      </c>
      <c r="C580" t="s">
        <v>6</v>
      </c>
      <c r="D580" s="150">
        <f>IFERROR(INDEX('BD Rendimientos'!G:G,MATCH("05.01.02|Arena Rosada|m3|materiales",'BD Rendimientos'!L:L,0)),"")</f>
        <v>3.5562912246382264E-2</v>
      </c>
      <c r="E580" s="159">
        <f>IFERROR(INDEX('BD Materiales'!D:D,MATCH("Arena Rosada",'BD Materiales'!B:B,0)),"")</f>
        <v>13.25016774891775</v>
      </c>
      <c r="F580" s="168">
        <f>IFERROR(D580*E580,"")</f>
        <v>0.4712145529046064</v>
      </c>
      <c r="G580" s="118">
        <v>14.18</v>
      </c>
      <c r="H580" s="106">
        <v>12.65</v>
      </c>
      <c r="I580" s="118">
        <v>16</v>
      </c>
      <c r="J580" s="106">
        <v>12.17</v>
      </c>
      <c r="K580" s="118">
        <v>14.8</v>
      </c>
      <c r="L580" s="106">
        <v>12</v>
      </c>
      <c r="M580" t="s">
        <v>1920</v>
      </c>
    </row>
    <row r="581" spans="1:13" x14ac:dyDescent="0.25">
      <c r="B581" t="s">
        <v>731</v>
      </c>
      <c r="C581" t="s">
        <v>15</v>
      </c>
      <c r="D581" s="150">
        <f>IFERROR(INDEX('BD Rendimientos'!G:G,MATCH("05.01.02|Bloque alivianado 15x20x40|Uni.|materiales",'BD Rendimientos'!L:L,0)),"")</f>
        <v>10.019058135462666</v>
      </c>
      <c r="E581" s="159">
        <f>IFERROR(INDEX('BD Materiales'!D:D,MATCH("Bloque alivianado 15x20x40",'BD Materiales'!B:B,0)),"")</f>
        <v>0.34599999999999997</v>
      </c>
      <c r="F581" s="168">
        <f>IFERROR(D581*E581,"")</f>
        <v>3.4665941148700821</v>
      </c>
      <c r="G581" s="118">
        <v>4071</v>
      </c>
      <c r="H581" s="106">
        <v>0.35</v>
      </c>
      <c r="I581" s="118">
        <v>1925</v>
      </c>
      <c r="J581" s="106">
        <v>0.34</v>
      </c>
      <c r="K581" s="118">
        <v>5755</v>
      </c>
      <c r="L581" s="106">
        <v>0.34399999999999997</v>
      </c>
    </row>
    <row r="582" spans="1:13" x14ac:dyDescent="0.25">
      <c r="B582" t="s">
        <v>749</v>
      </c>
      <c r="C582" t="s">
        <v>15</v>
      </c>
      <c r="D582" s="150">
        <f>IFERROR(INDEX('BD Rendimientos'!G:G,MATCH("05.01.02|Broca Concreto 1/2X30cm|Uni.|materiales",'BD Rendimientos'!L:L,0)),"")</f>
        <v>3.3540580521597562E-3</v>
      </c>
      <c r="E582" s="159">
        <f>IFERROR(INDEX('BD Materiales'!D:D,MATCH("Broca Concreto 1/2X30cm",'BD Materiales'!B:B,0)),"")</f>
        <v>5.0999999999999996</v>
      </c>
      <c r="F582" s="168">
        <f>IFERROR(D582*E582,"")</f>
        <v>1.7105696066014756E-2</v>
      </c>
      <c r="G582" s="118">
        <v>2</v>
      </c>
      <c r="H582" s="106">
        <v>5.0999999999999996</v>
      </c>
      <c r="I582" s="118"/>
      <c r="J582" s="106"/>
      <c r="K582" s="118">
        <v>1</v>
      </c>
      <c r="L582" s="106">
        <v>5.0999999999999996</v>
      </c>
    </row>
    <row r="583" spans="1:13" x14ac:dyDescent="0.25">
      <c r="A583" s="101"/>
      <c r="B583" s="101" t="s">
        <v>775</v>
      </c>
      <c r="C583" s="101" t="s">
        <v>222</v>
      </c>
      <c r="D583" s="152">
        <f>IFERROR(INDEX('BD Rendimientos'!G:G,MATCH("05.01.02|Caoba Roja|lb|materiales",'BD Rendimientos'!L:L,0)),"")</f>
        <v>3.8334296066796195E-3</v>
      </c>
      <c r="E583" s="161">
        <f>IFERROR(INDEX('BD Materiales'!D:D,MATCH("Caoba Roja",'BD Materiales'!B:B,0)),"")</f>
        <v>0.51700000000000002</v>
      </c>
      <c r="F583" s="170">
        <f>IFERROR(D583*E583,"")</f>
        <v>1.9818831066533635E-3</v>
      </c>
      <c r="G583" s="120"/>
      <c r="H583" s="108"/>
      <c r="I583" s="120">
        <v>0.73</v>
      </c>
      <c r="J583" s="108">
        <v>0.51</v>
      </c>
      <c r="K583" s="120"/>
      <c r="L583" s="108"/>
      <c r="M583" s="101" t="s">
        <v>647</v>
      </c>
    </row>
    <row r="584" spans="1:13" x14ac:dyDescent="0.25">
      <c r="B584" t="s">
        <v>785</v>
      </c>
      <c r="C584" t="s">
        <v>174</v>
      </c>
      <c r="D584" s="150">
        <f>IFERROR(INDEX('BD Rendimientos'!G:G,MATCH("05.01.02|Cemento Campeon|saco|materiales",'BD Rendimientos'!L:L,0)),"")</f>
        <v>0.17245461546050253</v>
      </c>
      <c r="E584" s="159">
        <f>IFERROR(INDEX('BD Materiales'!D:D,MATCH("Cemento Campeon",'BD Materiales'!B:B,0)),"")</f>
        <v>6.6975000000000007</v>
      </c>
      <c r="F584" s="168">
        <f>IFERROR(D584*E584,"")</f>
        <v>1.1550147870467158</v>
      </c>
      <c r="G584" s="118">
        <v>72</v>
      </c>
      <c r="H584" s="106">
        <v>6.61</v>
      </c>
      <c r="I584" s="118">
        <v>39</v>
      </c>
      <c r="J584" s="106">
        <v>6.81</v>
      </c>
      <c r="K584" s="118">
        <v>78</v>
      </c>
      <c r="L584" s="106">
        <v>6.79</v>
      </c>
    </row>
    <row r="585" spans="1:13" x14ac:dyDescent="0.25">
      <c r="B585" t="s">
        <v>856</v>
      </c>
      <c r="C585" t="s">
        <v>15</v>
      </c>
      <c r="D585" s="150">
        <f>IFERROR(INDEX('BD Rendimientos'!G:G,MATCH("05.01.02|Disco diamante segmentado 9""|Uni.|materiales",'BD Rendimientos'!L:L,0)),"")</f>
        <v>1.5516308869882622E-2</v>
      </c>
      <c r="E585" s="159">
        <f>IFERROR(INDEX('BD Materiales'!D:D,MATCH("Disco diamante segmentado 9""",'BD Materiales'!B:B,0)),"")</f>
        <v>5.35</v>
      </c>
      <c r="F585" s="168">
        <f>IFERROR(D585*E585,"")</f>
        <v>8.3012252453872018E-2</v>
      </c>
      <c r="G585" s="118">
        <v>9</v>
      </c>
      <c r="H585" s="106">
        <v>5.35</v>
      </c>
      <c r="I585" s="118"/>
      <c r="J585" s="106"/>
      <c r="K585" s="118">
        <v>5</v>
      </c>
      <c r="L585" s="106">
        <v>5.35</v>
      </c>
    </row>
    <row r="586" spans="1:13" x14ac:dyDescent="0.25">
      <c r="B586" t="s">
        <v>951</v>
      </c>
      <c r="C586" t="s">
        <v>15</v>
      </c>
      <c r="D586" s="150">
        <f>IFERROR(INDEX('BD Rendimientos'!G:G,MATCH("05.01.02|Plancha espumaflex 2cm|Uni.|materiales",'BD Rendimientos'!L:L,0)),"")</f>
        <v>2.4389474816540548E-2</v>
      </c>
      <c r="E586" s="159">
        <f>IFERROR(INDEX('BD Materiales'!D:D,MATCH("Plancha espumaflex 2cm",'BD Materiales'!B:B,0)),"")</f>
        <v>4.0571428571428569</v>
      </c>
      <c r="F586" s="168">
        <f>IFERROR(D586*E586,"")</f>
        <v>9.8951583541393079E-2</v>
      </c>
      <c r="G586" s="118"/>
      <c r="H586" s="106"/>
      <c r="I586" s="118">
        <v>8</v>
      </c>
      <c r="J586" s="106">
        <v>4.32</v>
      </c>
      <c r="K586" s="118">
        <v>4</v>
      </c>
      <c r="L586" s="106">
        <v>3.95</v>
      </c>
      <c r="M586" t="s">
        <v>1920</v>
      </c>
    </row>
    <row r="587" spans="1:13" x14ac:dyDescent="0.25">
      <c r="B587" t="s">
        <v>997</v>
      </c>
      <c r="C587" t="s">
        <v>15</v>
      </c>
      <c r="D587" s="150">
        <f>IFERROR(INDEX('BD Rendimientos'!G:G,MATCH("05.01.02|Sika Anchofix-2 300ml|Uni.|materiales",'BD Rendimientos'!L:L,0)),"")</f>
        <v>1.7616385531126218E-2</v>
      </c>
      <c r="E587" s="159">
        <f>IFERROR(INDEX('BD Materiales'!D:D,MATCH("Sika Anchofix-2 300ml",'BD Materiales'!B:B,0)),"")</f>
        <v>25.139090909090907</v>
      </c>
      <c r="F587" s="168">
        <f>IFERROR(D587*E587,"")</f>
        <v>0.44285991735657571</v>
      </c>
      <c r="G587" s="118">
        <v>10</v>
      </c>
      <c r="H587" s="106">
        <v>26.33</v>
      </c>
      <c r="I587" s="118"/>
      <c r="J587" s="106"/>
      <c r="K587" s="118">
        <v>6</v>
      </c>
      <c r="L587" s="106">
        <v>23.2</v>
      </c>
    </row>
    <row r="588" spans="1:13" x14ac:dyDescent="0.25">
      <c r="A588" s="101"/>
      <c r="B588" s="101" t="s">
        <v>1044</v>
      </c>
      <c r="C588" s="101" t="s">
        <v>15</v>
      </c>
      <c r="D588" s="152">
        <f>IFERROR(INDEX('BD Rendimientos'!G:G,MATCH("05.01.02|Varilla Hierro D=10mmx12m|Uni.|materiales",'BD Rendimientos'!L:L,0)),"")</f>
        <v>1.6921905406548775E-2</v>
      </c>
      <c r="E588" s="161">
        <f>IFERROR(INDEX('BD Materiales'!D:D,MATCH("Varilla Hierro D=10mmx12m",'BD Materiales'!B:B,0)),"")</f>
        <v>8.1945999999999994</v>
      </c>
      <c r="F588" s="170">
        <f>IFERROR(D588*E588,"")</f>
        <v>0.13866824604450459</v>
      </c>
      <c r="G588" s="120"/>
      <c r="H588" s="108"/>
      <c r="I588" s="120"/>
      <c r="J588" s="108"/>
      <c r="K588" s="120">
        <v>10</v>
      </c>
      <c r="L588" s="108">
        <v>8.16</v>
      </c>
      <c r="M588" s="101" t="s">
        <v>647</v>
      </c>
    </row>
    <row r="589" spans="1:13" x14ac:dyDescent="0.25">
      <c r="A589" s="99" t="s">
        <v>5</v>
      </c>
      <c r="B589" s="99"/>
      <c r="C589" s="99"/>
      <c r="D589" s="149"/>
      <c r="E589" s="158"/>
      <c r="F589" s="167"/>
      <c r="G589" s="117"/>
      <c r="H589" s="105"/>
      <c r="I589" s="117"/>
      <c r="J589" s="105"/>
      <c r="K589" s="117"/>
      <c r="L589" s="105"/>
      <c r="M589" s="99"/>
    </row>
    <row r="590" spans="1:13" x14ac:dyDescent="0.25">
      <c r="B590" t="s">
        <v>1142</v>
      </c>
      <c r="C590" t="s">
        <v>130</v>
      </c>
      <c r="D590" s="150">
        <f>IFERROR(INDEX('BD Rendimientos'!G:G,MATCH("05.01.02|M. Mampostería De Bloque E=15 Cm|m2|mano_obra",'BD Rendimientos'!L:L,0)),"")</f>
        <v>1</v>
      </c>
      <c r="E590" s="159">
        <f>IFERROR(INDEX('BD Mano de Obra'!D:D,MATCH("M. Mampostería De Bloque E=15 Cm",'BD Mano de Obra'!B:B,0)),"")</f>
        <v>5.84</v>
      </c>
      <c r="F590" s="168">
        <f>IFERROR(D590*E590,"")</f>
        <v>5.84</v>
      </c>
      <c r="G590" s="118">
        <v>398.73</v>
      </c>
      <c r="H590" s="106">
        <v>6.92</v>
      </c>
      <c r="I590" s="118">
        <v>190.43</v>
      </c>
      <c r="J590" s="106">
        <v>5.3</v>
      </c>
      <c r="K590" s="118">
        <v>590.95000000000005</v>
      </c>
      <c r="L590" s="106">
        <v>5.3</v>
      </c>
    </row>
    <row r="591" spans="1:13" x14ac:dyDescent="0.25">
      <c r="A591" s="99" t="s">
        <v>2</v>
      </c>
      <c r="B591" s="99"/>
      <c r="C591" s="99"/>
      <c r="D591" s="149"/>
      <c r="E591" s="158"/>
      <c r="F591" s="167"/>
      <c r="G591" s="117"/>
      <c r="H591" s="105"/>
      <c r="I591" s="117"/>
      <c r="J591" s="105"/>
      <c r="K591" s="117"/>
      <c r="L591" s="105"/>
      <c r="M591" s="99"/>
    </row>
    <row r="592" spans="1:13" x14ac:dyDescent="0.25">
      <c r="B592" t="s">
        <v>1176</v>
      </c>
      <c r="C592" t="s">
        <v>15</v>
      </c>
      <c r="D592" s="150">
        <f>IFERROR(INDEX('BD Rendimientos'!G:G,MATCH("05.01.02|Alquiler Andamio|Uni.|equipo",'BD Rendimientos'!L:L,0)),"")</f>
        <v>0.36720534732210847</v>
      </c>
      <c r="E592" s="159">
        <f>IFERROR(INDEX('BD Equipo'!D:D,MATCH("Alquiler Andamio",'BD Equipo'!B:B,0)),"")</f>
        <v>0.35957142857142865</v>
      </c>
      <c r="F592" s="168">
        <f>IFERROR(D592*E592,"")</f>
        <v>0.13203655131567818</v>
      </c>
      <c r="G592" s="118">
        <v>500</v>
      </c>
      <c r="H592" s="106">
        <v>0.36</v>
      </c>
      <c r="I592" s="118">
        <v>60</v>
      </c>
      <c r="J592" s="106">
        <v>0.36</v>
      </c>
      <c r="K592" s="118">
        <v>217</v>
      </c>
      <c r="L592" s="106">
        <v>0.36</v>
      </c>
      <c r="M592" t="s">
        <v>1920</v>
      </c>
    </row>
    <row r="593" spans="1:13" x14ac:dyDescent="0.25">
      <c r="B593" t="s">
        <v>1198</v>
      </c>
      <c r="C593" t="s">
        <v>15</v>
      </c>
      <c r="D593" s="150">
        <f>IFERROR(INDEX('BD Rendimientos'!G:G,MATCH("05.01.02|Alquiler de Tablones|Uni.|equipo",'BD Rendimientos'!L:L,0)),"")</f>
        <v>0.36720534732210847</v>
      </c>
      <c r="E593" s="159">
        <f>IFERROR(INDEX('BD Equipo'!D:D,MATCH("Alquiler de Tablones",'BD Equipo'!B:B,0)),"")</f>
        <v>8.9948260869565241E-2</v>
      </c>
      <c r="F593" s="168">
        <f>IFERROR(D593*E593,"")</f>
        <v>3.3029482373628322E-2</v>
      </c>
      <c r="G593" s="118">
        <v>500</v>
      </c>
      <c r="H593" s="106">
        <v>0.09</v>
      </c>
      <c r="I593" s="118">
        <v>60</v>
      </c>
      <c r="J593" s="106">
        <v>0.09</v>
      </c>
      <c r="K593" s="118">
        <v>217</v>
      </c>
      <c r="L593" s="106">
        <v>0.09</v>
      </c>
      <c r="M593" t="s">
        <v>1920</v>
      </c>
    </row>
    <row r="594" spans="1:13" ht="16.5" thickBot="1" x14ac:dyDescent="0.3">
      <c r="A594" s="100"/>
      <c r="B594" s="100" t="s">
        <v>645</v>
      </c>
      <c r="C594" s="100" t="s">
        <v>130</v>
      </c>
      <c r="D594" s="151"/>
      <c r="E594" s="160"/>
      <c r="F594" s="169">
        <f>SUM(F580,F581,F582,F583,F584,F585,F586,F587,F588,F590,F592,F593)</f>
        <v>11.880469067079726</v>
      </c>
      <c r="G594" s="119"/>
      <c r="H594" s="107">
        <v>13.5079091114288</v>
      </c>
      <c r="I594" s="119"/>
      <c r="J594" s="107">
        <v>11.4793955784278</v>
      </c>
      <c r="K594" s="119"/>
      <c r="L594" s="107">
        <v>10.466325408241</v>
      </c>
      <c r="M594" s="100" t="s">
        <v>646</v>
      </c>
    </row>
    <row r="595" spans="1:13" ht="16.5" thickTop="1" thickBot="1" x14ac:dyDescent="0.3">
      <c r="D595" s="150"/>
      <c r="E595" s="159"/>
      <c r="F595" s="168"/>
      <c r="G595" s="118"/>
      <c r="H595" s="106"/>
      <c r="I595" s="118"/>
      <c r="J595" s="106"/>
      <c r="K595" s="118"/>
      <c r="L595" s="106"/>
    </row>
    <row r="596" spans="1:13" ht="15.75" thickTop="1" x14ac:dyDescent="0.25">
      <c r="A596" s="97" t="s">
        <v>263</v>
      </c>
      <c r="B596" s="97" t="s">
        <v>262</v>
      </c>
      <c r="C596" s="97" t="s">
        <v>130</v>
      </c>
      <c r="D596" s="148" t="s">
        <v>635</v>
      </c>
      <c r="E596" s="157" t="s">
        <v>636</v>
      </c>
      <c r="F596" s="166" t="s">
        <v>637</v>
      </c>
      <c r="G596" s="116" t="s">
        <v>638</v>
      </c>
      <c r="H596" s="104" t="s">
        <v>639</v>
      </c>
      <c r="I596" s="116" t="s">
        <v>640</v>
      </c>
      <c r="J596" s="104" t="s">
        <v>641</v>
      </c>
      <c r="K596" s="116" t="s">
        <v>642</v>
      </c>
      <c r="L596" s="104" t="s">
        <v>643</v>
      </c>
      <c r="M596" s="97" t="s">
        <v>644</v>
      </c>
    </row>
    <row r="597" spans="1:13" x14ac:dyDescent="0.25">
      <c r="A597" s="99" t="s">
        <v>11</v>
      </c>
      <c r="B597" s="99"/>
      <c r="C597" s="99"/>
      <c r="D597" s="149"/>
      <c r="E597" s="158"/>
      <c r="F597" s="167"/>
      <c r="G597" s="117"/>
      <c r="H597" s="105"/>
      <c r="I597" s="117"/>
      <c r="J597" s="105"/>
      <c r="K597" s="117"/>
      <c r="L597" s="105"/>
      <c r="M597" s="99"/>
    </row>
    <row r="598" spans="1:13" x14ac:dyDescent="0.25">
      <c r="B598" t="s">
        <v>720</v>
      </c>
      <c r="C598" t="s">
        <v>6</v>
      </c>
      <c r="D598" s="150">
        <f>IFERROR(INDEX('BD Rendimientos'!G:G,MATCH("05.01.03|Arena Rosada|m3|materiales",'BD Rendimientos'!L:L,0)),"")</f>
        <v>3.4739004349927501E-2</v>
      </c>
      <c r="E598" s="159">
        <f>IFERROR(INDEX('BD Materiales'!D:D,MATCH("Arena Rosada",'BD Materiales'!B:B,0)),"")</f>
        <v>13.25016774891775</v>
      </c>
      <c r="F598" s="168">
        <f>IFERROR(D598*E598,"")</f>
        <v>0.46029763506692278</v>
      </c>
      <c r="G598" s="118">
        <v>5.75</v>
      </c>
      <c r="H598" s="106">
        <v>12.36</v>
      </c>
      <c r="I598" s="118">
        <v>0.8</v>
      </c>
      <c r="J598" s="106">
        <v>12.16</v>
      </c>
      <c r="K598" s="118">
        <v>5.12</v>
      </c>
      <c r="L598" s="106">
        <v>12.08</v>
      </c>
      <c r="M598" t="s">
        <v>1920</v>
      </c>
    </row>
    <row r="599" spans="1:13" x14ac:dyDescent="0.25">
      <c r="B599" t="s">
        <v>729</v>
      </c>
      <c r="C599" t="s">
        <v>15</v>
      </c>
      <c r="D599" s="150">
        <f>IFERROR(INDEX('BD Rendimientos'!G:G,MATCH("05.01.03|Bloque alivianado 10x20x40|Uni.|materiales",'BD Rendimientos'!L:L,0)),"")</f>
        <v>11.021548496755683</v>
      </c>
      <c r="E599" s="159">
        <f>IFERROR(INDEX('BD Materiales'!D:D,MATCH("Bloque alivianado 10x20x40",'BD Materiales'!B:B,0)),"")</f>
        <v>0.33433333333333337</v>
      </c>
      <c r="F599" s="168">
        <f>IFERROR(D599*E599,"")</f>
        <v>3.6848710474153172</v>
      </c>
      <c r="G599" s="118">
        <v>1768</v>
      </c>
      <c r="H599" s="106">
        <v>0.34</v>
      </c>
      <c r="I599" s="118">
        <v>2185</v>
      </c>
      <c r="J599" s="106">
        <v>0.33</v>
      </c>
      <c r="K599" s="118">
        <v>1131</v>
      </c>
      <c r="L599" s="106">
        <v>0.33300000000000002</v>
      </c>
    </row>
    <row r="600" spans="1:13" x14ac:dyDescent="0.25">
      <c r="A600" s="101"/>
      <c r="B600" s="101" t="s">
        <v>775</v>
      </c>
      <c r="C600" s="101" t="s">
        <v>222</v>
      </c>
      <c r="D600" s="152">
        <f>IFERROR(INDEX('BD Rendimientos'!G:G,MATCH("05.01.03|Caoba Roja|lb|materiales",'BD Rendimientos'!L:L,0)),"")</f>
        <v>3.6125080274662848E-3</v>
      </c>
      <c r="E600" s="161">
        <f>IFERROR(INDEX('BD Materiales'!D:D,MATCH("Caoba Roja",'BD Materiales'!B:B,0)),"")</f>
        <v>0.51700000000000002</v>
      </c>
      <c r="F600" s="170">
        <f>IFERROR(D600*E600,"")</f>
        <v>1.8676666502000694E-3</v>
      </c>
      <c r="G600" s="120"/>
      <c r="H600" s="108"/>
      <c r="I600" s="120">
        <v>0.73128000000000004</v>
      </c>
      <c r="J600" s="108">
        <v>0.51</v>
      </c>
      <c r="K600" s="120"/>
      <c r="L600" s="108"/>
      <c r="M600" s="101" t="s">
        <v>647</v>
      </c>
    </row>
    <row r="601" spans="1:13" x14ac:dyDescent="0.25">
      <c r="B601" t="s">
        <v>785</v>
      </c>
      <c r="C601" t="s">
        <v>8</v>
      </c>
      <c r="D601" s="150">
        <f>IFERROR(INDEX('BD Rendimientos'!G:G,MATCH("05.01.03|Cemento Campeon|qq|materiales",'BD Rendimientos'!L:L,0)),"")</f>
        <v>0.24059003501532963</v>
      </c>
      <c r="E601" s="159">
        <f>IFERROR(INDEX('BD Materiales'!D:D,MATCH("Cemento Campeon",'BD Materiales'!B:B,0)),"")</f>
        <v>6.6975000000000007</v>
      </c>
      <c r="F601" s="168">
        <f>IFERROR(D601*E601,"")</f>
        <v>1.6113517595151703</v>
      </c>
      <c r="G601" s="118">
        <v>36</v>
      </c>
      <c r="H601" s="106">
        <v>6.62</v>
      </c>
      <c r="I601" s="118">
        <v>44</v>
      </c>
      <c r="J601" s="106">
        <v>6.81</v>
      </c>
      <c r="K601" s="118">
        <v>28</v>
      </c>
      <c r="L601" s="106">
        <v>6.78</v>
      </c>
    </row>
    <row r="602" spans="1:13" x14ac:dyDescent="0.25">
      <c r="B602" t="s">
        <v>856</v>
      </c>
      <c r="C602" t="s">
        <v>15</v>
      </c>
      <c r="D602" s="150">
        <f>IFERROR(INDEX('BD Rendimientos'!G:G,MATCH("05.01.03|Disco diamante segmentado 9""|Uni.|materiales",'BD Rendimientos'!L:L,0)),"")</f>
        <v>2.4432776258729534E-2</v>
      </c>
      <c r="E602" s="159">
        <f>IFERROR(INDEX('BD Materiales'!D:D,MATCH("Disco diamante segmentado 9""",'BD Materiales'!B:B,0)),"")</f>
        <v>5.35</v>
      </c>
      <c r="F602" s="168">
        <f>IFERROR(D602*E602,"")</f>
        <v>0.130715352984203</v>
      </c>
      <c r="G602" s="118">
        <v>3</v>
      </c>
      <c r="H602" s="106">
        <v>5.36</v>
      </c>
      <c r="I602" s="118"/>
      <c r="J602" s="106"/>
      <c r="K602" s="118">
        <v>3</v>
      </c>
      <c r="L602" s="106">
        <v>5.36</v>
      </c>
    </row>
    <row r="603" spans="1:13" x14ac:dyDescent="0.25">
      <c r="A603" s="101"/>
      <c r="B603" s="101" t="s">
        <v>951</v>
      </c>
      <c r="C603" s="101" t="s">
        <v>15</v>
      </c>
      <c r="D603" s="152">
        <f>IFERROR(INDEX('BD Rendimientos'!G:G,MATCH("05.01.03|Plancha espumaflex 2cm|Uni.|materiales",'BD Rendimientos'!L:L,0)),"")</f>
        <v>4.0987806127677016E-2</v>
      </c>
      <c r="E603" s="161">
        <f>IFERROR(INDEX('BD Materiales'!D:D,MATCH("Plancha espumaflex 2cm",'BD Materiales'!B:B,0)),"")</f>
        <v>4.0571428571428569</v>
      </c>
      <c r="F603" s="170">
        <f>IFERROR(D603*E603,"")</f>
        <v>0.16629338486086104</v>
      </c>
      <c r="G603" s="120"/>
      <c r="H603" s="108"/>
      <c r="I603" s="120"/>
      <c r="J603" s="108"/>
      <c r="K603" s="120">
        <v>4</v>
      </c>
      <c r="L603" s="108">
        <v>3.95</v>
      </c>
      <c r="M603" s="101" t="s">
        <v>647</v>
      </c>
    </row>
    <row r="604" spans="1:13" x14ac:dyDescent="0.25">
      <c r="B604" t="s">
        <v>997</v>
      </c>
      <c r="C604" t="s">
        <v>15</v>
      </c>
      <c r="D604" s="150">
        <f>IFERROR(INDEX('BD Rendimientos'!G:G,MATCH("05.01.03|Sika Anchofix-2 300ml|Uni.|materiales",'BD Rendimientos'!L:L,0)),"")</f>
        <v>2.6535469037738943E-2</v>
      </c>
      <c r="E604" s="159">
        <f>IFERROR(INDEX('BD Materiales'!D:D,MATCH("Sika Anchofix-2 300ml",'BD Materiales'!B:B,0)),"")</f>
        <v>25.139090909090907</v>
      </c>
      <c r="F604" s="168">
        <f>IFERROR(D604*E604,"")</f>
        <v>0.66707756845508626</v>
      </c>
      <c r="G604" s="118">
        <v>2</v>
      </c>
      <c r="H604" s="106">
        <v>26.18</v>
      </c>
      <c r="I604" s="118"/>
      <c r="J604" s="106"/>
      <c r="K604" s="118">
        <v>4</v>
      </c>
      <c r="L604" s="106">
        <v>22.96</v>
      </c>
      <c r="M604" t="s">
        <v>1920</v>
      </c>
    </row>
    <row r="605" spans="1:13" x14ac:dyDescent="0.25">
      <c r="A605" s="99" t="s">
        <v>5</v>
      </c>
      <c r="B605" s="99"/>
      <c r="C605" s="99"/>
      <c r="D605" s="149"/>
      <c r="E605" s="158"/>
      <c r="F605" s="167"/>
      <c r="G605" s="117"/>
      <c r="H605" s="105"/>
      <c r="I605" s="117"/>
      <c r="J605" s="105"/>
      <c r="K605" s="117"/>
      <c r="L605" s="105"/>
      <c r="M605" s="99"/>
    </row>
    <row r="606" spans="1:13" x14ac:dyDescent="0.25">
      <c r="B606" t="s">
        <v>258</v>
      </c>
      <c r="C606" t="s">
        <v>130</v>
      </c>
      <c r="D606" s="150">
        <f>IFERROR(INDEX('BD Rendimientos'!G:G,MATCH("05.01.03|M. Mampostería De Bloque E=10 Cm|m2|mano_obra",'BD Rendimientos'!L:L,0)),"")</f>
        <v>1</v>
      </c>
      <c r="E606" s="159">
        <f>IFERROR(INDEX('BD Mano de Obra'!D:D,MATCH("M. Mampostería De Bloque E=10 Cm",'BD Mano de Obra'!B:B,0)),"")</f>
        <v>5.84</v>
      </c>
      <c r="F606" s="168">
        <f>IFERROR(D606*E606,"")</f>
        <v>5.84</v>
      </c>
      <c r="G606" s="118">
        <v>165.52</v>
      </c>
      <c r="H606" s="106">
        <v>6.92</v>
      </c>
      <c r="I606" s="118">
        <v>202.43</v>
      </c>
      <c r="J606" s="106">
        <v>5.3</v>
      </c>
      <c r="K606" s="118">
        <v>97.59</v>
      </c>
      <c r="L606" s="106">
        <v>5.3</v>
      </c>
    </row>
    <row r="607" spans="1:13" x14ac:dyDescent="0.25">
      <c r="A607" s="99" t="s">
        <v>2</v>
      </c>
      <c r="B607" s="99"/>
      <c r="C607" s="99"/>
      <c r="D607" s="149"/>
      <c r="E607" s="158"/>
      <c r="F607" s="167"/>
      <c r="G607" s="117"/>
      <c r="H607" s="105"/>
      <c r="I607" s="117"/>
      <c r="J607" s="105"/>
      <c r="K607" s="117"/>
      <c r="L607" s="105"/>
      <c r="M607" s="99"/>
    </row>
    <row r="608" spans="1:13" x14ac:dyDescent="0.25">
      <c r="B608" t="s">
        <v>1176</v>
      </c>
      <c r="C608" t="s">
        <v>15</v>
      </c>
      <c r="D608" s="150">
        <f>IFERROR(INDEX('BD Rendimientos'!G:G,MATCH("05.01.03|Alquiler Andamio|Uni.|equipo",'BD Rendimientos'!L:L,0)),"")</f>
        <v>0.80218373708919155</v>
      </c>
      <c r="E608" s="159">
        <f>IFERROR(INDEX('BD Equipo'!D:D,MATCH("Alquiler Andamio",'BD Equipo'!B:B,0)),"")</f>
        <v>0.35957142857142865</v>
      </c>
      <c r="F608" s="168">
        <f>IFERROR(D608*E608,"")</f>
        <v>0.28844235232192794</v>
      </c>
      <c r="G608" s="118"/>
      <c r="H608" s="106"/>
      <c r="I608" s="118">
        <v>24</v>
      </c>
      <c r="J608" s="106">
        <v>0.36</v>
      </c>
      <c r="K608" s="118">
        <v>145</v>
      </c>
      <c r="L608" s="106">
        <v>0.36</v>
      </c>
      <c r="M608" t="s">
        <v>1920</v>
      </c>
    </row>
    <row r="609" spans="1:13" x14ac:dyDescent="0.25">
      <c r="B609" t="s">
        <v>1198</v>
      </c>
      <c r="C609" t="s">
        <v>15</v>
      </c>
      <c r="D609" s="150">
        <f>IFERROR(INDEX('BD Rendimientos'!G:G,MATCH("05.01.03|Alquiler de Tablones|Uni.|equipo",'BD Rendimientos'!L:L,0)),"")</f>
        <v>0.80218373708919155</v>
      </c>
      <c r="E609" s="159">
        <f>IFERROR(INDEX('BD Equipo'!D:D,MATCH("Alquiler de Tablones",'BD Equipo'!B:B,0)),"")</f>
        <v>8.9948260869565241E-2</v>
      </c>
      <c r="F609" s="168">
        <f>IFERROR(D609*E609,"")</f>
        <v>7.2155032049021336E-2</v>
      </c>
      <c r="G609" s="118"/>
      <c r="H609" s="106"/>
      <c r="I609" s="118">
        <v>24</v>
      </c>
      <c r="J609" s="106">
        <v>0.09</v>
      </c>
      <c r="K609" s="118">
        <v>145</v>
      </c>
      <c r="L609" s="106">
        <v>0.09</v>
      </c>
      <c r="M609" t="s">
        <v>1920</v>
      </c>
    </row>
    <row r="610" spans="1:13" ht="16.5" thickBot="1" x14ac:dyDescent="0.3">
      <c r="A610" s="100"/>
      <c r="B610" s="100" t="s">
        <v>645</v>
      </c>
      <c r="C610" s="100" t="s">
        <v>130</v>
      </c>
      <c r="D610" s="151"/>
      <c r="E610" s="160"/>
      <c r="F610" s="169">
        <f>SUM(F598,F599,F600,F601,F602,F603,F604,F606,F608,F609)</f>
        <v>12.923071799318711</v>
      </c>
      <c r="G610" s="119"/>
      <c r="H610" s="107">
        <v>12.834391010149799</v>
      </c>
      <c r="I610" s="119"/>
      <c r="J610" s="107">
        <v>10.4454376959937</v>
      </c>
      <c r="K610" s="119"/>
      <c r="L610" s="107">
        <v>13.674655190080999</v>
      </c>
      <c r="M610" s="100" t="s">
        <v>646</v>
      </c>
    </row>
    <row r="611" spans="1:13" ht="16.5" thickTop="1" thickBot="1" x14ac:dyDescent="0.3">
      <c r="D611" s="150"/>
      <c r="E611" s="159"/>
      <c r="F611" s="168"/>
      <c r="G611" s="118"/>
      <c r="H611" s="106"/>
      <c r="I611" s="118"/>
      <c r="J611" s="106"/>
      <c r="K611" s="118"/>
      <c r="L611" s="106"/>
    </row>
    <row r="612" spans="1:13" ht="15.75" thickTop="1" x14ac:dyDescent="0.25">
      <c r="A612" s="97" t="s">
        <v>257</v>
      </c>
      <c r="B612" s="97" t="s">
        <v>256</v>
      </c>
      <c r="C612" s="97" t="s">
        <v>58</v>
      </c>
      <c r="D612" s="148" t="s">
        <v>635</v>
      </c>
      <c r="E612" s="157" t="s">
        <v>636</v>
      </c>
      <c r="F612" s="166" t="s">
        <v>637</v>
      </c>
      <c r="G612" s="116" t="s">
        <v>638</v>
      </c>
      <c r="H612" s="104" t="s">
        <v>639</v>
      </c>
      <c r="I612" s="116" t="s">
        <v>640</v>
      </c>
      <c r="J612" s="104" t="s">
        <v>641</v>
      </c>
      <c r="K612" s="116" t="s">
        <v>642</v>
      </c>
      <c r="L612" s="104" t="s">
        <v>643</v>
      </c>
      <c r="M612" s="97" t="s">
        <v>644</v>
      </c>
    </row>
    <row r="613" spans="1:13" x14ac:dyDescent="0.25">
      <c r="A613" s="99" t="s">
        <v>11</v>
      </c>
      <c r="B613" s="99"/>
      <c r="C613" s="99"/>
      <c r="D613" s="149"/>
      <c r="E613" s="158"/>
      <c r="F613" s="167"/>
      <c r="G613" s="117"/>
      <c r="H613" s="105"/>
      <c r="I613" s="117"/>
      <c r="J613" s="105"/>
      <c r="K613" s="117"/>
      <c r="L613" s="105"/>
      <c r="M613" s="99"/>
    </row>
    <row r="614" spans="1:13" x14ac:dyDescent="0.25">
      <c r="A614" s="101"/>
      <c r="B614" s="101" t="s">
        <v>701</v>
      </c>
      <c r="C614" s="101" t="s">
        <v>144</v>
      </c>
      <c r="D614" s="152">
        <f>IFERROR(INDEX('BD Rendimientos'!G:G,MATCH("05.01.05|Alambre galvanizado N 14|rollo|materiales",'BD Rendimientos'!L:L,0)),"")</f>
        <v>8.8261253309797009E-3</v>
      </c>
      <c r="E614" s="161">
        <f>IFERROR(INDEX('BD Materiales'!D:D,MATCH("Alambre galvanizado N 14",'BD Materiales'!B:B,0)),"")</f>
        <v>82.972500000000011</v>
      </c>
      <c r="F614" s="170">
        <f>IFERROR(D614*E614,"")</f>
        <v>0.73232568402471332</v>
      </c>
      <c r="G614" s="120">
        <v>1</v>
      </c>
      <c r="H614" s="108">
        <v>86.17</v>
      </c>
      <c r="I614" s="120"/>
      <c r="J614" s="108"/>
      <c r="K614" s="120"/>
      <c r="L614" s="108"/>
      <c r="M614" s="101" t="s">
        <v>647</v>
      </c>
    </row>
    <row r="615" spans="1:13" x14ac:dyDescent="0.25">
      <c r="A615" s="101"/>
      <c r="B615" s="101" t="s">
        <v>543</v>
      </c>
      <c r="C615" s="101" t="s">
        <v>144</v>
      </c>
      <c r="D615" s="152">
        <f>IFERROR(INDEX('BD Rendimientos'!G:G,MATCH("05.01.05|Alambre recocido N.18 (20kg) (Alambre recocido N.18 (20kg))|rollo|materiales",'BD Rendimientos'!L:L,0)),"")</f>
        <v>5.7803468208092483E-3</v>
      </c>
      <c r="E615" s="161">
        <f>IFERROR(INDEX('BD Materiales'!D:D,MATCH("Alambre recocido N.18 (20kg) (Alambre recocido N.18 (20kg))",'BD Materiales'!B:B,0)),"")</f>
        <v>31.17</v>
      </c>
      <c r="F615" s="170">
        <f>IFERROR(D615*E615,"")</f>
        <v>0.18017341040462428</v>
      </c>
      <c r="G615" s="120"/>
      <c r="H615" s="108"/>
      <c r="I615" s="120"/>
      <c r="J615" s="108"/>
      <c r="K615" s="120">
        <v>1</v>
      </c>
      <c r="L615" s="108">
        <v>31.8</v>
      </c>
      <c r="M615" s="101" t="s">
        <v>647</v>
      </c>
    </row>
    <row r="616" spans="1:13" x14ac:dyDescent="0.25">
      <c r="B616" t="s">
        <v>720</v>
      </c>
      <c r="C616" t="s">
        <v>6</v>
      </c>
      <c r="D616" s="150">
        <f>IFERROR(INDEX('BD Rendimientos'!G:G,MATCH("05.01.05|Arena Rosada|m3|materiales",'BD Rendimientos'!L:L,0)),"")</f>
        <v>6.6705100276007734E-3</v>
      </c>
      <c r="E616" s="159">
        <f>IFERROR(INDEX('BD Materiales'!D:D,MATCH("Arena Rosada",'BD Materiales'!B:B,0)),"")</f>
        <v>13.25016774891775</v>
      </c>
      <c r="F616" s="168">
        <f>IFERROR(D616*E616,"")</f>
        <v>8.8385376836548221E-2</v>
      </c>
      <c r="G616" s="118">
        <v>1.04</v>
      </c>
      <c r="H616" s="106">
        <v>13.75</v>
      </c>
      <c r="I616" s="118"/>
      <c r="J616" s="106"/>
      <c r="K616" s="118">
        <v>0.72</v>
      </c>
      <c r="L616" s="106">
        <v>14</v>
      </c>
    </row>
    <row r="617" spans="1:13" x14ac:dyDescent="0.25">
      <c r="A617" s="102"/>
      <c r="B617" s="102" t="s">
        <v>749</v>
      </c>
      <c r="C617" s="102" t="s">
        <v>15</v>
      </c>
      <c r="D617" s="153">
        <f>IFERROR(INDEX('BD Rendimientos'!G:G,MATCH("05.01.05|Broca Concreto 1/2X30cm|Uni.|materiales",'BD Rendimientos'!L:L,0)),"")</f>
        <v>5.8425888607155793E-2</v>
      </c>
      <c r="E617" s="162">
        <f>IFERROR(INDEX('BD Materiales'!D:D,MATCH("Broca Concreto 1/2X30cm",'BD Materiales'!B:B,0)),"")</f>
        <v>5.0999999999999996</v>
      </c>
      <c r="F617" s="171">
        <f>IFERROR(D617*E617,"")</f>
        <v>0.29797203189649452</v>
      </c>
      <c r="G617" s="121">
        <v>8</v>
      </c>
      <c r="H617" s="109">
        <v>5.0999999999999996</v>
      </c>
      <c r="I617" s="121"/>
      <c r="J617" s="109"/>
      <c r="K617" s="121">
        <v>8</v>
      </c>
      <c r="L617" s="109">
        <v>1.89</v>
      </c>
      <c r="M617" s="102" t="s">
        <v>656</v>
      </c>
    </row>
    <row r="618" spans="1:13" x14ac:dyDescent="0.25">
      <c r="A618" s="101"/>
      <c r="B618" s="101" t="s">
        <v>754</v>
      </c>
      <c r="C618" s="101" t="s">
        <v>15</v>
      </c>
      <c r="D618" s="152">
        <f>IFERROR(INDEX('BD Rendimientos'!G:G,MATCH("05.01.05|Broca Madera Titanio3/8""|Uni.|materiales",'BD Rendimientos'!L:L,0)),"")</f>
        <v>1.1560693641618497E-2</v>
      </c>
      <c r="E618" s="161">
        <f>IFERROR(INDEX('BD Materiales'!D:D,MATCH("Broca Madera Titanio3/8""",'BD Materiales'!B:B,0)),"")</f>
        <v>1.02</v>
      </c>
      <c r="F618" s="170">
        <f>IFERROR(D618*E618,"")</f>
        <v>1.1791907514450866E-2</v>
      </c>
      <c r="G618" s="120"/>
      <c r="H618" s="108"/>
      <c r="I618" s="120"/>
      <c r="J618" s="108"/>
      <c r="K618" s="120">
        <v>2</v>
      </c>
      <c r="L618" s="108">
        <v>1.01</v>
      </c>
      <c r="M618" s="101" t="s">
        <v>647</v>
      </c>
    </row>
    <row r="619" spans="1:13" x14ac:dyDescent="0.25">
      <c r="B619" t="s">
        <v>785</v>
      </c>
      <c r="C619" t="s">
        <v>174</v>
      </c>
      <c r="D619" s="150">
        <f>IFERROR(INDEX('BD Rendimientos'!G:G,MATCH("05.01.05|Cemento Campeon|saco|materiales",'BD Rendimientos'!L:L,0)),"")</f>
        <v>0.39391797843314141</v>
      </c>
      <c r="E619" s="159">
        <f>IFERROR(INDEX('BD Materiales'!D:D,MATCH("Cemento Campeon",'BD Materiales'!B:B,0)),"")</f>
        <v>6.6975000000000007</v>
      </c>
      <c r="F619" s="168">
        <f>IFERROR(D619*E619,"")</f>
        <v>2.6382656605559647</v>
      </c>
      <c r="G619" s="118">
        <v>52</v>
      </c>
      <c r="H619" s="106">
        <v>6.61</v>
      </c>
      <c r="I619" s="118">
        <v>26</v>
      </c>
      <c r="J619" s="106">
        <v>6.79</v>
      </c>
      <c r="K619" s="118">
        <v>79</v>
      </c>
      <c r="L619" s="106">
        <v>6.76</v>
      </c>
    </row>
    <row r="620" spans="1:13" x14ac:dyDescent="0.25">
      <c r="A620" s="101"/>
      <c r="B620" s="101" t="s">
        <v>806</v>
      </c>
      <c r="C620" s="101" t="s">
        <v>30</v>
      </c>
      <c r="D620" s="152">
        <f>IFERROR(INDEX('BD Rendimientos'!G:G,MATCH("05.01.05|Clavo de acero blanco chino 1|Kg.|materiales",'BD Rendimientos'!L:L,0)),"")</f>
        <v>8.8261253309797009E-3</v>
      </c>
      <c r="E620" s="161">
        <f>IFERROR(INDEX('BD Materiales'!D:D,MATCH("Clavo de acero blanco chino 1",'BD Materiales'!B:B,0)),"")</f>
        <v>3.145</v>
      </c>
      <c r="F620" s="170">
        <f>IFERROR(D620*E620,"")</f>
        <v>2.775816416593116E-2</v>
      </c>
      <c r="G620" s="120">
        <v>1</v>
      </c>
      <c r="H620" s="108">
        <v>3.14</v>
      </c>
      <c r="I620" s="120"/>
      <c r="J620" s="108"/>
      <c r="K620" s="120"/>
      <c r="L620" s="108"/>
      <c r="M620" s="101" t="s">
        <v>647</v>
      </c>
    </row>
    <row r="621" spans="1:13" x14ac:dyDescent="0.25">
      <c r="A621" s="101"/>
      <c r="B621" s="101" t="s">
        <v>810</v>
      </c>
      <c r="C621" s="101" t="s">
        <v>30</v>
      </c>
      <c r="D621" s="152">
        <f>IFERROR(INDEX('BD Rendimientos'!G:G,MATCH("05.01.05|Clavos de acero 2''|Kg.|materiales",'BD Rendimientos'!L:L,0)),"")</f>
        <v>3.971756398940865E-2</v>
      </c>
      <c r="E621" s="161">
        <f>IFERROR(INDEX('BD Materiales'!D:D,MATCH("Clavos de acero 2''",'BD Materiales'!B:B,0)),"")</f>
        <v>3.2450000000000001</v>
      </c>
      <c r="F621" s="170">
        <f>IFERROR(D621*E621,"")</f>
        <v>0.12888349514563108</v>
      </c>
      <c r="G621" s="120">
        <v>4.5</v>
      </c>
      <c r="H621" s="108">
        <v>3.08</v>
      </c>
      <c r="I621" s="120"/>
      <c r="J621" s="108"/>
      <c r="K621" s="120"/>
      <c r="L621" s="108"/>
      <c r="M621" s="101" t="s">
        <v>647</v>
      </c>
    </row>
    <row r="622" spans="1:13" x14ac:dyDescent="0.25">
      <c r="B622" t="s">
        <v>816</v>
      </c>
      <c r="C622" t="s">
        <v>30</v>
      </c>
      <c r="D622" s="150">
        <f>IFERROR(INDEX('BD Rendimientos'!G:G,MATCH("05.01.05|Clavos de acero 21/2''|Kg.|materiales",'BD Rendimientos'!L:L,0)),"")</f>
        <v>2.6478375992939101E-2</v>
      </c>
      <c r="E622" s="159">
        <f>IFERROR(INDEX('BD Materiales'!D:D,MATCH("Clavos de acero 21/2''",'BD Materiales'!B:B,0)),"")</f>
        <v>3.5214999999999996</v>
      </c>
      <c r="F622" s="168">
        <f>IFERROR(D622*E622,"")</f>
        <v>9.3243601059135039E-2</v>
      </c>
      <c r="G622" s="118">
        <v>3</v>
      </c>
      <c r="H622" s="106">
        <v>3.08</v>
      </c>
      <c r="I622" s="118">
        <v>1</v>
      </c>
      <c r="J622" s="106">
        <v>3.4</v>
      </c>
      <c r="K622" s="118">
        <v>6</v>
      </c>
      <c r="L622" s="106">
        <v>3.94</v>
      </c>
      <c r="M622" t="s">
        <v>1920</v>
      </c>
    </row>
    <row r="623" spans="1:13" x14ac:dyDescent="0.25">
      <c r="B623" t="s">
        <v>824</v>
      </c>
      <c r="C623" t="s">
        <v>30</v>
      </c>
      <c r="D623" s="150">
        <f>IFERROR(INDEX('BD Rendimientos'!G:G,MATCH("05.01.05|Clavos galvanizados 2''|Kg.|materiales",'BD Rendimientos'!L:L,0)),"")</f>
        <v>6.3708809289369367E-2</v>
      </c>
      <c r="E623" s="159">
        <f>IFERROR(INDEX('BD Materiales'!D:D,MATCH("Clavos galvanizados 2''",'BD Materiales'!B:B,0)),"")</f>
        <v>1.9257894736842103</v>
      </c>
      <c r="F623" s="168">
        <f>IFERROR(D623*E623,"")</f>
        <v>0.12268975431042235</v>
      </c>
      <c r="G623" s="118">
        <v>6.25</v>
      </c>
      <c r="H623" s="106">
        <v>1.78</v>
      </c>
      <c r="I623" s="118"/>
      <c r="J623" s="106"/>
      <c r="K623" s="118">
        <v>12.5</v>
      </c>
      <c r="L623" s="106">
        <v>2.0099999999999998</v>
      </c>
    </row>
    <row r="624" spans="1:13" x14ac:dyDescent="0.25">
      <c r="B624" t="s">
        <v>820</v>
      </c>
      <c r="C624" t="s">
        <v>30</v>
      </c>
      <c r="D624" s="150">
        <f>IFERROR(INDEX('BD Rendimientos'!G:G,MATCH("05.01.05|Clavos galvanizados 2 1/2''|Kg.|materiales",'BD Rendimientos'!L:L,0)),"")</f>
        <v>5.7803468208092484E-2</v>
      </c>
      <c r="E624" s="159">
        <f>IFERROR(INDEX('BD Materiales'!D:D,MATCH("Clavos galvanizados 2 1/2''",'BD Materiales'!B:B,0)),"")</f>
        <v>1.8223333333333334</v>
      </c>
      <c r="F624" s="168">
        <f>IFERROR(D624*E624,"")</f>
        <v>0.10533718689788053</v>
      </c>
      <c r="G624" s="118">
        <v>7</v>
      </c>
      <c r="H624" s="106">
        <v>1.68</v>
      </c>
      <c r="I624" s="118">
        <v>1</v>
      </c>
      <c r="J624" s="106">
        <v>1.96</v>
      </c>
      <c r="K624" s="118">
        <v>10</v>
      </c>
      <c r="L624" s="106">
        <v>1.9</v>
      </c>
      <c r="M624" t="s">
        <v>1920</v>
      </c>
    </row>
    <row r="625" spans="1:13" x14ac:dyDescent="0.25">
      <c r="B625" t="s">
        <v>846</v>
      </c>
      <c r="C625" t="s">
        <v>15</v>
      </c>
      <c r="D625" s="150">
        <f>IFERROR(INDEX('BD Rendimientos'!G:G,MATCH("05.01.05|Disco Corte Madera 7|Uni.|materiales",'BD Rendimientos'!L:L,0)),"")</f>
        <v>1.1716298741384325E-2</v>
      </c>
      <c r="E625" s="159">
        <f>IFERROR(INDEX('BD Materiales'!D:D,MATCH("Disco Corte Madera 7",'BD Materiales'!B:B,0)),"")</f>
        <v>8.452</v>
      </c>
      <c r="F625" s="168">
        <f>IFERROR(D625*E625,"")</f>
        <v>9.9026156962180312E-2</v>
      </c>
      <c r="G625" s="118">
        <v>2</v>
      </c>
      <c r="H625" s="106">
        <v>9.08</v>
      </c>
      <c r="I625" s="118"/>
      <c r="J625" s="106"/>
      <c r="K625" s="118">
        <v>1</v>
      </c>
      <c r="L625" s="106">
        <v>7.4</v>
      </c>
      <c r="M625" t="s">
        <v>1920</v>
      </c>
    </row>
    <row r="626" spans="1:13" x14ac:dyDescent="0.25">
      <c r="A626" s="101"/>
      <c r="B626" s="101" t="s">
        <v>854</v>
      </c>
      <c r="C626" s="101" t="s">
        <v>15</v>
      </c>
      <c r="D626" s="152">
        <f>IFERROR(INDEX('BD Rendimientos'!G:G,MATCH("05.01.05|Disco de corte metal 9""|Uni.|materiales",'BD Rendimientos'!L:L,0)),"")</f>
        <v>5.2956751985878202E-2</v>
      </c>
      <c r="E626" s="161">
        <f>IFERROR(INDEX('BD Materiales'!D:D,MATCH("Disco de corte metal 9""",'BD Materiales'!B:B,0)),"")</f>
        <v>2.5252631578947367</v>
      </c>
      <c r="F626" s="170">
        <f>IFERROR(D626*E626,"")</f>
        <v>0.13372973475170716</v>
      </c>
      <c r="G626" s="120">
        <v>6</v>
      </c>
      <c r="H626" s="108">
        <v>2.5299999999999998</v>
      </c>
      <c r="I626" s="120"/>
      <c r="J626" s="108"/>
      <c r="K626" s="120"/>
      <c r="L626" s="108"/>
      <c r="M626" s="101" t="s">
        <v>647</v>
      </c>
    </row>
    <row r="627" spans="1:13" x14ac:dyDescent="0.25">
      <c r="A627" s="102"/>
      <c r="B627" s="102" t="s">
        <v>856</v>
      </c>
      <c r="C627" s="102" t="s">
        <v>15</v>
      </c>
      <c r="D627" s="153">
        <f>IFERROR(INDEX('BD Rendimientos'!G:G,MATCH("05.01.05|Disco diamante segmentado 9""|Uni.|materiales",'BD Rendimientos'!L:L,0)),"")</f>
        <v>4.1985317000749971E-2</v>
      </c>
      <c r="E627" s="162">
        <f>IFERROR(INDEX('BD Materiales'!D:D,MATCH("Disco diamante segmentado 9""",'BD Materiales'!B:B,0)),"")</f>
        <v>5.35</v>
      </c>
      <c r="F627" s="171">
        <f>IFERROR(D627*E627,"")</f>
        <v>0.22462144595401232</v>
      </c>
      <c r="G627" s="121">
        <v>1</v>
      </c>
      <c r="H627" s="109">
        <v>5.31</v>
      </c>
      <c r="I627" s="121"/>
      <c r="J627" s="109"/>
      <c r="K627" s="121">
        <v>13</v>
      </c>
      <c r="L627" s="109">
        <v>2.46</v>
      </c>
      <c r="M627" s="102" t="s">
        <v>657</v>
      </c>
    </row>
    <row r="628" spans="1:13" x14ac:dyDescent="0.25">
      <c r="A628" s="101"/>
      <c r="B628" s="101" t="s">
        <v>64</v>
      </c>
      <c r="C628" s="101" t="s">
        <v>15</v>
      </c>
      <c r="D628" s="152">
        <f>IFERROR(INDEX('BD Rendimientos'!G:G,MATCH("05.01.05|Malla Armex Elect.6mmx15x15R188 (Malla Armex Elect.6mmx15x15 R188)|Uni.|materiales",'BD Rendimientos'!L:L,0)),"")</f>
        <v>8.8261253309797009E-3</v>
      </c>
      <c r="E628" s="161">
        <f>IFERROR(INDEX('BD Materiales'!D:D,MATCH("Malla Armex Elect.6mmx15x15R188 (Malla Armex Elect.6mmx15x15 R188)",'BD Materiales'!B:B,0)),"")</f>
        <v>50.794114583333339</v>
      </c>
      <c r="F628" s="170">
        <f>IFERROR(D628*E628,"")</f>
        <v>0.44831522138864383</v>
      </c>
      <c r="G628" s="120">
        <v>1</v>
      </c>
      <c r="H628" s="108">
        <v>51.87</v>
      </c>
      <c r="I628" s="120"/>
      <c r="J628" s="108"/>
      <c r="K628" s="120"/>
      <c r="L628" s="108"/>
      <c r="M628" s="101" t="s">
        <v>647</v>
      </c>
    </row>
    <row r="629" spans="1:13" x14ac:dyDescent="0.25">
      <c r="A629" s="101"/>
      <c r="B629" s="101" t="s">
        <v>155</v>
      </c>
      <c r="C629" s="101" t="s">
        <v>144</v>
      </c>
      <c r="D629" s="152">
        <f>IFERROR(INDEX('BD Rendimientos'!G:G,MATCH("05.01.05|Malla para tumbado (rollo) (Malla para tumbado (rollo))|rollo|materiales",'BD Rendimientos'!L:L,0)),"")</f>
        <v>5.7803468208092483E-3</v>
      </c>
      <c r="E629" s="161">
        <f>IFERROR(INDEX('BD Materiales'!D:D,MATCH("Malla para tumbado (rollo) (Malla para tumbado (rollo))",'BD Materiales'!B:B,0)),"")</f>
        <v>12.525</v>
      </c>
      <c r="F629" s="170">
        <f>IFERROR(D629*E629,"")</f>
        <v>7.2398843930635837E-2</v>
      </c>
      <c r="G629" s="120"/>
      <c r="H629" s="108"/>
      <c r="I629" s="120"/>
      <c r="J629" s="108"/>
      <c r="K629" s="120">
        <v>1</v>
      </c>
      <c r="L629" s="108">
        <v>13.16</v>
      </c>
      <c r="M629" s="101" t="s">
        <v>647</v>
      </c>
    </row>
    <row r="630" spans="1:13" x14ac:dyDescent="0.25">
      <c r="B630" t="s">
        <v>603</v>
      </c>
      <c r="C630" t="s">
        <v>6</v>
      </c>
      <c r="D630" s="150">
        <f>IFERROR(INDEX('BD Rendimientos'!G:G,MATCH("05.01.05|Polvo Azul|m3|materiales",'BD Rendimientos'!L:L,0)),"")</f>
        <v>2.4033811572800767E-2</v>
      </c>
      <c r="E630" s="159">
        <f>IFERROR(INDEX('BD Materiales'!D:D,MATCH("Polvo Azul",'BD Materiales'!B:B,0)),"")</f>
        <v>14.547574523429788</v>
      </c>
      <c r="F630" s="168">
        <f>IFERROR(D630*E630,"")</f>
        <v>0.34963366493738846</v>
      </c>
      <c r="G630" s="118">
        <v>2.2000000000000002</v>
      </c>
      <c r="H630" s="106">
        <v>12.46</v>
      </c>
      <c r="I630" s="118">
        <v>2.12</v>
      </c>
      <c r="J630" s="106">
        <v>14.75</v>
      </c>
      <c r="K630" s="118">
        <v>5.36</v>
      </c>
      <c r="L630" s="106">
        <v>13.02</v>
      </c>
    </row>
    <row r="631" spans="1:13" x14ac:dyDescent="0.25">
      <c r="B631" t="s">
        <v>602</v>
      </c>
      <c r="C631" t="s">
        <v>6</v>
      </c>
      <c r="D631" s="150">
        <f>IFERROR(INDEX('BD Rendimientos'!G:G,MATCH("05.01.05|Ripio|m3|materiales",'BD Rendimientos'!L:L,0)),"")</f>
        <v>2.1193515816498476E-2</v>
      </c>
      <c r="E631" s="159">
        <f>IFERROR(INDEX('BD Materiales'!D:D,MATCH("Ripio",'BD Materiales'!B:B,0)),"")</f>
        <v>13.895122287420717</v>
      </c>
      <c r="F631" s="168">
        <f>IFERROR(D631*E631,"")</f>
        <v>0.29448649397063148</v>
      </c>
      <c r="G631" s="118">
        <v>2.42</v>
      </c>
      <c r="H631" s="106">
        <v>12.86</v>
      </c>
      <c r="I631" s="118">
        <v>1.64</v>
      </c>
      <c r="J631" s="106">
        <v>11.84</v>
      </c>
      <c r="K631" s="118">
        <v>4.4000000000000004</v>
      </c>
      <c r="L631" s="106">
        <v>12.39</v>
      </c>
    </row>
    <row r="632" spans="1:13" x14ac:dyDescent="0.25">
      <c r="A632" s="101"/>
      <c r="B632" s="101" t="s">
        <v>987</v>
      </c>
      <c r="C632" s="101" t="s">
        <v>15</v>
      </c>
      <c r="D632" s="152">
        <f>IFERROR(INDEX('BD Rendimientos'!G:G,MATCH("05.01.05|Sierra Sanflex Hoja|Uni.|materiales",'BD Rendimientos'!L:L,0)),"")</f>
        <v>3.4682080924855488E-2</v>
      </c>
      <c r="E632" s="161">
        <f>IFERROR(INDEX('BD Materiales'!D:D,MATCH("Sierra Sanflex Hoja",'BD Materiales'!B:B,0)),"")</f>
        <v>0.92727272727272725</v>
      </c>
      <c r="F632" s="170">
        <f>IFERROR(D632*E632,"")</f>
        <v>3.2159747766684177E-2</v>
      </c>
      <c r="G632" s="120"/>
      <c r="H632" s="108"/>
      <c r="I632" s="120"/>
      <c r="J632" s="108"/>
      <c r="K632" s="120">
        <v>6</v>
      </c>
      <c r="L632" s="108">
        <v>0.96</v>
      </c>
      <c r="M632" s="101" t="s">
        <v>647</v>
      </c>
    </row>
    <row r="633" spans="1:13" x14ac:dyDescent="0.25">
      <c r="B633" t="s">
        <v>997</v>
      </c>
      <c r="C633" t="s">
        <v>15</v>
      </c>
      <c r="D633" s="150">
        <f>IFERROR(INDEX('BD Rendimientos'!G:G,MATCH("05.01.05|Sika Anchofix-2 300ml|Uni.|materiales",'BD Rendimientos'!L:L,0)),"")</f>
        <v>7.7756633623966245E-2</v>
      </c>
      <c r="E633" s="159">
        <f>IFERROR(INDEX('BD Materiales'!D:D,MATCH("Sika Anchofix-2 300ml",'BD Materiales'!B:B,0)),"")</f>
        <v>25.139090909090907</v>
      </c>
      <c r="F633" s="168">
        <f>IFERROR(D633*E633,"")</f>
        <v>1.9547310814577621</v>
      </c>
      <c r="G633" s="118">
        <v>15</v>
      </c>
      <c r="H633" s="106">
        <v>26.4</v>
      </c>
      <c r="I633" s="118"/>
      <c r="J633" s="106"/>
      <c r="K633" s="118">
        <v>4</v>
      </c>
      <c r="L633" s="106">
        <v>24.72</v>
      </c>
      <c r="M633" t="s">
        <v>1920</v>
      </c>
    </row>
    <row r="634" spans="1:13" x14ac:dyDescent="0.25">
      <c r="B634" t="s">
        <v>597</v>
      </c>
      <c r="C634" t="s">
        <v>15</v>
      </c>
      <c r="D634" s="150">
        <f>IFERROR(INDEX('BD Rendimientos'!G:G,MATCH("05.01.05|Sikadur Primer 32|Uni.|materiales",'BD Rendimientos'!L:L,0)),"")</f>
        <v>7.3032360758944741E-3</v>
      </c>
      <c r="E634" s="159">
        <f>IFERROR(INDEX('BD Materiales'!D:D,MATCH("Sikadur Primer 32",'BD Materiales'!B:B,0)),"")</f>
        <v>70.289999999999992</v>
      </c>
      <c r="F634" s="168">
        <f>IFERROR(D634*E634,"")</f>
        <v>0.51334446377462251</v>
      </c>
      <c r="G634" s="118">
        <v>1</v>
      </c>
      <c r="H634" s="106">
        <v>52.87</v>
      </c>
      <c r="I634" s="118"/>
      <c r="J634" s="106"/>
      <c r="K634" s="118">
        <v>1</v>
      </c>
      <c r="L634" s="106">
        <v>87.71</v>
      </c>
    </row>
    <row r="635" spans="1:13" x14ac:dyDescent="0.25">
      <c r="B635" t="s">
        <v>606</v>
      </c>
      <c r="C635" t="s">
        <v>15</v>
      </c>
      <c r="D635" s="150">
        <f>IFERROR(INDEX('BD Rendimientos'!G:G,MATCH("05.01.05|Tablas de Monte|Uni.|materiales",'BD Rendimientos'!L:L,0)),"")</f>
        <v>0.17652250661959401</v>
      </c>
      <c r="E635" s="159">
        <f>IFERROR(INDEX('BD Materiales'!D:D,MATCH("Tablas de Monte",'BD Materiales'!B:B,0)),"")</f>
        <v>2.4034925925925932</v>
      </c>
      <c r="F635" s="168">
        <f>IFERROR(D635*E635,"")</f>
        <v>0.42427053708607121</v>
      </c>
      <c r="G635" s="118">
        <v>20</v>
      </c>
      <c r="H635" s="106">
        <v>2.34</v>
      </c>
      <c r="I635" s="118">
        <v>4</v>
      </c>
      <c r="J635" s="106">
        <v>2.39</v>
      </c>
      <c r="K635" s="118">
        <v>43</v>
      </c>
      <c r="L635" s="106">
        <v>2.39</v>
      </c>
      <c r="M635" t="s">
        <v>1920</v>
      </c>
    </row>
    <row r="636" spans="1:13" x14ac:dyDescent="0.25">
      <c r="B636" t="s">
        <v>1029</v>
      </c>
      <c r="C636" t="s">
        <v>15</v>
      </c>
      <c r="D636" s="150">
        <f>IFERROR(INDEX('BD Rendimientos'!G:G,MATCH("05.01.05|Tiza Industrial|Uni.|materiales",'BD Rendimientos'!L:L,0)),"")</f>
        <v>4.4875490411154594E-2</v>
      </c>
      <c r="E636" s="159">
        <f>IFERROR(INDEX('BD Materiales'!D:D,MATCH("Tiza Industrial",'BD Materiales'!B:B,0)),"")</f>
        <v>0.11418750000000004</v>
      </c>
      <c r="F636" s="168">
        <f>IFERROR(D636*E636,"")</f>
        <v>5.1242200613237166E-3</v>
      </c>
      <c r="G636" s="118">
        <v>1</v>
      </c>
      <c r="H636" s="106">
        <v>0.11</v>
      </c>
      <c r="I636" s="118"/>
      <c r="J636" s="106"/>
      <c r="K636" s="118">
        <v>14</v>
      </c>
      <c r="L636" s="106">
        <v>0.11</v>
      </c>
      <c r="M636" t="s">
        <v>1920</v>
      </c>
    </row>
    <row r="637" spans="1:13" x14ac:dyDescent="0.25">
      <c r="A637" s="101"/>
      <c r="B637" s="101" t="s">
        <v>1056</v>
      </c>
      <c r="C637" s="101" t="s">
        <v>545</v>
      </c>
      <c r="D637" s="152">
        <f>IFERROR(INDEX('BD Rendimientos'!G:G,MATCH("05.01.05|Varilla Hierro D=8mmx12m|V8|materiales",'BD Rendimientos'!L:L,0)),"")</f>
        <v>1.1560693641618497E-2</v>
      </c>
      <c r="E637" s="161">
        <f>IFERROR(INDEX('BD Materiales'!D:D,MATCH("Varilla Hierro D=8mmx12m",'BD Materiales'!B:B,0)),"")</f>
        <v>5.32</v>
      </c>
      <c r="F637" s="170">
        <f>IFERROR(D637*E637,"")</f>
        <v>6.1502890173410402E-2</v>
      </c>
      <c r="G637" s="120"/>
      <c r="H637" s="108"/>
      <c r="I637" s="120"/>
      <c r="J637" s="108"/>
      <c r="K637" s="120">
        <v>2</v>
      </c>
      <c r="L637" s="108">
        <v>5.32</v>
      </c>
      <c r="M637" s="101" t="s">
        <v>647</v>
      </c>
    </row>
    <row r="638" spans="1:13" x14ac:dyDescent="0.25">
      <c r="B638" t="s">
        <v>1044</v>
      </c>
      <c r="C638" t="s">
        <v>62</v>
      </c>
      <c r="D638" s="150">
        <f>IFERROR(INDEX('BD Rendimientos'!G:G,MATCH("05.01.05|Varilla Hierro D=10mmx12m|V10|materiales",'BD Rendimientos'!L:L,0)),"")</f>
        <v>0.41969495342409663</v>
      </c>
      <c r="E638" s="159">
        <f>IFERROR(INDEX('BD Materiales'!D:D,MATCH("Varilla Hierro D=10mmx12m",'BD Materiales'!B:B,0)),"")</f>
        <v>8.1945999999999994</v>
      </c>
      <c r="F638" s="168">
        <f>IFERROR(D638*E638,"")</f>
        <v>3.4392322653291019</v>
      </c>
      <c r="G638" s="118">
        <v>3</v>
      </c>
      <c r="H638" s="106">
        <v>8.14</v>
      </c>
      <c r="I638" s="118">
        <v>41</v>
      </c>
      <c r="J638" s="106">
        <v>8.06</v>
      </c>
      <c r="K638" s="118">
        <v>165</v>
      </c>
      <c r="L638" s="106">
        <v>8.2899999999999991</v>
      </c>
      <c r="M638" t="s">
        <v>1920</v>
      </c>
    </row>
    <row r="639" spans="1:13" x14ac:dyDescent="0.25">
      <c r="A639" s="101"/>
      <c r="B639" s="101" t="s">
        <v>246</v>
      </c>
      <c r="C639" s="101" t="s">
        <v>15</v>
      </c>
      <c r="D639" s="152">
        <f>IFERROR(INDEX('BD Rendimientos'!G:G,MATCH("05.01.05|Viga Columna V1 (7.0 mm .10x10) (Viga Columna V1 (7.0 mm .10x10))|Uni.|materiales",'BD Rendimientos'!L:L,0)),"")</f>
        <v>0.14121800529567521</v>
      </c>
      <c r="E639" s="161">
        <f>IFERROR(INDEX('BD Materiales'!D:D,MATCH("Viga Columna V1 (7.0 mm .10x10) (Viga Columna V1 (7.0 mm .10x10))",'BD Materiales'!B:B,0)),"")</f>
        <v>15.895</v>
      </c>
      <c r="F639" s="170">
        <f>IFERROR(D639*E639,"")</f>
        <v>2.2446601941747573</v>
      </c>
      <c r="G639" s="120">
        <v>16</v>
      </c>
      <c r="H639" s="108">
        <v>15.86</v>
      </c>
      <c r="I639" s="120"/>
      <c r="J639" s="108"/>
      <c r="K639" s="120"/>
      <c r="L639" s="108"/>
      <c r="M639" s="101" t="s">
        <v>647</v>
      </c>
    </row>
    <row r="640" spans="1:13" x14ac:dyDescent="0.25">
      <c r="A640" s="99" t="s">
        <v>5</v>
      </c>
      <c r="B640" s="99"/>
      <c r="C640" s="99"/>
      <c r="D640" s="149"/>
      <c r="E640" s="158"/>
      <c r="F640" s="167"/>
      <c r="G640" s="117"/>
      <c r="H640" s="105"/>
      <c r="I640" s="117"/>
      <c r="J640" s="105"/>
      <c r="K640" s="117"/>
      <c r="L640" s="105"/>
      <c r="M640" s="99"/>
    </row>
    <row r="641" spans="1:13" x14ac:dyDescent="0.25">
      <c r="B641" t="s">
        <v>255</v>
      </c>
      <c r="C641" t="s">
        <v>58</v>
      </c>
      <c r="D641" s="150">
        <f>IFERROR(INDEX('BD Rendimientos'!G:G,MATCH("05.01.05|M. Dinteles De Hormigón F'c = 180 Kg/Cm2|m|mano_obra",'BD Rendimientos'!L:L,0)),"")</f>
        <v>1</v>
      </c>
      <c r="E641" s="159">
        <f>IFERROR(INDEX('BD Mano de Obra'!D:D,MATCH("M. Dinteles De Hormigón F'c = 180 Kg/Cm2",'BD Mano de Obra'!B:B,0)),"")</f>
        <v>6.3700160371242367</v>
      </c>
      <c r="F641" s="168">
        <f>IFERROR(D641*E641,"")</f>
        <v>6.3700160371242367</v>
      </c>
      <c r="G641" s="118">
        <v>113.3</v>
      </c>
      <c r="H641" s="106">
        <v>6.37</v>
      </c>
      <c r="I641" s="118">
        <v>97.69</v>
      </c>
      <c r="J641" s="106">
        <v>6.3700481113727099</v>
      </c>
      <c r="K641" s="118">
        <v>173</v>
      </c>
      <c r="L641" s="106">
        <v>6.37</v>
      </c>
    </row>
    <row r="642" spans="1:13" x14ac:dyDescent="0.25">
      <c r="A642" s="99" t="s">
        <v>2</v>
      </c>
      <c r="B642" s="99"/>
      <c r="C642" s="99"/>
      <c r="D642" s="149"/>
      <c r="E642" s="158"/>
      <c r="F642" s="167"/>
      <c r="G642" s="117"/>
      <c r="H642" s="105"/>
      <c r="I642" s="117"/>
      <c r="J642" s="105"/>
      <c r="K642" s="117"/>
      <c r="L642" s="105"/>
      <c r="M642" s="99"/>
    </row>
    <row r="643" spans="1:13" x14ac:dyDescent="0.25">
      <c r="B643" t="s">
        <v>1176</v>
      </c>
      <c r="C643" t="s">
        <v>15</v>
      </c>
      <c r="D643" s="150">
        <f>IFERROR(INDEX('BD Rendimientos'!G:G,MATCH("05.01.05|Alquiler Andamio|Uni.|equipo",'BD Rendimientos'!L:L,0)),"")</f>
        <v>4.4307149161518096</v>
      </c>
      <c r="E643" s="159">
        <f>IFERROR(INDEX('BD Equipo'!D:D,MATCH("Alquiler Andamio",'BD Equipo'!B:B,0)),"")</f>
        <v>0.35957142857142865</v>
      </c>
      <c r="F643" s="168">
        <f>IFERROR(D643*E643,"")</f>
        <v>1.5931584919934438</v>
      </c>
      <c r="G643" s="118">
        <v>502</v>
      </c>
      <c r="H643" s="106">
        <v>0.36</v>
      </c>
      <c r="I643" s="118">
        <v>42</v>
      </c>
      <c r="J643" s="106">
        <v>0.36</v>
      </c>
      <c r="K643" s="118">
        <v>778</v>
      </c>
      <c r="L643" s="106">
        <v>0.36</v>
      </c>
      <c r="M643" t="s">
        <v>1920</v>
      </c>
    </row>
    <row r="644" spans="1:13" x14ac:dyDescent="0.25">
      <c r="B644" t="s">
        <v>1198</v>
      </c>
      <c r="C644" t="s">
        <v>15</v>
      </c>
      <c r="D644" s="150">
        <f>IFERROR(INDEX('BD Rendimientos'!G:G,MATCH("05.01.05|Alquiler de Tablones|Uni.|equipo",'BD Rendimientos'!L:L,0)),"")</f>
        <v>4.4307149161518096</v>
      </c>
      <c r="E644" s="159">
        <f>IFERROR(INDEX('BD Equipo'!D:D,MATCH("Alquiler de Tablones",'BD Equipo'!B:B,0)),"")</f>
        <v>8.9948260869565241E-2</v>
      </c>
      <c r="F644" s="168">
        <f>IFERROR(D644*E644,"")</f>
        <v>0.39853510111669688</v>
      </c>
      <c r="G644" s="118">
        <v>502</v>
      </c>
      <c r="H644" s="106">
        <v>0.09</v>
      </c>
      <c r="I644" s="118">
        <v>42</v>
      </c>
      <c r="J644" s="106">
        <v>0.09</v>
      </c>
      <c r="K644" s="118">
        <v>778</v>
      </c>
      <c r="L644" s="106">
        <v>0.09</v>
      </c>
      <c r="M644" t="s">
        <v>1920</v>
      </c>
    </row>
    <row r="645" spans="1:13" x14ac:dyDescent="0.25">
      <c r="A645" s="101"/>
      <c r="B645" s="101" t="s">
        <v>1180</v>
      </c>
      <c r="C645" s="101" t="s">
        <v>15</v>
      </c>
      <c r="D645" s="152">
        <f>IFERROR(INDEX('BD Rendimientos'!G:G,MATCH("05.01.05|Alquiler Puntales|Uni.|equipo",'BD Rendimientos'!L:L,0)),"")</f>
        <v>5.4335260115606934</v>
      </c>
      <c r="E645" s="161">
        <f>IFERROR(INDEX('BD Equipo'!D:D,MATCH("Alquiler Puntales",'BD Equipo'!B:B,0)),"")</f>
        <v>0.05</v>
      </c>
      <c r="F645" s="170">
        <f>IFERROR(D645*E645,"")</f>
        <v>0.27167630057803466</v>
      </c>
      <c r="G645" s="120"/>
      <c r="H645" s="108"/>
      <c r="I645" s="120"/>
      <c r="J645" s="108"/>
      <c r="K645" s="120">
        <v>940</v>
      </c>
      <c r="L645" s="108">
        <v>0.05</v>
      </c>
      <c r="M645" s="101" t="s">
        <v>647</v>
      </c>
    </row>
    <row r="646" spans="1:13" ht="16.5" thickBot="1" x14ac:dyDescent="0.3">
      <c r="A646" s="100"/>
      <c r="B646" s="100" t="s">
        <v>645</v>
      </c>
      <c r="C646" s="100" t="s">
        <v>58</v>
      </c>
      <c r="D646" s="151"/>
      <c r="E646" s="160"/>
      <c r="F646" s="169">
        <f>SUM(F614,F615,F616,F617,F618,F619,F620,F621,F622,F623,F624,F625,F626,F627,F628,F629,F630,F631,F632,F633,F634,F635,F636,F637,F638,F639,F641,F643,F644,F645)</f>
        <v>23.357449165343137</v>
      </c>
      <c r="G646" s="119"/>
      <c r="H646" s="107">
        <v>21.224617828773201</v>
      </c>
      <c r="I646" s="119"/>
      <c r="J646" s="107">
        <v>12.4249933462995</v>
      </c>
      <c r="K646" s="119"/>
      <c r="L646" s="107">
        <v>23.190336416185001</v>
      </c>
      <c r="M646" s="100" t="s">
        <v>646</v>
      </c>
    </row>
    <row r="647" spans="1:13" ht="16.5" thickTop="1" thickBot="1" x14ac:dyDescent="0.3">
      <c r="D647" s="150"/>
      <c r="E647" s="159"/>
      <c r="F647" s="168"/>
      <c r="G647" s="118"/>
      <c r="H647" s="106"/>
      <c r="I647" s="118"/>
      <c r="J647" s="106"/>
      <c r="K647" s="118"/>
      <c r="L647" s="106"/>
    </row>
    <row r="648" spans="1:13" ht="15.75" thickTop="1" x14ac:dyDescent="0.25">
      <c r="A648" s="97" t="s">
        <v>254</v>
      </c>
      <c r="B648" s="97" t="s">
        <v>253</v>
      </c>
      <c r="C648" s="97" t="s">
        <v>3</v>
      </c>
      <c r="D648" s="148" t="s">
        <v>635</v>
      </c>
      <c r="E648" s="157" t="s">
        <v>636</v>
      </c>
      <c r="F648" s="166" t="s">
        <v>637</v>
      </c>
      <c r="G648" s="116" t="s">
        <v>638</v>
      </c>
      <c r="H648" s="104" t="s">
        <v>639</v>
      </c>
      <c r="I648" s="116" t="s">
        <v>640</v>
      </c>
      <c r="J648" s="104" t="s">
        <v>641</v>
      </c>
      <c r="K648" s="116" t="s">
        <v>642</v>
      </c>
      <c r="L648" s="104" t="s">
        <v>643</v>
      </c>
      <c r="M648" s="97" t="s">
        <v>644</v>
      </c>
    </row>
    <row r="649" spans="1:13" x14ac:dyDescent="0.25">
      <c r="A649" s="99" t="s">
        <v>11</v>
      </c>
      <c r="B649" s="99"/>
      <c r="C649" s="99"/>
      <c r="D649" s="149"/>
      <c r="E649" s="158"/>
      <c r="F649" s="167"/>
      <c r="G649" s="117"/>
      <c r="H649" s="105"/>
      <c r="I649" s="117"/>
      <c r="J649" s="105"/>
      <c r="K649" s="117"/>
      <c r="L649" s="105"/>
      <c r="M649" s="99"/>
    </row>
    <row r="650" spans="1:13" x14ac:dyDescent="0.25">
      <c r="A650" s="101"/>
      <c r="B650" s="101" t="s">
        <v>701</v>
      </c>
      <c r="C650" s="101" t="s">
        <v>144</v>
      </c>
      <c r="D650" s="152">
        <f>IFERROR(INDEX('BD Rendimientos'!G:G,MATCH("05.01.06|Alambre galvanizado N 14|rollo|materiales",'BD Rendimientos'!L:L,0)),"")</f>
        <v>3.8535645472061657E-3</v>
      </c>
      <c r="E650" s="161">
        <f>IFERROR(INDEX('BD Materiales'!D:D,MATCH("Alambre galvanizado N 14",'BD Materiales'!B:B,0)),"")</f>
        <v>82.972500000000011</v>
      </c>
      <c r="F650" s="170">
        <f>IFERROR(D650*E650,"")</f>
        <v>0.31973988439306361</v>
      </c>
      <c r="G650" s="120">
        <v>1</v>
      </c>
      <c r="H650" s="108">
        <v>86.17</v>
      </c>
      <c r="I650" s="120"/>
      <c r="J650" s="108"/>
      <c r="K650" s="120"/>
      <c r="L650" s="108"/>
      <c r="M650" s="101" t="s">
        <v>647</v>
      </c>
    </row>
    <row r="651" spans="1:13" x14ac:dyDescent="0.25">
      <c r="A651" s="101"/>
      <c r="B651" s="101" t="s">
        <v>735</v>
      </c>
      <c r="C651" s="101" t="s">
        <v>15</v>
      </c>
      <c r="D651" s="152">
        <f>IFERROR(INDEX('BD Rendimientos'!G:G,MATCH("05.01.06|Bondex Plus 25kg|Uni.|materiales",'BD Rendimientos'!L:L,0)),"")</f>
        <v>3.4682080924855488E-2</v>
      </c>
      <c r="E651" s="161">
        <f>IFERROR(INDEX('BD Materiales'!D:D,MATCH("Bondex Plus 25kg",'BD Materiales'!B:B,0)),"")</f>
        <v>6.63</v>
      </c>
      <c r="F651" s="170">
        <f>IFERROR(D651*E651,"")</f>
        <v>0.22994219653179188</v>
      </c>
      <c r="G651" s="120">
        <v>9</v>
      </c>
      <c r="H651" s="108">
        <v>6.63</v>
      </c>
      <c r="I651" s="120"/>
      <c r="J651" s="108"/>
      <c r="K651" s="120"/>
      <c r="L651" s="108"/>
      <c r="M651" s="101" t="s">
        <v>647</v>
      </c>
    </row>
    <row r="652" spans="1:13" x14ac:dyDescent="0.25">
      <c r="A652" s="101"/>
      <c r="B652" s="101" t="s">
        <v>745</v>
      </c>
      <c r="C652" s="101" t="s">
        <v>15</v>
      </c>
      <c r="D652" s="152">
        <f>IFERROR(INDEX('BD Rendimientos'!G:G,MATCH("05.01.06|Broca Concreto 1/2"" 13mm|Uni.|materiales",'BD Rendimientos'!L:L,0)),"")</f>
        <v>2.8542797881539468E-2</v>
      </c>
      <c r="E652" s="161">
        <f>IFERROR(INDEX('BD Materiales'!D:D,MATCH("Broca Concreto 1/2"" 13mm",'BD Materiales'!B:B,0)),"")</f>
        <v>1.5049999999999999</v>
      </c>
      <c r="F652" s="170">
        <f>IFERROR(D652*E652,"")</f>
        <v>4.2956910811716896E-2</v>
      </c>
      <c r="G652" s="120">
        <v>3</v>
      </c>
      <c r="H652" s="108"/>
      <c r="I652" s="120">
        <v>10</v>
      </c>
      <c r="J652" s="108">
        <v>1.78</v>
      </c>
      <c r="K652" s="120"/>
      <c r="L652" s="108"/>
      <c r="M652" s="101" t="s">
        <v>658</v>
      </c>
    </row>
    <row r="653" spans="1:13" x14ac:dyDescent="0.25">
      <c r="B653" t="s">
        <v>785</v>
      </c>
      <c r="C653" t="s">
        <v>8</v>
      </c>
      <c r="D653" s="150">
        <f>IFERROR(INDEX('BD Rendimientos'!G:G,MATCH("05.01.06|Cemento Campeon|qq|materiales",'BD Rendimientos'!L:L,0)),"")</f>
        <v>0.15149792716962998</v>
      </c>
      <c r="E653" s="159">
        <f>IFERROR(INDEX('BD Materiales'!D:D,MATCH("Cemento Campeon",'BD Materiales'!B:B,0)),"")</f>
        <v>6.6975000000000007</v>
      </c>
      <c r="F653" s="168">
        <f>IFERROR(D653*E653,"")</f>
        <v>1.014657367218597</v>
      </c>
      <c r="G653" s="118">
        <v>55</v>
      </c>
      <c r="H653" s="106">
        <v>6.62</v>
      </c>
      <c r="I653" s="118">
        <v>20</v>
      </c>
      <c r="J653" s="106">
        <v>6.79</v>
      </c>
      <c r="K653" s="118"/>
      <c r="L653" s="106"/>
    </row>
    <row r="654" spans="1:13" x14ac:dyDescent="0.25">
      <c r="A654" s="101"/>
      <c r="B654" s="101" t="s">
        <v>796</v>
      </c>
      <c r="C654" s="101" t="s">
        <v>15</v>
      </c>
      <c r="D654" s="152">
        <f>IFERROR(INDEX('BD Rendimientos'!G:G,MATCH("05.01.06|Cepillo de acero 5f cromado|Uni.|materiales",'BD Rendimientos'!L:L,0)),"")</f>
        <v>1.8209960848584176E-2</v>
      </c>
      <c r="E654" s="161">
        <f>IFERROR(INDEX('BD Materiales'!D:D,MATCH("Cepillo de acero 5f cromado",'BD Materiales'!B:B,0)),"")</f>
        <v>1.2999999999999998</v>
      </c>
      <c r="F654" s="170">
        <f>IFERROR(D654*E654,"")</f>
        <v>2.3672949103159424E-2</v>
      </c>
      <c r="G654" s="120"/>
      <c r="H654" s="108"/>
      <c r="I654" s="120">
        <v>4</v>
      </c>
      <c r="J654" s="108">
        <v>1.45</v>
      </c>
      <c r="K654" s="120"/>
      <c r="L654" s="108"/>
      <c r="M654" s="101" t="s">
        <v>647</v>
      </c>
    </row>
    <row r="655" spans="1:13" x14ac:dyDescent="0.25">
      <c r="B655" t="s">
        <v>798</v>
      </c>
      <c r="C655" t="s">
        <v>15</v>
      </c>
      <c r="D655" s="150">
        <f>IFERROR(INDEX('BD Rendimientos'!G:G,MATCH("05.01.06|Chapisco 25 kg|Uni.|materiales",'BD Rendimientos'!L:L,0)),"")</f>
        <v>2.1544067842103849E-2</v>
      </c>
      <c r="E655" s="159">
        <f>IFERROR(INDEX('BD Materiales'!D:D,MATCH("Chapisco 25 kg",'BD Materiales'!B:B,0)),"")</f>
        <v>7.6570634920634939</v>
      </c>
      <c r="F655" s="168">
        <f>IFERROR(D655*E655,"")</f>
        <v>0.16496429534431251</v>
      </c>
      <c r="G655" s="118">
        <v>10</v>
      </c>
      <c r="H655" s="106">
        <v>7.4</v>
      </c>
      <c r="I655" s="118">
        <v>1</v>
      </c>
      <c r="J655" s="106">
        <v>8.06</v>
      </c>
      <c r="K655" s="118"/>
      <c r="L655" s="106"/>
      <c r="M655" t="s">
        <v>1920</v>
      </c>
    </row>
    <row r="656" spans="1:13" x14ac:dyDescent="0.25">
      <c r="A656" s="101"/>
      <c r="B656" s="101" t="s">
        <v>806</v>
      </c>
      <c r="C656" s="101" t="s">
        <v>30</v>
      </c>
      <c r="D656" s="152">
        <f>IFERROR(INDEX('BD Rendimientos'!G:G,MATCH("05.01.06|Clavo de acero blanco chino 1|Kg.|materiales",'BD Rendimientos'!L:L,0)),"")</f>
        <v>1.9267822736030828E-3</v>
      </c>
      <c r="E656" s="161">
        <f>IFERROR(INDEX('BD Materiales'!D:D,MATCH("Clavo de acero blanco chino 1",'BD Materiales'!B:B,0)),"")</f>
        <v>3.145</v>
      </c>
      <c r="F656" s="170">
        <f>IFERROR(D656*E656,"")</f>
        <v>6.0597302504816954E-3</v>
      </c>
      <c r="G656" s="120">
        <v>0.5</v>
      </c>
      <c r="H656" s="108">
        <v>3.14</v>
      </c>
      <c r="I656" s="120"/>
      <c r="J656" s="108"/>
      <c r="K656" s="120"/>
      <c r="L656" s="108"/>
      <c r="M656" s="101" t="s">
        <v>647</v>
      </c>
    </row>
    <row r="657" spans="1:13" x14ac:dyDescent="0.25">
      <c r="A657" s="102"/>
      <c r="B657" s="102" t="s">
        <v>810</v>
      </c>
      <c r="C657" s="102" t="s">
        <v>30</v>
      </c>
      <c r="D657" s="153">
        <f>IFERROR(INDEX('BD Rendimientos'!G:G,MATCH("05.01.06|Clavos de acero 2''|Kg.|materiales",'BD Rendimientos'!L:L,0)),"")</f>
        <v>9.0199830636838122E-3</v>
      </c>
      <c r="E657" s="162">
        <f>IFERROR(INDEX('BD Materiales'!D:D,MATCH("Clavos de acero 2''",'BD Materiales'!B:B,0)),"")</f>
        <v>3.2450000000000001</v>
      </c>
      <c r="F657" s="171">
        <f>IFERROR(D657*E657,"")</f>
        <v>2.9269845041653971E-2</v>
      </c>
      <c r="G657" s="121">
        <v>3.5</v>
      </c>
      <c r="H657" s="109">
        <v>3.06</v>
      </c>
      <c r="I657" s="121">
        <v>1</v>
      </c>
      <c r="J657" s="109">
        <v>7.2</v>
      </c>
      <c r="K657" s="121"/>
      <c r="L657" s="109"/>
      <c r="M657" s="102" t="s">
        <v>654</v>
      </c>
    </row>
    <row r="658" spans="1:13" x14ac:dyDescent="0.25">
      <c r="B658" t="s">
        <v>824</v>
      </c>
      <c r="C658" t="s">
        <v>30</v>
      </c>
      <c r="D658" s="150">
        <f>IFERROR(INDEX('BD Rendimientos'!G:G,MATCH("05.01.06|Clavos galvanizados 2''|Kg.|materiales",'BD Rendimientos'!L:L,0)),"")</f>
        <v>1.0176052427845661E-2</v>
      </c>
      <c r="E658" s="159">
        <f>IFERROR(INDEX('BD Materiales'!D:D,MATCH("Clavos galvanizados 2''",'BD Materiales'!B:B,0)),"")</f>
        <v>1.9257894736842103</v>
      </c>
      <c r="F658" s="168">
        <f>IFERROR(D658*E658,"")</f>
        <v>1.9596934649203826E-2</v>
      </c>
      <c r="G658" s="118">
        <v>4.0999999999999996</v>
      </c>
      <c r="H658" s="106">
        <v>1.84</v>
      </c>
      <c r="I658" s="118">
        <v>1</v>
      </c>
      <c r="J658" s="106">
        <v>2.08</v>
      </c>
      <c r="K658" s="118"/>
      <c r="L658" s="106"/>
      <c r="M658" t="s">
        <v>1920</v>
      </c>
    </row>
    <row r="659" spans="1:13" x14ac:dyDescent="0.25">
      <c r="B659" t="s">
        <v>820</v>
      </c>
      <c r="C659" t="s">
        <v>30</v>
      </c>
      <c r="D659" s="150">
        <f>IFERROR(INDEX('BD Rendimientos'!G:G,MATCH("05.01.06|Clavos galvanizados 2 1/2''|Kg.|materiales",'BD Rendimientos'!L:L,0)),"")</f>
        <v>1.1428460905687665E-2</v>
      </c>
      <c r="E659" s="159">
        <f>IFERROR(INDEX('BD Materiales'!D:D,MATCH("Clavos galvanizados 2 1/2''",'BD Materiales'!B:B,0)),"")</f>
        <v>1.8223333333333334</v>
      </c>
      <c r="F659" s="168">
        <f>IFERROR(D659*E659,"")</f>
        <v>2.0826465257131489E-2</v>
      </c>
      <c r="G659" s="118">
        <v>4.75</v>
      </c>
      <c r="H659" s="106">
        <v>1.78</v>
      </c>
      <c r="I659" s="118">
        <v>1</v>
      </c>
      <c r="J659" s="106">
        <v>1.94</v>
      </c>
      <c r="K659" s="118"/>
      <c r="L659" s="106"/>
      <c r="M659" t="s">
        <v>1920</v>
      </c>
    </row>
    <row r="660" spans="1:13" x14ac:dyDescent="0.25">
      <c r="A660" s="101"/>
      <c r="B660" s="101" t="s">
        <v>834</v>
      </c>
      <c r="C660" s="101" t="s">
        <v>15</v>
      </c>
      <c r="D660" s="152">
        <f>IFERROR(INDEX('BD Rendimientos'!G:G,MATCH("05.01.06|Cuarton 6 x 4 de eucalipto|Uni.|materiales",'BD Rendimientos'!L:L,0)),"")</f>
        <v>1.9267822736030827E-2</v>
      </c>
      <c r="E660" s="161">
        <f>IFERROR(INDEX('BD Materiales'!D:D,MATCH("Cuarton 6 x 4 de eucalipto",'BD Materiales'!B:B,0)),"")</f>
        <v>2.0149999999999997</v>
      </c>
      <c r="F660" s="170">
        <f>IFERROR(D660*E660,"")</f>
        <v>3.8824662813102109E-2</v>
      </c>
      <c r="G660" s="120">
        <v>5</v>
      </c>
      <c r="H660" s="108">
        <v>1.88</v>
      </c>
      <c r="I660" s="120"/>
      <c r="J660" s="108"/>
      <c r="K660" s="120"/>
      <c r="L660" s="108"/>
      <c r="M660" s="101" t="s">
        <v>647</v>
      </c>
    </row>
    <row r="661" spans="1:13" x14ac:dyDescent="0.25">
      <c r="B661" t="s">
        <v>851</v>
      </c>
      <c r="C661" t="s">
        <v>15</v>
      </c>
      <c r="D661" s="150">
        <f>IFERROR(INDEX('BD Rendimientos'!G:G,MATCH("05.01.06|Disco de corte de diamante 9""|Uni.|materiales",'BD Rendimientos'!L:L,0)),"")</f>
        <v>6.3385400137574682E-2</v>
      </c>
      <c r="E661" s="159">
        <f>IFERROR(INDEX('BD Materiales'!D:D,MATCH("Disco de corte de diamante 9""",'BD Materiales'!B:B,0)),"")</f>
        <v>7.3260000000000005</v>
      </c>
      <c r="F661" s="168">
        <f>IFERROR(D661*E661,"")</f>
        <v>0.46436144140787217</v>
      </c>
      <c r="G661" s="118">
        <v>1</v>
      </c>
      <c r="H661" s="106">
        <v>7.2</v>
      </c>
      <c r="I661" s="118">
        <v>27</v>
      </c>
      <c r="J661" s="106">
        <v>7.2</v>
      </c>
      <c r="K661" s="118"/>
      <c r="L661" s="106"/>
      <c r="M661" t="s">
        <v>1920</v>
      </c>
    </row>
    <row r="662" spans="1:13" x14ac:dyDescent="0.25">
      <c r="B662" t="s">
        <v>854</v>
      </c>
      <c r="C662" t="s">
        <v>15</v>
      </c>
      <c r="D662" s="150">
        <f>IFERROR(INDEX('BD Rendimientos'!G:G,MATCH("05.01.06|Disco de corte metal 9""|Uni.|materiales",'BD Rendimientos'!L:L,0)),"")</f>
        <v>2.2063525395790342E-2</v>
      </c>
      <c r="E662" s="159">
        <f>IFERROR(INDEX('BD Materiales'!D:D,MATCH("Disco de corte metal 9""",'BD Materiales'!B:B,0)),"")</f>
        <v>2.5252631578947367</v>
      </c>
      <c r="F662" s="168">
        <f>IFERROR(D662*E662,"")</f>
        <v>5.5716207815264242E-2</v>
      </c>
      <c r="G662" s="118">
        <v>2</v>
      </c>
      <c r="H662" s="106">
        <v>2.52</v>
      </c>
      <c r="I662" s="118">
        <v>8</v>
      </c>
      <c r="J662" s="106">
        <v>2.61</v>
      </c>
      <c r="K662" s="118"/>
      <c r="L662" s="106"/>
      <c r="M662" t="s">
        <v>1920</v>
      </c>
    </row>
    <row r="663" spans="1:13" x14ac:dyDescent="0.25">
      <c r="B663" t="s">
        <v>155</v>
      </c>
      <c r="C663" t="s">
        <v>15</v>
      </c>
      <c r="D663" s="150">
        <f>IFERROR(INDEX('BD Rendimientos'!G:G,MATCH("05.01.06|Malla para tumbado (rollo) (Malla para tumbado (rollo))|Uni.|materiales",'BD Rendimientos'!L:L,0)),"")</f>
        <v>6.479272485749127E-3</v>
      </c>
      <c r="E663" s="159">
        <f>IFERROR(INDEX('BD Materiales'!D:D,MATCH("Malla para tumbado (rollo) (Malla para tumbado (rollo))",'BD Materiales'!B:B,0)),"")</f>
        <v>12.525</v>
      </c>
      <c r="F663" s="168">
        <f>IFERROR(D663*E663,"")</f>
        <v>8.1152887884007818E-2</v>
      </c>
      <c r="G663" s="118">
        <v>1</v>
      </c>
      <c r="H663" s="106">
        <v>10.58</v>
      </c>
      <c r="I663" s="118">
        <v>2</v>
      </c>
      <c r="J663" s="106">
        <v>14.56</v>
      </c>
      <c r="K663" s="118"/>
      <c r="L663" s="106"/>
    </row>
    <row r="664" spans="1:13" x14ac:dyDescent="0.25">
      <c r="A664" s="101"/>
      <c r="B664" s="101" t="s">
        <v>906</v>
      </c>
      <c r="C664" s="101" t="s">
        <v>102</v>
      </c>
      <c r="D664" s="152">
        <f>IFERROR(INDEX('BD Rendimientos'!G:G,MATCH("05.01.06|Malla Tela fina x metros|mts.|materiales",'BD Rendimientos'!L:L,0)),"")</f>
        <v>3.8535645472061657E-3</v>
      </c>
      <c r="E664" s="161">
        <f>IFERROR(INDEX('BD Materiales'!D:D,MATCH("Malla Tela fina x metros",'BD Materiales'!B:B,0)),"")</f>
        <v>2.8</v>
      </c>
      <c r="F664" s="170">
        <f>IFERROR(D664*E664,"")</f>
        <v>1.0789980732177263E-2</v>
      </c>
      <c r="G664" s="120">
        <v>1</v>
      </c>
      <c r="H664" s="108">
        <v>2.8</v>
      </c>
      <c r="I664" s="120"/>
      <c r="J664" s="108"/>
      <c r="K664" s="120"/>
      <c r="L664" s="108"/>
      <c r="M664" s="101" t="s">
        <v>647</v>
      </c>
    </row>
    <row r="665" spans="1:13" x14ac:dyDescent="0.25">
      <c r="A665" s="101"/>
      <c r="B665" s="101" t="s">
        <v>930</v>
      </c>
      <c r="C665" s="101" t="s">
        <v>15</v>
      </c>
      <c r="D665" s="152">
        <f>IFERROR(INDEX('BD Rendimientos'!G:G,MATCH("05.01.06|Maxilastic 3.8lt/4.33kg|Uni.|materiales",'BD Rendimientos'!L:L,0)),"")</f>
        <v>4.552490212146044E-3</v>
      </c>
      <c r="E665" s="161">
        <f>IFERROR(INDEX('BD Materiales'!D:D,MATCH("Maxilastic 3.8lt/4.33kg",'BD Materiales'!B:B,0)),"")</f>
        <v>37.835000000000001</v>
      </c>
      <c r="F665" s="170">
        <f>IFERROR(D665*E665,"")</f>
        <v>0.17224346717654557</v>
      </c>
      <c r="G665" s="120"/>
      <c r="H665" s="108"/>
      <c r="I665" s="120">
        <v>1</v>
      </c>
      <c r="J665" s="108">
        <v>38.5</v>
      </c>
      <c r="K665" s="120"/>
      <c r="L665" s="108"/>
      <c r="M665" s="101" t="s">
        <v>647</v>
      </c>
    </row>
    <row r="666" spans="1:13" x14ac:dyDescent="0.25">
      <c r="A666" s="101"/>
      <c r="B666" s="101" t="s">
        <v>951</v>
      </c>
      <c r="C666" s="101" t="s">
        <v>15</v>
      </c>
      <c r="D666" s="152">
        <f>IFERROR(INDEX('BD Rendimientos'!G:G,MATCH("05.01.06|Plancha espumaflex 2cm|Uni.|materiales",'BD Rendimientos'!L:L,0)),"")</f>
        <v>1.3657470636438131E-2</v>
      </c>
      <c r="E666" s="161">
        <f>IFERROR(INDEX('BD Materiales'!D:D,MATCH("Plancha espumaflex 2cm",'BD Materiales'!B:B,0)),"")</f>
        <v>4.0571428571428569</v>
      </c>
      <c r="F666" s="170">
        <f>IFERROR(D666*E666,"")</f>
        <v>5.5410309439263269E-2</v>
      </c>
      <c r="G666" s="120"/>
      <c r="H666" s="108"/>
      <c r="I666" s="120">
        <v>3</v>
      </c>
      <c r="J666" s="108">
        <v>3.95</v>
      </c>
      <c r="K666" s="120"/>
      <c r="L666" s="108"/>
      <c r="M666" s="101" t="s">
        <v>647</v>
      </c>
    </row>
    <row r="667" spans="1:13" x14ac:dyDescent="0.25">
      <c r="B667" t="s">
        <v>603</v>
      </c>
      <c r="C667" t="s">
        <v>6</v>
      </c>
      <c r="D667" s="150">
        <f>IFERROR(INDEX('BD Rendimientos'!G:G,MATCH("05.01.06|Polvo Azul|m3|materiales",'BD Rendimientos'!L:L,0)),"")</f>
        <v>9.5281251792707494E-3</v>
      </c>
      <c r="E667" s="159">
        <f>IFERROR(INDEX('BD Materiales'!D:D,MATCH("Polvo Azul",'BD Materiales'!B:B,0)),"")</f>
        <v>14.547574523429788</v>
      </c>
      <c r="F667" s="168">
        <f>IFERROR(D667*E667,"")</f>
        <v>0.13861111111400903</v>
      </c>
      <c r="G667" s="118">
        <v>4</v>
      </c>
      <c r="H667" s="106">
        <v>12.3</v>
      </c>
      <c r="I667" s="118">
        <v>0.8</v>
      </c>
      <c r="J667" s="106">
        <v>17.04</v>
      </c>
      <c r="K667" s="118"/>
      <c r="L667" s="106"/>
      <c r="M667" t="s">
        <v>1920</v>
      </c>
    </row>
    <row r="668" spans="1:13" x14ac:dyDescent="0.25">
      <c r="A668" s="101"/>
      <c r="B668" s="101" t="s">
        <v>967</v>
      </c>
      <c r="C668" s="101" t="s">
        <v>6</v>
      </c>
      <c r="D668" s="152">
        <f>IFERROR(INDEX('BD Rendimientos'!G:G,MATCH("05.01.06|Polvo Rosado|m3|materiales",'BD Rendimientos'!L:L,0)),"")</f>
        <v>3.0828516377649326E-3</v>
      </c>
      <c r="E668" s="161">
        <f>IFERROR(INDEX('BD Materiales'!D:D,MATCH("Polvo Rosado",'BD Materiales'!B:B,0)),"")</f>
        <v>13.75</v>
      </c>
      <c r="F668" s="170">
        <f>IFERROR(D668*E668,"")</f>
        <v>4.238921001926782E-2</v>
      </c>
      <c r="G668" s="120">
        <v>0.8</v>
      </c>
      <c r="H668" s="108">
        <v>13.75</v>
      </c>
      <c r="I668" s="120"/>
      <c r="J668" s="108"/>
      <c r="K668" s="120"/>
      <c r="L668" s="108"/>
      <c r="M668" s="101" t="s">
        <v>647</v>
      </c>
    </row>
    <row r="669" spans="1:13" x14ac:dyDescent="0.25">
      <c r="B669" t="s">
        <v>602</v>
      </c>
      <c r="C669" t="s">
        <v>6</v>
      </c>
      <c r="D669" s="150">
        <f>IFERROR(INDEX('BD Rendimientos'!G:G,MATCH("05.01.06|Ripio|m3|materiales",'BD Rendimientos'!L:L,0)),"")</f>
        <v>6.8487662751525076E-3</v>
      </c>
      <c r="E669" s="159">
        <f>IFERROR(INDEX('BD Materiales'!D:D,MATCH("Ripio",'BD Materiales'!B:B,0)),"")</f>
        <v>13.895122287420717</v>
      </c>
      <c r="F669" s="168">
        <f>IFERROR(D669*E669,"")</f>
        <v>9.5164444911206972E-2</v>
      </c>
      <c r="G669" s="118">
        <v>3.46</v>
      </c>
      <c r="H669" s="106">
        <v>12.48</v>
      </c>
      <c r="I669" s="118">
        <v>0.08</v>
      </c>
      <c r="J669" s="106">
        <v>11.88</v>
      </c>
      <c r="K669" s="118"/>
      <c r="L669" s="106"/>
      <c r="M669" t="s">
        <v>1920</v>
      </c>
    </row>
    <row r="670" spans="1:13" x14ac:dyDescent="0.25">
      <c r="B670" t="s">
        <v>987</v>
      </c>
      <c r="C670" t="s">
        <v>15</v>
      </c>
      <c r="D670" s="150">
        <f>IFERROR(INDEX('BD Rendimientos'!G:G,MATCH("05.01.06|Sierra Sanflex Hoja|Uni.|materiales",'BD Rendimientos'!L:L,0)),"")</f>
        <v>1.2958544971498254E-2</v>
      </c>
      <c r="E670" s="159">
        <f>IFERROR(INDEX('BD Materiales'!D:D,MATCH("Sierra Sanflex Hoja",'BD Materiales'!B:B,0)),"")</f>
        <v>0.92727272727272725</v>
      </c>
      <c r="F670" s="168">
        <f>IFERROR(D670*E670,"")</f>
        <v>1.2016105337207471E-2</v>
      </c>
      <c r="G670" s="118">
        <v>2</v>
      </c>
      <c r="H670" s="106">
        <v>0.88</v>
      </c>
      <c r="I670" s="118">
        <v>4</v>
      </c>
      <c r="J670" s="106">
        <v>0.95</v>
      </c>
      <c r="K670" s="118"/>
      <c r="L670" s="106"/>
    </row>
    <row r="671" spans="1:13" x14ac:dyDescent="0.25">
      <c r="B671" t="s">
        <v>997</v>
      </c>
      <c r="C671" t="s">
        <v>15</v>
      </c>
      <c r="D671" s="150">
        <f>IFERROR(INDEX('BD Rendimientos'!G:G,MATCH("05.01.06|Sika Anchofix-2 300ml|Uni.|materiales",'BD Rendimientos'!L:L,0)),"")</f>
        <v>7.5824487555386427E-2</v>
      </c>
      <c r="E671" s="159">
        <f>IFERROR(INDEX('BD Materiales'!D:D,MATCH("Sika Anchofix-2 300ml",'BD Materiales'!B:B,0)),"")</f>
        <v>25.139090909090907</v>
      </c>
      <c r="F671" s="168">
        <f>IFERROR(D671*E671,"")</f>
        <v>1.9061586857900916</v>
      </c>
      <c r="G671" s="118">
        <v>11</v>
      </c>
      <c r="H671" s="106">
        <v>26.83</v>
      </c>
      <c r="I671" s="118">
        <v>24</v>
      </c>
      <c r="J671" s="106">
        <v>23.98</v>
      </c>
      <c r="K671" s="118"/>
      <c r="L671" s="106"/>
    </row>
    <row r="672" spans="1:13" x14ac:dyDescent="0.25">
      <c r="A672" s="101"/>
      <c r="B672" s="101" t="s">
        <v>240</v>
      </c>
      <c r="C672" s="101" t="s">
        <v>15</v>
      </c>
      <c r="D672" s="152">
        <f>IFERROR(INDEX('BD Rendimientos'!G:G,MATCH("05.01.06|Sika Top 77 (4 kg) (Sika Top 77 (4 kg))|Uni.|materiales",'BD Rendimientos'!L:L,0)),"")</f>
        <v>9.1049804242920879E-3</v>
      </c>
      <c r="E672" s="161">
        <f>IFERROR(INDEX('BD Materiales'!D:D,MATCH("Sika Top 77 (4 kg) (Sika Top 77 (4 kg))",'BD Materiales'!B:B,0)),"")</f>
        <v>28.75</v>
      </c>
      <c r="F672" s="170">
        <f>IFERROR(D672*E672,"")</f>
        <v>0.26176818719839751</v>
      </c>
      <c r="G672" s="120"/>
      <c r="H672" s="108"/>
      <c r="I672" s="120">
        <v>2</v>
      </c>
      <c r="J672" s="108">
        <v>28.75</v>
      </c>
      <c r="K672" s="120"/>
      <c r="L672" s="108"/>
      <c r="M672" s="101" t="s">
        <v>647</v>
      </c>
    </row>
    <row r="673" spans="1:13" x14ac:dyDescent="0.25">
      <c r="B673" t="s">
        <v>606</v>
      </c>
      <c r="C673" t="s">
        <v>15</v>
      </c>
      <c r="D673" s="150">
        <f>IFERROR(INDEX('BD Rendimientos'!G:G,MATCH("05.01.06|Tablas de Monte|Uni.|materiales",'BD Rendimientos'!L:L,0)),"")</f>
        <v>9.1597681966717887E-2</v>
      </c>
      <c r="E673" s="159">
        <f>IFERROR(INDEX('BD Materiales'!D:D,MATCH("Tablas de Monte",'BD Materiales'!B:B,0)),"")</f>
        <v>2.4034925925925932</v>
      </c>
      <c r="F673" s="168">
        <f>IFERROR(D673*E673,"")</f>
        <v>0.22015435010565859</v>
      </c>
      <c r="G673" s="118">
        <v>31</v>
      </c>
      <c r="H673" s="106">
        <v>2.36</v>
      </c>
      <c r="I673" s="118">
        <v>14</v>
      </c>
      <c r="J673" s="106">
        <v>2.5299999999999998</v>
      </c>
      <c r="K673" s="118"/>
      <c r="L673" s="106"/>
    </row>
    <row r="674" spans="1:13" x14ac:dyDescent="0.25">
      <c r="A674" s="101"/>
      <c r="B674" s="101" t="s">
        <v>1029</v>
      </c>
      <c r="C674" s="101" t="s">
        <v>15</v>
      </c>
      <c r="D674" s="152">
        <f>IFERROR(INDEX('BD Rendimientos'!G:G,MATCH("05.01.06|Tiza Industrial|Uni.|materiales",'BD Rendimientos'!L:L,0)),"")</f>
        <v>5.9182372757898574E-2</v>
      </c>
      <c r="E674" s="161">
        <f>IFERROR(INDEX('BD Materiales'!D:D,MATCH("Tiza Industrial",'BD Materiales'!B:B,0)),"")</f>
        <v>0.11418750000000004</v>
      </c>
      <c r="F674" s="170">
        <f>IFERROR(D674*E674,"")</f>
        <v>6.7578871892925458E-3</v>
      </c>
      <c r="G674" s="120"/>
      <c r="H674" s="108"/>
      <c r="I674" s="120">
        <v>13</v>
      </c>
      <c r="J674" s="108">
        <v>0.11</v>
      </c>
      <c r="K674" s="120"/>
      <c r="L674" s="108"/>
      <c r="M674" s="101" t="s">
        <v>647</v>
      </c>
    </row>
    <row r="675" spans="1:13" x14ac:dyDescent="0.25">
      <c r="B675" t="s">
        <v>1044</v>
      </c>
      <c r="C675" t="s">
        <v>62</v>
      </c>
      <c r="D675" s="150">
        <f>IFERROR(INDEX('BD Rendimientos'!G:G,MATCH("05.01.06|Varilla Hierro D=10mmx12m|V10|materiales",'BD Rendimientos'!L:L,0)),"")</f>
        <v>5.1654711774739626E-2</v>
      </c>
      <c r="E675" s="159">
        <f>IFERROR(INDEX('BD Materiales'!D:D,MATCH("Varilla Hierro D=10mmx12m",'BD Materiales'!B:B,0)),"")</f>
        <v>8.1945999999999994</v>
      </c>
      <c r="F675" s="168">
        <f>IFERROR(D675*E675,"")</f>
        <v>0.42328970110928132</v>
      </c>
      <c r="G675" s="118">
        <v>2</v>
      </c>
      <c r="H675" s="106">
        <v>8.0399999999999991</v>
      </c>
      <c r="I675" s="118">
        <v>21</v>
      </c>
      <c r="J675" s="106">
        <v>8.2200000000000006</v>
      </c>
      <c r="K675" s="118"/>
      <c r="L675" s="106"/>
      <c r="M675" t="s">
        <v>1920</v>
      </c>
    </row>
    <row r="676" spans="1:13" x14ac:dyDescent="0.25">
      <c r="A676" s="101"/>
      <c r="B676" s="101" t="s">
        <v>1047</v>
      </c>
      <c r="C676" s="101" t="s">
        <v>236</v>
      </c>
      <c r="D676" s="152">
        <f>IFERROR(INDEX('BD Rendimientos'!G:G,MATCH("05.01.06|Varilla Hierro D=12mmx12m|V12|materiales",'BD Rendimientos'!L:L,0)),"")</f>
        <v>0.12746972594008923</v>
      </c>
      <c r="E676" s="161">
        <f>IFERROR(INDEX('BD Materiales'!D:D,MATCH("Varilla Hierro D=12mmx12m",'BD Materiales'!B:B,0)),"")</f>
        <v>11.714999999999998</v>
      </c>
      <c r="F676" s="170">
        <f>IFERROR(D676*E676,"")</f>
        <v>1.4933078393881452</v>
      </c>
      <c r="G676" s="120"/>
      <c r="H676" s="108"/>
      <c r="I676" s="120">
        <v>28</v>
      </c>
      <c r="J676" s="108">
        <v>11.91</v>
      </c>
      <c r="K676" s="120"/>
      <c r="L676" s="108"/>
      <c r="M676" s="101" t="s">
        <v>647</v>
      </c>
    </row>
    <row r="677" spans="1:13" x14ac:dyDescent="0.25">
      <c r="A677" s="101"/>
      <c r="B677" s="101" t="s">
        <v>246</v>
      </c>
      <c r="C677" s="101" t="s">
        <v>15</v>
      </c>
      <c r="D677" s="152">
        <f>IFERROR(INDEX('BD Rendimientos'!G:G,MATCH("05.01.06|Viga Columna V1 (7.0 mm .10x10) (Viga Columna V1 (7.0 mm .10x10))|Uni.|materiales",'BD Rendimientos'!L:L,0)),"")</f>
        <v>0.14258188824662812</v>
      </c>
      <c r="E677" s="161">
        <f>IFERROR(INDEX('BD Materiales'!D:D,MATCH("Viga Columna V1 (7.0 mm .10x10) (Viga Columna V1 (7.0 mm .10x10))",'BD Materiales'!B:B,0)),"")</f>
        <v>15.895</v>
      </c>
      <c r="F677" s="170">
        <f>IFERROR(D677*E677,"")</f>
        <v>2.2663391136801541</v>
      </c>
      <c r="G677" s="120">
        <v>37</v>
      </c>
      <c r="H677" s="108">
        <v>15.93</v>
      </c>
      <c r="I677" s="120"/>
      <c r="J677" s="108"/>
      <c r="K677" s="120"/>
      <c r="L677" s="108"/>
      <c r="M677" s="101" t="s">
        <v>647</v>
      </c>
    </row>
    <row r="678" spans="1:13" x14ac:dyDescent="0.25">
      <c r="A678" s="99" t="s">
        <v>5</v>
      </c>
      <c r="B678" s="99"/>
      <c r="C678" s="99"/>
      <c r="D678" s="149"/>
      <c r="E678" s="158"/>
      <c r="F678" s="167"/>
      <c r="G678" s="117"/>
      <c r="H678" s="105"/>
      <c r="I678" s="117"/>
      <c r="J678" s="105"/>
      <c r="K678" s="117"/>
      <c r="L678" s="105"/>
      <c r="M678" s="99"/>
    </row>
    <row r="679" spans="1:13" x14ac:dyDescent="0.25">
      <c r="B679" t="s">
        <v>235</v>
      </c>
      <c r="C679" t="s">
        <v>3</v>
      </c>
      <c r="D679" s="150">
        <f>IFERROR(INDEX('BD Rendimientos'!G:G,MATCH("05.01.06|M. Arrostramiento Vertical de Mampostería|ml|mano_obra",'BD Rendimientos'!L:L,0)),"")</f>
        <v>1</v>
      </c>
      <c r="E679" s="159">
        <f>IFERROR(INDEX('BD Mano de Obra'!D:D,MATCH("M. Arrostramiento Vertical de Mampostería",'BD Mano de Obra'!B:B,0)),"")</f>
        <v>6.37</v>
      </c>
      <c r="F679" s="168">
        <f>IFERROR(D679*E679,"")</f>
        <v>6.37</v>
      </c>
      <c r="G679" s="118">
        <v>259.5</v>
      </c>
      <c r="H679" s="106">
        <v>6.37</v>
      </c>
      <c r="I679" s="118">
        <v>219.66</v>
      </c>
      <c r="J679" s="106">
        <v>6.37</v>
      </c>
      <c r="K679" s="118"/>
      <c r="L679" s="106"/>
    </row>
    <row r="680" spans="1:13" x14ac:dyDescent="0.25">
      <c r="A680" s="99" t="s">
        <v>2</v>
      </c>
      <c r="B680" s="99"/>
      <c r="C680" s="99"/>
      <c r="D680" s="149"/>
      <c r="E680" s="158"/>
      <c r="F680" s="167"/>
      <c r="G680" s="117"/>
      <c r="H680" s="105"/>
      <c r="I680" s="117"/>
      <c r="J680" s="105"/>
      <c r="K680" s="117"/>
      <c r="L680" s="105"/>
      <c r="M680" s="99"/>
    </row>
    <row r="681" spans="1:13" x14ac:dyDescent="0.25">
      <c r="B681" t="s">
        <v>1176</v>
      </c>
      <c r="C681" t="s">
        <v>15</v>
      </c>
      <c r="D681" s="150">
        <f>IFERROR(INDEX('BD Rendimientos'!G:G,MATCH("05.01.06|Alquiler Andamio|Uni.|equipo",'BD Rendimientos'!L:L,0)),"")</f>
        <v>1.2485538606959048</v>
      </c>
      <c r="E681" s="159">
        <f>IFERROR(INDEX('BD Equipo'!D:D,MATCH("Alquiler Andamio",'BD Equipo'!B:B,0)),"")</f>
        <v>0.35957142857142865</v>
      </c>
      <c r="F681" s="168">
        <f>IFERROR(D681*E681,"")</f>
        <v>0.44894429533879904</v>
      </c>
      <c r="G681" s="118">
        <v>166</v>
      </c>
      <c r="H681" s="106">
        <v>0.36</v>
      </c>
      <c r="I681" s="118">
        <v>408</v>
      </c>
      <c r="J681" s="106">
        <v>0.36</v>
      </c>
      <c r="K681" s="118"/>
      <c r="L681" s="106"/>
    </row>
    <row r="682" spans="1:13" x14ac:dyDescent="0.25">
      <c r="B682" t="s">
        <v>1198</v>
      </c>
      <c r="C682" t="s">
        <v>15</v>
      </c>
      <c r="D682" s="150">
        <f>IFERROR(INDEX('BD Rendimientos'!G:G,MATCH("05.01.06|Alquiler de Tablones|Uni.|equipo",'BD Rendimientos'!L:L,0)),"")</f>
        <v>1.2485538606959048</v>
      </c>
      <c r="E682" s="159">
        <f>IFERROR(INDEX('BD Equipo'!D:D,MATCH("Alquiler de Tablones",'BD Equipo'!B:B,0)),"")</f>
        <v>8.9948260869565241E-2</v>
      </c>
      <c r="F682" s="168">
        <f>IFERROR(D682*E682,"")</f>
        <v>0.11230524837157807</v>
      </c>
      <c r="G682" s="118">
        <v>166</v>
      </c>
      <c r="H682" s="106">
        <v>0.09</v>
      </c>
      <c r="I682" s="118">
        <v>408</v>
      </c>
      <c r="J682" s="106">
        <v>0.09</v>
      </c>
      <c r="K682" s="118"/>
      <c r="L682" s="106"/>
    </row>
    <row r="683" spans="1:13" ht="16.5" thickBot="1" x14ac:dyDescent="0.3">
      <c r="A683" s="100"/>
      <c r="B683" s="100" t="s">
        <v>645</v>
      </c>
      <c r="C683" s="100" t="s">
        <v>3</v>
      </c>
      <c r="D683" s="151"/>
      <c r="E683" s="160"/>
      <c r="F683" s="169">
        <f>SUM(F650,F651,F652,F653,F654,F655,F656,F657,F658,F659,F660,F661,F662,F663,F664,F665,F666,F667,F668,F669,F670,F671,F672,F673,F674,F675,F676,F677,F679,F681,F682)</f>
        <v>16.547391715422432</v>
      </c>
      <c r="G683" s="119"/>
      <c r="H683" s="107">
        <v>13.3097294797688</v>
      </c>
      <c r="I683" s="119"/>
      <c r="J683" s="107">
        <v>14.7984002549395</v>
      </c>
      <c r="K683" s="119"/>
      <c r="L683" s="107"/>
      <c r="M683" s="100" t="s">
        <v>646</v>
      </c>
    </row>
    <row r="684" spans="1:13" ht="16.5" thickTop="1" thickBot="1" x14ac:dyDescent="0.3">
      <c r="D684" s="150"/>
      <c r="E684" s="159"/>
      <c r="F684" s="168"/>
      <c r="G684" s="118"/>
      <c r="H684" s="106"/>
      <c r="I684" s="118"/>
      <c r="J684" s="106"/>
      <c r="K684" s="118"/>
      <c r="L684" s="106"/>
    </row>
    <row r="685" spans="1:13" ht="15.75" thickTop="1" x14ac:dyDescent="0.25">
      <c r="A685" s="97" t="s">
        <v>232</v>
      </c>
      <c r="B685" s="97" t="s">
        <v>231</v>
      </c>
      <c r="C685" s="97" t="s">
        <v>3</v>
      </c>
      <c r="D685" s="148" t="s">
        <v>635</v>
      </c>
      <c r="E685" s="157" t="s">
        <v>636</v>
      </c>
      <c r="F685" s="166" t="s">
        <v>637</v>
      </c>
      <c r="G685" s="116" t="s">
        <v>638</v>
      </c>
      <c r="H685" s="104" t="s">
        <v>639</v>
      </c>
      <c r="I685" s="116" t="s">
        <v>640</v>
      </c>
      <c r="J685" s="104" t="s">
        <v>641</v>
      </c>
      <c r="K685" s="116" t="s">
        <v>642</v>
      </c>
      <c r="L685" s="104" t="s">
        <v>643</v>
      </c>
      <c r="M685" s="97" t="s">
        <v>644</v>
      </c>
    </row>
    <row r="686" spans="1:13" x14ac:dyDescent="0.25">
      <c r="A686" s="99" t="s">
        <v>11</v>
      </c>
      <c r="B686" s="99"/>
      <c r="C686" s="99"/>
      <c r="D686" s="149"/>
      <c r="E686" s="158"/>
      <c r="F686" s="167"/>
      <c r="G686" s="117"/>
      <c r="H686" s="105"/>
      <c r="I686" s="117"/>
      <c r="J686" s="105"/>
      <c r="K686" s="117"/>
      <c r="L686" s="105"/>
      <c r="M686" s="99"/>
    </row>
    <row r="687" spans="1:13" x14ac:dyDescent="0.25">
      <c r="A687" s="101"/>
      <c r="B687" s="101" t="s">
        <v>720</v>
      </c>
      <c r="C687" s="101" t="s">
        <v>6</v>
      </c>
      <c r="D687" s="152">
        <f>IFERROR(INDEX('BD Rendimientos'!G:G,MATCH("05.01.07|Arena Rosada|m3|materiales",'BD Rendimientos'!L:L,0)),"")</f>
        <v>1.2109536259804595E-2</v>
      </c>
      <c r="E687" s="161">
        <f>IFERROR(INDEX('BD Materiales'!D:D,MATCH("Arena Rosada",'BD Materiales'!B:B,0)),"")</f>
        <v>13.25016774891775</v>
      </c>
      <c r="F687" s="170">
        <f>IFERROR(D687*E687,"")</f>
        <v>0.16045338680401292</v>
      </c>
      <c r="G687" s="120">
        <v>0.88</v>
      </c>
      <c r="H687" s="108">
        <v>13.4</v>
      </c>
      <c r="I687" s="120"/>
      <c r="J687" s="108"/>
      <c r="K687" s="120"/>
      <c r="L687" s="108"/>
      <c r="M687" s="101" t="s">
        <v>647</v>
      </c>
    </row>
    <row r="688" spans="1:13" x14ac:dyDescent="0.25">
      <c r="B688" t="s">
        <v>785</v>
      </c>
      <c r="C688" t="s">
        <v>8</v>
      </c>
      <c r="D688" s="150">
        <f>IFERROR(INDEX('BD Rendimientos'!G:G,MATCH("05.01.07|Cemento Campeon|qq|materiales",'BD Rendimientos'!L:L,0)),"")</f>
        <v>0.30974322011187883</v>
      </c>
      <c r="E688" s="159">
        <f>IFERROR(INDEX('BD Materiales'!D:D,MATCH("Cemento Campeon",'BD Materiales'!B:B,0)),"")</f>
        <v>6.6975000000000007</v>
      </c>
      <c r="F688" s="168">
        <f>IFERROR(D688*E688,"")</f>
        <v>2.0745052166993085</v>
      </c>
      <c r="G688" s="118">
        <v>13</v>
      </c>
      <c r="H688" s="106">
        <v>6.59</v>
      </c>
      <c r="I688" s="118">
        <v>29</v>
      </c>
      <c r="J688" s="106">
        <v>6.79</v>
      </c>
      <c r="K688" s="118"/>
      <c r="L688" s="106"/>
    </row>
    <row r="689" spans="1:13" x14ac:dyDescent="0.25">
      <c r="A689" s="101"/>
      <c r="B689" s="101" t="s">
        <v>806</v>
      </c>
      <c r="C689" s="101" t="s">
        <v>30</v>
      </c>
      <c r="D689" s="152">
        <f>IFERROR(INDEX('BD Rendimientos'!G:G,MATCH("05.01.07|Clavo de acero blanco chino 1|Kg.|materiales",'BD Rendimientos'!L:L,0)),"")</f>
        <v>2.4797521059076805E-2</v>
      </c>
      <c r="E689" s="161">
        <f>IFERROR(INDEX('BD Materiales'!D:D,MATCH("Clavo de acero blanco chino 1",'BD Materiales'!B:B,0)),"")</f>
        <v>3.145</v>
      </c>
      <c r="F689" s="170">
        <f>IFERROR(D689*E689,"")</f>
        <v>7.7988203730796554E-2</v>
      </c>
      <c r="G689" s="120">
        <v>2.5</v>
      </c>
      <c r="H689" s="108">
        <v>3.14</v>
      </c>
      <c r="I689" s="120">
        <v>1</v>
      </c>
      <c r="J689" s="108"/>
      <c r="K689" s="120"/>
      <c r="L689" s="108"/>
      <c r="M689" s="101" t="s">
        <v>647</v>
      </c>
    </row>
    <row r="690" spans="1:13" x14ac:dyDescent="0.25">
      <c r="B690" t="s">
        <v>816</v>
      </c>
      <c r="C690" t="s">
        <v>30</v>
      </c>
      <c r="D690" s="150">
        <f>IFERROR(INDEX('BD Rendimientos'!G:G,MATCH("05.01.07|Clavos de acero 21/2''|Kg.|materiales",'BD Rendimientos'!L:L,0)),"")</f>
        <v>2.6229634871189414E-2</v>
      </c>
      <c r="E690" s="159">
        <f>IFERROR(INDEX('BD Materiales'!D:D,MATCH("Clavos de acero 21/2''",'BD Materiales'!B:B,0)),"")</f>
        <v>3.5214999999999996</v>
      </c>
      <c r="F690" s="168">
        <f>IFERROR(D690*E690,"")</f>
        <v>9.2367659198893518E-2</v>
      </c>
      <c r="G690" s="118">
        <v>0.5</v>
      </c>
      <c r="H690" s="106">
        <v>3.08</v>
      </c>
      <c r="I690" s="118">
        <v>3</v>
      </c>
      <c r="J690" s="106">
        <v>3.4</v>
      </c>
      <c r="K690" s="118"/>
      <c r="L690" s="106"/>
      <c r="M690" t="s">
        <v>1920</v>
      </c>
    </row>
    <row r="691" spans="1:13" x14ac:dyDescent="0.25">
      <c r="B691" t="s">
        <v>824</v>
      </c>
      <c r="C691" t="s">
        <v>30</v>
      </c>
      <c r="D691" s="150">
        <f>IFERROR(INDEX('BD Rendimientos'!G:G,MATCH("05.01.07|Clavos galvanizados 2''|Kg.|materiales",'BD Rendimientos'!L:L,0)),"")</f>
        <v>2.8237730223794021E-2</v>
      </c>
      <c r="E691" s="159">
        <f>IFERROR(INDEX('BD Materiales'!D:D,MATCH("Clavos galvanizados 2''",'BD Materiales'!B:B,0)),"")</f>
        <v>1.9257894736842103</v>
      </c>
      <c r="F691" s="168">
        <f>IFERROR(D691*E691,"")</f>
        <v>5.4379923625717003E-2</v>
      </c>
      <c r="G691" s="118">
        <v>3</v>
      </c>
      <c r="H691" s="106">
        <v>1.75</v>
      </c>
      <c r="I691" s="118">
        <v>1</v>
      </c>
      <c r="J691" s="106">
        <v>2.2999999999999998</v>
      </c>
      <c r="K691" s="118"/>
      <c r="L691" s="106"/>
    </row>
    <row r="692" spans="1:13" x14ac:dyDescent="0.25">
      <c r="A692" s="101"/>
      <c r="B692" s="101" t="s">
        <v>820</v>
      </c>
      <c r="C692" s="101" t="s">
        <v>30</v>
      </c>
      <c r="D692" s="152">
        <f>IFERROR(INDEX('BD Rendimientos'!G:G,MATCH("05.01.07|Clavos galvanizados 2 1/2''|Kg.|materiales",'BD Rendimientos'!L:L,0)),"")</f>
        <v>5.5043346635475436E-2</v>
      </c>
      <c r="E692" s="161">
        <f>IFERROR(INDEX('BD Materiales'!D:D,MATCH("Clavos galvanizados 2 1/2''",'BD Materiales'!B:B,0)),"")</f>
        <v>1.8223333333333334</v>
      </c>
      <c r="F692" s="170">
        <f>IFERROR(D692*E692,"")</f>
        <v>0.10030732535204807</v>
      </c>
      <c r="G692" s="120">
        <v>4</v>
      </c>
      <c r="H692" s="108">
        <v>1.68</v>
      </c>
      <c r="I692" s="120"/>
      <c r="J692" s="108"/>
      <c r="K692" s="120"/>
      <c r="L692" s="108"/>
      <c r="M692" s="101" t="s">
        <v>647</v>
      </c>
    </row>
    <row r="693" spans="1:13" x14ac:dyDescent="0.25">
      <c r="A693" s="101"/>
      <c r="B693" s="101" t="s">
        <v>225</v>
      </c>
      <c r="C693" s="101" t="s">
        <v>15</v>
      </c>
      <c r="D693" s="152">
        <f>IFERROR(INDEX('BD Rendimientos'!G:G,MATCH("05.01.07|Disco Corte Madera 9"" (Sierra) (Disco Corte Madera 9"" (Sierra))|Uni.|materiales",'BD Rendimientos'!L:L,0)),"")</f>
        <v>2.135731189435959E-2</v>
      </c>
      <c r="E693" s="161">
        <f>IFERROR(INDEX('BD Materiales'!D:D,MATCH("Disco Corte Madera 9"" (Sierra) (Disco Corte Madera 9"" (Sierra))",'BD Materiales'!B:B,0)),"")</f>
        <v>21.08</v>
      </c>
      <c r="F693" s="170">
        <f>IFERROR(D693*E693,"")</f>
        <v>0.45021213473310012</v>
      </c>
      <c r="G693" s="120">
        <v>2</v>
      </c>
      <c r="H693" s="108"/>
      <c r="I693" s="120">
        <v>1</v>
      </c>
      <c r="J693" s="108">
        <v>21.08</v>
      </c>
      <c r="K693" s="120"/>
      <c r="L693" s="108"/>
      <c r="M693" s="101" t="s">
        <v>647</v>
      </c>
    </row>
    <row r="694" spans="1:13" x14ac:dyDescent="0.25">
      <c r="A694" s="101"/>
      <c r="B694" s="101" t="s">
        <v>856</v>
      </c>
      <c r="C694" s="101" t="s">
        <v>15</v>
      </c>
      <c r="D694" s="152">
        <f>IFERROR(INDEX('BD Rendimientos'!G:G,MATCH("05.01.07|Disco diamante segmentado 9""|Uni.|materiales",'BD Rendimientos'!L:L,0)),"")</f>
        <v>8.2565019953213151E-2</v>
      </c>
      <c r="E694" s="161">
        <f>IFERROR(INDEX('BD Materiales'!D:D,MATCH("Disco diamante segmentado 9""",'BD Materiales'!B:B,0)),"")</f>
        <v>5.35</v>
      </c>
      <c r="F694" s="170">
        <f>IFERROR(D694*E694,"")</f>
        <v>0.44172285674969031</v>
      </c>
      <c r="G694" s="120">
        <v>6</v>
      </c>
      <c r="H694" s="108">
        <v>5.31</v>
      </c>
      <c r="I694" s="120"/>
      <c r="J694" s="108"/>
      <c r="K694" s="120"/>
      <c r="L694" s="108"/>
      <c r="M694" s="101" t="s">
        <v>647</v>
      </c>
    </row>
    <row r="695" spans="1:13" x14ac:dyDescent="0.25">
      <c r="A695" s="101"/>
      <c r="B695" s="101" t="s">
        <v>926</v>
      </c>
      <c r="C695" s="101" t="s">
        <v>15</v>
      </c>
      <c r="D695" s="152">
        <f>IFERROR(INDEX('BD Rendimientos'!G:G,MATCH("05.01.07|Maxikote Madera 4kg|Uni.|materiales",'BD Rendimientos'!L:L,0)),"")</f>
        <v>1.5192950470981466E-2</v>
      </c>
      <c r="E695" s="161">
        <f>IFERROR(INDEX('BD Materiales'!D:D,MATCH("Maxikote Madera 4kg",'BD Materiales'!B:B,0)),"")</f>
        <v>5.74</v>
      </c>
      <c r="F695" s="170">
        <f>IFERROR(D695*E695,"")</f>
        <v>8.720753570343362E-2</v>
      </c>
      <c r="G695" s="120"/>
      <c r="H695" s="108"/>
      <c r="I695" s="120">
        <v>1</v>
      </c>
      <c r="J695" s="108">
        <v>5.74</v>
      </c>
      <c r="K695" s="120"/>
      <c r="L695" s="108"/>
      <c r="M695" s="101" t="s">
        <v>647</v>
      </c>
    </row>
    <row r="696" spans="1:13" x14ac:dyDescent="0.25">
      <c r="A696" s="101"/>
      <c r="B696" s="101" t="s">
        <v>962</v>
      </c>
      <c r="C696" s="101" t="s">
        <v>15</v>
      </c>
      <c r="D696" s="152">
        <f>IFERROR(INDEX('BD Rendimientos'!G:G,MATCH("05.01.07|Plastocrete dm 4kg Sika|Uni.|materiales",'BD Rendimientos'!L:L,0)),"")</f>
        <v>1.5192950470981466E-2</v>
      </c>
      <c r="E696" s="161">
        <f>IFERROR(INDEX('BD Materiales'!D:D,MATCH("Plastocrete dm 4kg Sika",'BD Materiales'!B:B,0)),"")</f>
        <v>11.22</v>
      </c>
      <c r="F696" s="170">
        <f>IFERROR(D696*E696,"")</f>
        <v>0.17046490428441205</v>
      </c>
      <c r="G696" s="120"/>
      <c r="H696" s="108"/>
      <c r="I696" s="120">
        <v>1</v>
      </c>
      <c r="J696" s="108">
        <v>11.22</v>
      </c>
      <c r="K696" s="120"/>
      <c r="L696" s="108"/>
      <c r="M696" s="101" t="s">
        <v>647</v>
      </c>
    </row>
    <row r="697" spans="1:13" x14ac:dyDescent="0.25">
      <c r="B697" t="s">
        <v>603</v>
      </c>
      <c r="C697" t="s">
        <v>6</v>
      </c>
      <c r="D697" s="150">
        <f>IFERROR(INDEX('BD Rendimientos'!G:G,MATCH("05.01.07|Polvo Azul|m3|materiales",'BD Rendimientos'!L:L,0)),"")</f>
        <v>8.6973421682002422E-3</v>
      </c>
      <c r="E697" s="159">
        <f>IFERROR(INDEX('BD Materiales'!D:D,MATCH("Polvo Azul",'BD Materiales'!B:B,0)),"")</f>
        <v>14.547574523429788</v>
      </c>
      <c r="F697" s="168">
        <f>IFERROR(D697*E697,"")</f>
        <v>0.12652523334766144</v>
      </c>
      <c r="G697" s="118">
        <v>0.16</v>
      </c>
      <c r="H697" s="106">
        <v>13.31</v>
      </c>
      <c r="I697" s="118">
        <v>1</v>
      </c>
      <c r="J697" s="106">
        <v>17.03</v>
      </c>
      <c r="K697" s="118"/>
      <c r="L697" s="106"/>
      <c r="M697" t="s">
        <v>1920</v>
      </c>
    </row>
    <row r="698" spans="1:13" x14ac:dyDescent="0.25">
      <c r="A698" s="101"/>
      <c r="B698" s="101" t="s">
        <v>967</v>
      </c>
      <c r="C698" s="101" t="s">
        <v>6</v>
      </c>
      <c r="D698" s="152">
        <f>IFERROR(INDEX('BD Rendimientos'!G:G,MATCH("05.01.07|Polvo Rosado|m3|materiales",'BD Rendimientos'!L:L,0)),"")</f>
        <v>1.2109536259804595E-2</v>
      </c>
      <c r="E698" s="161">
        <f>IFERROR(INDEX('BD Materiales'!D:D,MATCH("Polvo Rosado",'BD Materiales'!B:B,0)),"")</f>
        <v>13.75</v>
      </c>
      <c r="F698" s="170">
        <f>IFERROR(D698*E698,"")</f>
        <v>0.16650612357231317</v>
      </c>
      <c r="G698" s="120">
        <v>0.88</v>
      </c>
      <c r="H698" s="108">
        <v>13.75</v>
      </c>
      <c r="I698" s="120"/>
      <c r="J698" s="108"/>
      <c r="K698" s="120"/>
      <c r="L698" s="108"/>
      <c r="M698" s="101" t="s">
        <v>647</v>
      </c>
    </row>
    <row r="699" spans="1:13" x14ac:dyDescent="0.25">
      <c r="A699" s="101"/>
      <c r="B699" s="101" t="s">
        <v>993</v>
      </c>
      <c r="C699" s="101" t="s">
        <v>15</v>
      </c>
      <c r="D699" s="152">
        <f>IFERROR(INDEX('BD Rendimientos'!G:G,MATCH("05.01.07|Sika 1 Imperm.10kg|Uni.|materiales",'BD Rendimientos'!L:L,0)),"")</f>
        <v>6.8804183294344295E-3</v>
      </c>
      <c r="E699" s="161">
        <f>IFERROR(INDEX('BD Materiales'!D:D,MATCH("Sika 1 Imperm.10kg",'BD Materiales'!B:B,0)),"")</f>
        <v>21.82</v>
      </c>
      <c r="F699" s="170">
        <f>IFERROR(D699*E699,"")</f>
        <v>0.15013072794825924</v>
      </c>
      <c r="G699" s="120">
        <v>0.5</v>
      </c>
      <c r="H699" s="108">
        <v>21.82</v>
      </c>
      <c r="I699" s="120"/>
      <c r="J699" s="108"/>
      <c r="K699" s="120"/>
      <c r="L699" s="108"/>
      <c r="M699" s="101" t="s">
        <v>647</v>
      </c>
    </row>
    <row r="700" spans="1:13" x14ac:dyDescent="0.25">
      <c r="A700" s="101"/>
      <c r="B700" s="101" t="s">
        <v>606</v>
      </c>
      <c r="C700" s="101" t="s">
        <v>15</v>
      </c>
      <c r="D700" s="152">
        <f>IFERROR(INDEX('BD Rendimientos'!G:G,MATCH("05.01.07|Tablas de Monte|Uni.|materiales",'BD Rendimientos'!L:L,0)),"")</f>
        <v>1.5192950470981466E-2</v>
      </c>
      <c r="E700" s="161">
        <f>IFERROR(INDEX('BD Materiales'!D:D,MATCH("Tablas de Monte",'BD Materiales'!B:B,0)),"")</f>
        <v>2.4034925925925932</v>
      </c>
      <c r="F700" s="170">
        <f>IFERROR(D700*E700,"")</f>
        <v>3.6516143916630106E-2</v>
      </c>
      <c r="G700" s="120"/>
      <c r="H700" s="108"/>
      <c r="I700" s="120">
        <v>1</v>
      </c>
      <c r="J700" s="108">
        <v>2.39</v>
      </c>
      <c r="K700" s="120"/>
      <c r="L700" s="108"/>
      <c r="M700" s="101" t="s">
        <v>647</v>
      </c>
    </row>
    <row r="701" spans="1:13" x14ac:dyDescent="0.25">
      <c r="B701" t="s">
        <v>1035</v>
      </c>
      <c r="C701" t="s">
        <v>15</v>
      </c>
      <c r="D701" s="150">
        <f>IFERROR(INDEX('BD Rendimientos'!G:G,MATCH("05.01.07|Triplex 18mm Lamina 1.22x2.44C|Uni.|materiales",'BD Rendimientos'!L:L,0)),"")</f>
        <v>4.9595042118153611E-2</v>
      </c>
      <c r="E701" s="159">
        <f>IFERROR(INDEX('BD Materiales'!D:D,MATCH("Triplex 18mm Lamina 1.22x2.44C",'BD Materiales'!B:B,0)),"")</f>
        <v>36.835000000000001</v>
      </c>
      <c r="F701" s="168">
        <f>IFERROR(D701*E701,"")</f>
        <v>1.8268333764221882</v>
      </c>
      <c r="G701" s="118">
        <v>5</v>
      </c>
      <c r="H701" s="106">
        <v>36.54</v>
      </c>
      <c r="I701" s="118">
        <v>2</v>
      </c>
      <c r="J701" s="106">
        <v>37.130000000000003</v>
      </c>
      <c r="K701" s="118"/>
      <c r="L701" s="106"/>
    </row>
    <row r="702" spans="1:13" x14ac:dyDescent="0.25">
      <c r="B702" t="s">
        <v>226</v>
      </c>
      <c r="C702" t="s">
        <v>15</v>
      </c>
      <c r="D702" s="150">
        <f>IFERROR(INDEX('BD Rendimientos'!G:G,MATCH("05.01.07|Tubo Conduit PVC 1/2"" Plastidor (Tubo Conduit PVC 1/2"" Plastido)|Uni.|materiales",'BD Rendimientos'!L:L,0)),"")</f>
        <v>2.9669844035906629E-2</v>
      </c>
      <c r="E702" s="159">
        <f>IFERROR(INDEX('BD Materiales'!D:D,MATCH("Tubo Conduit PVC 1/2"" Plastidor (Tubo Conduit PVC 1/2"" Plastido)",'BD Materiales'!B:B,0)),"")</f>
        <v>0.91999999999999993</v>
      </c>
      <c r="F702" s="168">
        <f>IFERROR(D702*E702,"")</f>
        <v>2.7296256513034096E-2</v>
      </c>
      <c r="G702" s="118">
        <v>1</v>
      </c>
      <c r="H702" s="106">
        <v>0.98</v>
      </c>
      <c r="I702" s="118">
        <v>3</v>
      </c>
      <c r="J702" s="106">
        <v>0.86</v>
      </c>
      <c r="K702" s="118"/>
      <c r="L702" s="106"/>
      <c r="M702" t="s">
        <v>1920</v>
      </c>
    </row>
    <row r="703" spans="1:13" x14ac:dyDescent="0.25">
      <c r="A703" s="99" t="s">
        <v>5</v>
      </c>
      <c r="B703" s="99"/>
      <c r="C703" s="99"/>
      <c r="D703" s="149"/>
      <c r="E703" s="158"/>
      <c r="F703" s="167"/>
      <c r="G703" s="117"/>
      <c r="H703" s="105"/>
      <c r="I703" s="117"/>
      <c r="J703" s="105"/>
      <c r="K703" s="117"/>
      <c r="L703" s="105"/>
      <c r="M703" s="99"/>
    </row>
    <row r="704" spans="1:13" x14ac:dyDescent="0.25">
      <c r="B704" t="s">
        <v>221</v>
      </c>
      <c r="C704" t="s">
        <v>3</v>
      </c>
      <c r="D704" s="150">
        <f>IFERROR(INDEX('BD Rendimientos'!G:G,MATCH("05.01.07|M. Alfeizar En Ventana|ml|mano_obra",'BD Rendimientos'!L:L,0)),"")</f>
        <v>1</v>
      </c>
      <c r="E704" s="159">
        <f>IFERROR(INDEX('BD Mano de Obra'!D:D,MATCH("M. Alfeizar En Ventana",'BD Mano de Obra'!B:B,0)),"")</f>
        <v>9.4499999999999993</v>
      </c>
      <c r="F704" s="168">
        <f>IFERROR(D704*E704,"")</f>
        <v>9.4499999999999993</v>
      </c>
      <c r="G704" s="118">
        <v>72.67</v>
      </c>
      <c r="H704" s="106">
        <v>9.4499999999999993</v>
      </c>
      <c r="I704" s="118">
        <v>65.819999999999993</v>
      </c>
      <c r="J704" s="106">
        <v>9.4499999999999993</v>
      </c>
      <c r="K704" s="118"/>
      <c r="L704" s="106"/>
    </row>
    <row r="705" spans="1:13" x14ac:dyDescent="0.25">
      <c r="A705" s="99" t="s">
        <v>2</v>
      </c>
      <c r="B705" s="99"/>
      <c r="C705" s="99"/>
      <c r="D705" s="149"/>
      <c r="E705" s="158"/>
      <c r="F705" s="167"/>
      <c r="G705" s="117"/>
      <c r="H705" s="105"/>
      <c r="I705" s="117"/>
      <c r="J705" s="105"/>
      <c r="K705" s="117"/>
      <c r="L705" s="105"/>
      <c r="M705" s="99"/>
    </row>
    <row r="706" spans="1:13" x14ac:dyDescent="0.25">
      <c r="A706" s="101"/>
      <c r="B706" s="101" t="s">
        <v>1176</v>
      </c>
      <c r="C706" s="101" t="s">
        <v>15</v>
      </c>
      <c r="D706" s="152">
        <f>IFERROR(INDEX('BD Rendimientos'!G:G,MATCH("05.01.07|Alquiler Andamio|Uni.|equipo",'BD Rendimientos'!L:L,0)),"")</f>
        <v>1.2762078395624432</v>
      </c>
      <c r="E706" s="161">
        <f>IFERROR(INDEX('BD Equipo'!D:D,MATCH("Alquiler Andamio",'BD Equipo'!B:B,0)),"")</f>
        <v>0.35957142857142865</v>
      </c>
      <c r="F706" s="170">
        <f>IFERROR(D706*E706,"")</f>
        <v>0.45888787602552433</v>
      </c>
      <c r="G706" s="120"/>
      <c r="H706" s="108"/>
      <c r="I706" s="120">
        <v>84</v>
      </c>
      <c r="J706" s="108">
        <v>0.36</v>
      </c>
      <c r="K706" s="120"/>
      <c r="L706" s="108"/>
      <c r="M706" s="101" t="s">
        <v>647</v>
      </c>
    </row>
    <row r="707" spans="1:13" x14ac:dyDescent="0.25">
      <c r="A707" s="101"/>
      <c r="B707" s="101" t="s">
        <v>1198</v>
      </c>
      <c r="C707" s="101" t="s">
        <v>15</v>
      </c>
      <c r="D707" s="152">
        <f>IFERROR(INDEX('BD Rendimientos'!G:G,MATCH("05.01.07|Alquiler de Tablones|Uni.|equipo",'BD Rendimientos'!L:L,0)),"")</f>
        <v>1.2762078395624432</v>
      </c>
      <c r="E707" s="161">
        <f>IFERROR(INDEX('BD Equipo'!D:D,MATCH("Alquiler de Tablones",'BD Equipo'!B:B,0)),"")</f>
        <v>8.9948260869565241E-2</v>
      </c>
      <c r="F707" s="170">
        <f>IFERROR(D707*E707,"")</f>
        <v>0.11479267567674691</v>
      </c>
      <c r="G707" s="120"/>
      <c r="H707" s="108"/>
      <c r="I707" s="120">
        <v>84</v>
      </c>
      <c r="J707" s="108">
        <v>0.09</v>
      </c>
      <c r="K707" s="120"/>
      <c r="L707" s="108"/>
      <c r="M707" s="101" t="s">
        <v>647</v>
      </c>
    </row>
    <row r="708" spans="1:13" ht="16.5" thickBot="1" x14ac:dyDescent="0.3">
      <c r="A708" s="100"/>
      <c r="B708" s="100" t="s">
        <v>645</v>
      </c>
      <c r="C708" s="100" t="s">
        <v>3</v>
      </c>
      <c r="D708" s="151"/>
      <c r="E708" s="160"/>
      <c r="F708" s="169">
        <f>SUM(F687,F688,F689,F690,F691,F692,F693,F694,F695,F696,F697,F698,F699,F700,F701,F702,F704,F706,F707)</f>
        <v>16.067097560303768</v>
      </c>
      <c r="G708" s="119"/>
      <c r="H708" s="107">
        <v>14.397042796201999</v>
      </c>
      <c r="I708" s="119"/>
      <c r="J708" s="107">
        <v>15.246262534184099</v>
      </c>
      <c r="K708" s="119"/>
      <c r="L708" s="107"/>
      <c r="M708" s="100" t="s">
        <v>646</v>
      </c>
    </row>
    <row r="709" spans="1:13" ht="16.5" thickTop="1" thickBot="1" x14ac:dyDescent="0.3">
      <c r="D709" s="150"/>
      <c r="E709" s="159"/>
      <c r="F709" s="168"/>
      <c r="G709" s="118"/>
      <c r="H709" s="106"/>
      <c r="I709" s="118"/>
      <c r="J709" s="106"/>
      <c r="K709" s="118"/>
      <c r="L709" s="106"/>
    </row>
    <row r="710" spans="1:13" ht="15.75" thickTop="1" x14ac:dyDescent="0.25">
      <c r="A710" s="98" t="s">
        <v>220</v>
      </c>
      <c r="B710" s="98" t="s">
        <v>219</v>
      </c>
      <c r="C710" s="98" t="s">
        <v>3</v>
      </c>
      <c r="D710" s="154" t="s">
        <v>635</v>
      </c>
      <c r="E710" s="163" t="s">
        <v>636</v>
      </c>
      <c r="F710" s="172" t="s">
        <v>637</v>
      </c>
      <c r="G710" s="122" t="s">
        <v>638</v>
      </c>
      <c r="H710" s="110" t="s">
        <v>639</v>
      </c>
      <c r="I710" s="122" t="s">
        <v>640</v>
      </c>
      <c r="J710" s="110" t="s">
        <v>641</v>
      </c>
      <c r="K710" s="122" t="s">
        <v>642</v>
      </c>
      <c r="L710" s="110" t="s">
        <v>643</v>
      </c>
      <c r="M710" s="98" t="s">
        <v>668</v>
      </c>
    </row>
    <row r="711" spans="1:13" x14ac:dyDescent="0.25">
      <c r="A711" s="99" t="s">
        <v>5</v>
      </c>
      <c r="B711" s="99"/>
      <c r="C711" s="99"/>
      <c r="D711" s="149"/>
      <c r="E711" s="158"/>
      <c r="F711" s="167"/>
      <c r="G711" s="117"/>
      <c r="H711" s="105"/>
      <c r="I711" s="117"/>
      <c r="J711" s="105"/>
      <c r="K711" s="117"/>
      <c r="L711" s="105"/>
      <c r="M711" s="99"/>
    </row>
    <row r="712" spans="1:13" x14ac:dyDescent="0.25">
      <c r="A712" s="101"/>
      <c r="B712" s="101" t="s">
        <v>218</v>
      </c>
      <c r="C712" s="101" t="s">
        <v>3</v>
      </c>
      <c r="D712" s="152">
        <f>IFERROR(INDEX('BD Rendimientos'!G:G,MATCH("05.01.08|M. Alfeizar En Antepecho|ml|mano_obra",'BD Rendimientos'!L:L,0)),"")</f>
        <v>1</v>
      </c>
      <c r="E712" s="161">
        <f>IFERROR(INDEX('BD Mano de Obra'!D:D,MATCH("M. Alfeizar En Antepecho",'BD Mano de Obra'!B:B,0)),"")</f>
        <v>2.8</v>
      </c>
      <c r="F712" s="170">
        <f>IFERROR(D712*E712,"")</f>
        <v>2.8</v>
      </c>
      <c r="G712" s="120"/>
      <c r="H712" s="108"/>
      <c r="I712" s="120">
        <v>15.46</v>
      </c>
      <c r="J712" s="108">
        <v>2.8</v>
      </c>
      <c r="K712" s="120"/>
      <c r="L712" s="108"/>
      <c r="M712" s="101" t="s">
        <v>647</v>
      </c>
    </row>
    <row r="713" spans="1:13" ht="16.5" thickBot="1" x14ac:dyDescent="0.3">
      <c r="A713" s="100"/>
      <c r="B713" s="100" t="s">
        <v>645</v>
      </c>
      <c r="C713" s="100" t="s">
        <v>3</v>
      </c>
      <c r="D713" s="151"/>
      <c r="E713" s="160"/>
      <c r="F713" s="169">
        <f>SUM(F712)</f>
        <v>2.8</v>
      </c>
      <c r="G713" s="119"/>
      <c r="H713" s="107"/>
      <c r="I713" s="119"/>
      <c r="J713" s="107">
        <v>2.8</v>
      </c>
      <c r="K713" s="119"/>
      <c r="L713" s="107"/>
      <c r="M713" s="100" t="s">
        <v>646</v>
      </c>
    </row>
    <row r="714" spans="1:13" ht="16.5" thickTop="1" thickBot="1" x14ac:dyDescent="0.3">
      <c r="D714" s="150"/>
      <c r="E714" s="159"/>
      <c r="F714" s="168"/>
      <c r="G714" s="118"/>
      <c r="H714" s="106"/>
      <c r="I714" s="118"/>
      <c r="J714" s="106"/>
      <c r="K714" s="118"/>
      <c r="L714" s="106"/>
    </row>
    <row r="715" spans="1:13" ht="15.75" thickTop="1" x14ac:dyDescent="0.25">
      <c r="A715" s="97" t="s">
        <v>217</v>
      </c>
      <c r="B715" s="97" t="s">
        <v>216</v>
      </c>
      <c r="C715" s="97" t="s">
        <v>3</v>
      </c>
      <c r="D715" s="148" t="s">
        <v>635</v>
      </c>
      <c r="E715" s="157" t="s">
        <v>636</v>
      </c>
      <c r="F715" s="166" t="s">
        <v>637</v>
      </c>
      <c r="G715" s="116" t="s">
        <v>638</v>
      </c>
      <c r="H715" s="104" t="s">
        <v>639</v>
      </c>
      <c r="I715" s="116" t="s">
        <v>640</v>
      </c>
      <c r="J715" s="104" t="s">
        <v>641</v>
      </c>
      <c r="K715" s="116" t="s">
        <v>642</v>
      </c>
      <c r="L715" s="104" t="s">
        <v>643</v>
      </c>
      <c r="M715" s="97" t="s">
        <v>644</v>
      </c>
    </row>
    <row r="716" spans="1:13" x14ac:dyDescent="0.25">
      <c r="A716" s="99" t="s">
        <v>11</v>
      </c>
      <c r="B716" s="99"/>
      <c r="C716" s="99"/>
      <c r="D716" s="149"/>
      <c r="E716" s="158"/>
      <c r="F716" s="167"/>
      <c r="G716" s="117"/>
      <c r="H716" s="105"/>
      <c r="I716" s="117"/>
      <c r="J716" s="105"/>
      <c r="K716" s="117"/>
      <c r="L716" s="105"/>
      <c r="M716" s="99"/>
    </row>
    <row r="717" spans="1:13" x14ac:dyDescent="0.25">
      <c r="A717" s="101"/>
      <c r="B717" s="101" t="s">
        <v>720</v>
      </c>
      <c r="C717" s="101" t="s">
        <v>6</v>
      </c>
      <c r="D717" s="152">
        <f>IFERROR(INDEX('BD Rendimientos'!G:G,MATCH("05.01.09|Arena Rosada|m3|materiales",'BD Rendimientos'!L:L,0)),"")</f>
        <v>5.0000000000000001E-3</v>
      </c>
      <c r="E717" s="161">
        <f>IFERROR(INDEX('BD Materiales'!D:D,MATCH("Arena Rosada",'BD Materiales'!B:B,0)),"")</f>
        <v>13.25016774891775</v>
      </c>
      <c r="F717" s="170">
        <f>IFERROR(D717*E717,"")</f>
        <v>6.6250838744588758E-2</v>
      </c>
      <c r="G717" s="120">
        <v>0.4</v>
      </c>
      <c r="H717" s="108">
        <v>13.75</v>
      </c>
      <c r="I717" s="120"/>
      <c r="J717" s="108"/>
      <c r="K717" s="120"/>
      <c r="L717" s="108"/>
      <c r="M717" s="101" t="s">
        <v>647</v>
      </c>
    </row>
    <row r="718" spans="1:13" x14ac:dyDescent="0.25">
      <c r="B718" t="s">
        <v>785</v>
      </c>
      <c r="C718" t="s">
        <v>174</v>
      </c>
      <c r="D718" s="150">
        <f>IFERROR(INDEX('BD Rendimientos'!G:G,MATCH("05.01.09|Cemento Campeon|saco|materiales",'BD Rendimientos'!L:L,0)),"")</f>
        <v>0.11127817322343651</v>
      </c>
      <c r="E718" s="159">
        <f>IFERROR(INDEX('BD Materiales'!D:D,MATCH("Cemento Campeon",'BD Materiales'!B:B,0)),"")</f>
        <v>6.6975000000000007</v>
      </c>
      <c r="F718" s="168">
        <f>IFERROR(D718*E718,"")</f>
        <v>0.74528556516396616</v>
      </c>
      <c r="G718" s="118">
        <v>5</v>
      </c>
      <c r="H718" s="106">
        <v>6.59</v>
      </c>
      <c r="I718" s="118">
        <v>11</v>
      </c>
      <c r="J718" s="106">
        <v>6.79</v>
      </c>
      <c r="K718" s="118">
        <v>17</v>
      </c>
      <c r="L718" s="106">
        <v>6.71</v>
      </c>
    </row>
    <row r="719" spans="1:13" x14ac:dyDescent="0.25">
      <c r="B719" t="s">
        <v>603</v>
      </c>
      <c r="C719" t="s">
        <v>6</v>
      </c>
      <c r="D719" s="150">
        <f>IFERROR(INDEX('BD Rendimientos'!G:G,MATCH("05.01.09|Polvo Azul|m3|materiales",'BD Rendimientos'!L:L,0)),"")</f>
        <v>1.7103229363782845E-2</v>
      </c>
      <c r="E719" s="159">
        <f>IFERROR(INDEX('BD Materiales'!D:D,MATCH("Polvo Azul",'BD Materiales'!B:B,0)),"")</f>
        <v>14.547574523429788</v>
      </c>
      <c r="F719" s="168">
        <f>IFERROR(D719*E719,"")</f>
        <v>0.24881050376094357</v>
      </c>
      <c r="G719" s="118"/>
      <c r="H719" s="106"/>
      <c r="I719" s="118">
        <v>1.44</v>
      </c>
      <c r="J719" s="106">
        <v>15.17</v>
      </c>
      <c r="K719" s="118">
        <v>2.04</v>
      </c>
      <c r="L719" s="106">
        <v>13.45</v>
      </c>
    </row>
    <row r="720" spans="1:13" x14ac:dyDescent="0.25">
      <c r="A720" s="101"/>
      <c r="B720" s="101" t="s">
        <v>967</v>
      </c>
      <c r="C720" s="101" t="s">
        <v>6</v>
      </c>
      <c r="D720" s="152">
        <f>IFERROR(INDEX('BD Rendimientos'!G:G,MATCH("05.01.09|Polvo Rosado|m3|materiales",'BD Rendimientos'!L:L,0)),"")</f>
        <v>4.0000000000000001E-3</v>
      </c>
      <c r="E720" s="161">
        <f>IFERROR(INDEX('BD Materiales'!D:D,MATCH("Polvo Rosado",'BD Materiales'!B:B,0)),"")</f>
        <v>13.75</v>
      </c>
      <c r="F720" s="170">
        <f>IFERROR(D720*E720,"")</f>
        <v>5.5E-2</v>
      </c>
      <c r="G720" s="120">
        <v>0.32</v>
      </c>
      <c r="H720" s="108">
        <v>13.75</v>
      </c>
      <c r="I720" s="120"/>
      <c r="J720" s="108"/>
      <c r="K720" s="120"/>
      <c r="L720" s="108"/>
      <c r="M720" s="101" t="s">
        <v>647</v>
      </c>
    </row>
    <row r="721" spans="1:13" x14ac:dyDescent="0.25">
      <c r="B721" t="s">
        <v>602</v>
      </c>
      <c r="C721" t="s">
        <v>6</v>
      </c>
      <c r="D721" s="150">
        <f>IFERROR(INDEX('BD Rendimientos'!G:G,MATCH("05.01.09|Ripio|m3|materiales",'BD Rendimientos'!L:L,0)),"")</f>
        <v>5.3835800807537021E-3</v>
      </c>
      <c r="E721" s="159">
        <f>IFERROR(INDEX('BD Materiales'!D:D,MATCH("Ripio",'BD Materiales'!B:B,0)),"")</f>
        <v>13.895122287420717</v>
      </c>
      <c r="F721" s="168">
        <f>IFERROR(D721*E721,"")</f>
        <v>7.4805503566194989E-2</v>
      </c>
      <c r="G721" s="118">
        <v>0.32</v>
      </c>
      <c r="H721" s="106">
        <v>13.75</v>
      </c>
      <c r="I721" s="118">
        <v>1.1200000000000001</v>
      </c>
      <c r="J721" s="106">
        <v>11.84</v>
      </c>
      <c r="K721" s="118">
        <v>0.76</v>
      </c>
      <c r="L721" s="106">
        <v>14.79</v>
      </c>
      <c r="M721" t="s">
        <v>1920</v>
      </c>
    </row>
    <row r="722" spans="1:13" x14ac:dyDescent="0.25">
      <c r="A722" s="101"/>
      <c r="B722" s="101" t="s">
        <v>606</v>
      </c>
      <c r="C722" s="101" t="s">
        <v>15</v>
      </c>
      <c r="D722" s="152">
        <f>IFERROR(INDEX('BD Rendimientos'!G:G,MATCH("05.01.09|Tablas de Monte|Uni.|materiales",'BD Rendimientos'!L:L,0)),"")</f>
        <v>0.13719303059404583</v>
      </c>
      <c r="E722" s="161">
        <f>IFERROR(INDEX('BD Materiales'!D:D,MATCH("Tablas de Monte",'BD Materiales'!B:B,0)),"")</f>
        <v>2.4034925925925932</v>
      </c>
      <c r="F722" s="170">
        <f>IFERROR(D722*E722,"")</f>
        <v>0.32974243278811816</v>
      </c>
      <c r="G722" s="120"/>
      <c r="H722" s="108"/>
      <c r="I722" s="120">
        <v>10</v>
      </c>
      <c r="J722" s="108">
        <v>2.5299999999999998</v>
      </c>
      <c r="K722" s="120"/>
      <c r="L722" s="108"/>
      <c r="M722" s="101" t="s">
        <v>647</v>
      </c>
    </row>
    <row r="723" spans="1:13" x14ac:dyDescent="0.25">
      <c r="A723" s="101"/>
      <c r="B723" s="101" t="s">
        <v>1044</v>
      </c>
      <c r="C723" s="101" t="s">
        <v>15</v>
      </c>
      <c r="D723" s="152">
        <f>IFERROR(INDEX('BD Rendimientos'!G:G,MATCH("05.01.09|Varilla Hierro D=10mmx12m|Uni.|materiales",'BD Rendimientos'!L:L,0)),"")</f>
        <v>1.3719303059404582E-2</v>
      </c>
      <c r="E723" s="161">
        <f>IFERROR(INDEX('BD Materiales'!D:D,MATCH("Varilla Hierro D=10mmx12m",'BD Materiales'!B:B,0)),"")</f>
        <v>8.1945999999999994</v>
      </c>
      <c r="F723" s="170">
        <f>IFERROR(D723*E723,"")</f>
        <v>0.11242420085059679</v>
      </c>
      <c r="G723" s="120"/>
      <c r="H723" s="108"/>
      <c r="I723" s="120">
        <v>1</v>
      </c>
      <c r="J723" s="108">
        <v>8.3800000000000008</v>
      </c>
      <c r="K723" s="120"/>
      <c r="L723" s="108"/>
      <c r="M723" s="101" t="s">
        <v>647</v>
      </c>
    </row>
    <row r="724" spans="1:13" x14ac:dyDescent="0.25">
      <c r="A724" s="99" t="s">
        <v>5</v>
      </c>
      <c r="B724" s="99"/>
      <c r="C724" s="99"/>
      <c r="D724" s="149"/>
      <c r="E724" s="158"/>
      <c r="F724" s="167"/>
      <c r="G724" s="117"/>
      <c r="H724" s="105"/>
      <c r="I724" s="117"/>
      <c r="J724" s="105"/>
      <c r="K724" s="117"/>
      <c r="L724" s="105"/>
      <c r="M724" s="99"/>
    </row>
    <row r="725" spans="1:13" x14ac:dyDescent="0.25">
      <c r="B725" t="s">
        <v>215</v>
      </c>
      <c r="C725" t="s">
        <v>3</v>
      </c>
      <c r="D725" s="150">
        <f>IFERROR(INDEX('BD Rendimientos'!G:G,MATCH("05.01.09|M. Bordillo De Terrazas|ml|mano_obra",'BD Rendimientos'!L:L,0)),"")</f>
        <v>1</v>
      </c>
      <c r="E725" s="159">
        <f>IFERROR(INDEX('BD Mano de Obra'!D:D,MATCH("M. Bordillo De Terrazas",'BD Mano de Obra'!B:B,0)),"")</f>
        <v>6.38</v>
      </c>
      <c r="F725" s="168">
        <f>IFERROR(D725*E725,"")</f>
        <v>6.38</v>
      </c>
      <c r="G725" s="118">
        <v>80</v>
      </c>
      <c r="H725" s="106">
        <v>6.38</v>
      </c>
      <c r="I725" s="118">
        <v>72.89</v>
      </c>
      <c r="J725" s="106">
        <v>6.38</v>
      </c>
      <c r="K725" s="118">
        <v>141.16999999999999</v>
      </c>
      <c r="L725" s="106">
        <v>6.38</v>
      </c>
    </row>
    <row r="726" spans="1:13" ht="16.5" thickBot="1" x14ac:dyDescent="0.3">
      <c r="A726" s="100"/>
      <c r="B726" s="100" t="s">
        <v>645</v>
      </c>
      <c r="C726" s="100" t="s">
        <v>3</v>
      </c>
      <c r="D726" s="151"/>
      <c r="E726" s="160"/>
      <c r="F726" s="169">
        <f>SUM(F717,F718,F719,F720,F721,F722,F723,F725)</f>
        <v>8.0123190448744079</v>
      </c>
      <c r="G726" s="119"/>
      <c r="H726" s="107">
        <v>6.9706250000000001</v>
      </c>
      <c r="I726" s="119"/>
      <c r="J726" s="107">
        <v>8.3483852380299108</v>
      </c>
      <c r="K726" s="119"/>
      <c r="L726" s="107">
        <v>7.4620174257986802</v>
      </c>
      <c r="M726" s="100" t="s">
        <v>646</v>
      </c>
    </row>
    <row r="727" spans="1:13" ht="16.5" thickTop="1" thickBot="1" x14ac:dyDescent="0.3">
      <c r="D727" s="150"/>
      <c r="E727" s="159"/>
      <c r="F727" s="168"/>
      <c r="G727" s="118"/>
      <c r="H727" s="106"/>
      <c r="I727" s="118"/>
      <c r="J727" s="106"/>
      <c r="K727" s="118"/>
      <c r="L727" s="106"/>
    </row>
    <row r="728" spans="1:13" ht="15.75" thickTop="1" x14ac:dyDescent="0.25">
      <c r="A728" s="97" t="s">
        <v>214</v>
      </c>
      <c r="B728" s="97" t="s">
        <v>213</v>
      </c>
      <c r="C728" s="97" t="s">
        <v>210</v>
      </c>
      <c r="D728" s="148" t="s">
        <v>635</v>
      </c>
      <c r="E728" s="157" t="s">
        <v>636</v>
      </c>
      <c r="F728" s="166" t="s">
        <v>637</v>
      </c>
      <c r="G728" s="116" t="s">
        <v>638</v>
      </c>
      <c r="H728" s="104" t="s">
        <v>639</v>
      </c>
      <c r="I728" s="116" t="s">
        <v>640</v>
      </c>
      <c r="J728" s="104" t="s">
        <v>641</v>
      </c>
      <c r="K728" s="116" t="s">
        <v>642</v>
      </c>
      <c r="L728" s="104" t="s">
        <v>643</v>
      </c>
      <c r="M728" s="97" t="s">
        <v>644</v>
      </c>
    </row>
    <row r="729" spans="1:13" x14ac:dyDescent="0.25">
      <c r="A729" s="99" t="s">
        <v>11</v>
      </c>
      <c r="B729" s="99"/>
      <c r="C729" s="99"/>
      <c r="D729" s="149"/>
      <c r="E729" s="158"/>
      <c r="F729" s="167"/>
      <c r="G729" s="117"/>
      <c r="H729" s="105"/>
      <c r="I729" s="117"/>
      <c r="J729" s="105"/>
      <c r="K729" s="117"/>
      <c r="L729" s="105"/>
      <c r="M729" s="99"/>
    </row>
    <row r="730" spans="1:13" x14ac:dyDescent="0.25">
      <c r="B730" t="s">
        <v>717</v>
      </c>
      <c r="D730" s="150">
        <f>IFERROR(INDEX('BD Rendimientos'!G:G,MATCH("05.01.10|Arena Fina||materiales",'BD Rendimientos'!L:L,0)),"")</f>
        <v>4.4817927170868341E-2</v>
      </c>
      <c r="E730" s="159">
        <f>IFERROR(INDEX('BD Materiales'!D:D,MATCH("Arena Fina",'BD Materiales'!B:B,0)),"")</f>
        <v>9.43</v>
      </c>
      <c r="F730" s="168">
        <f>IFERROR(D730*E730,"")</f>
        <v>0.42263305322128847</v>
      </c>
      <c r="G730" s="118"/>
      <c r="H730" s="106">
        <v>6.59</v>
      </c>
      <c r="I730" s="118"/>
      <c r="J730" s="106"/>
      <c r="K730" s="118">
        <v>0.48</v>
      </c>
      <c r="L730" s="106">
        <v>12.27</v>
      </c>
      <c r="M730" t="s">
        <v>1921</v>
      </c>
    </row>
    <row r="731" spans="1:13" x14ac:dyDescent="0.25">
      <c r="B731" t="s">
        <v>785</v>
      </c>
      <c r="C731" t="s">
        <v>8</v>
      </c>
      <c r="D731" s="150">
        <f>IFERROR(INDEX('BD Rendimientos'!G:G,MATCH("05.01.10|Cemento Campeon|qq|materiales",'BD Rendimientos'!L:L,0)),"")</f>
        <v>0.5</v>
      </c>
      <c r="E731" s="159">
        <f>IFERROR(INDEX('BD Materiales'!D:D,MATCH("Cemento Campeon",'BD Materiales'!B:B,0)),"")</f>
        <v>6.6975000000000007</v>
      </c>
      <c r="F731" s="168">
        <f>IFERROR(D731*E731,"")</f>
        <v>3.3487500000000003</v>
      </c>
      <c r="G731" s="118">
        <v>1</v>
      </c>
      <c r="H731" s="106">
        <v>6.59</v>
      </c>
      <c r="I731" s="118">
        <v>2</v>
      </c>
      <c r="J731" s="106">
        <v>6.79</v>
      </c>
      <c r="K731" s="118">
        <v>2</v>
      </c>
      <c r="L731" s="106">
        <v>6.68</v>
      </c>
      <c r="M731" t="s">
        <v>1920</v>
      </c>
    </row>
    <row r="732" spans="1:13" x14ac:dyDescent="0.25">
      <c r="A732" s="101"/>
      <c r="B732" s="101" t="s">
        <v>822</v>
      </c>
      <c r="C732" s="101" t="s">
        <v>30</v>
      </c>
      <c r="D732" s="152">
        <f>IFERROR(INDEX('BD Rendimientos'!G:G,MATCH("05.01.10|Clavos galvanizados 2""|Kg.|materiales",'BD Rendimientos'!L:L,0)),"")</f>
        <v>9.3370681605975711E-2</v>
      </c>
      <c r="E732" s="161">
        <f>IFERROR(INDEX('BD Materiales'!D:D,MATCH("Clavos galvanizados 2""",'BD Materiales'!B:B,0)),"")</f>
        <v>2.0827777777777783</v>
      </c>
      <c r="F732" s="170">
        <f>IFERROR(D732*E732,"")</f>
        <v>0.19447038074489056</v>
      </c>
      <c r="G732" s="120"/>
      <c r="H732" s="108"/>
      <c r="I732" s="120"/>
      <c r="J732" s="108"/>
      <c r="K732" s="120">
        <v>1</v>
      </c>
      <c r="L732" s="108">
        <v>1.84</v>
      </c>
      <c r="M732" s="101" t="s">
        <v>647</v>
      </c>
    </row>
    <row r="733" spans="1:13" x14ac:dyDescent="0.25">
      <c r="A733" s="101"/>
      <c r="B733" s="101" t="s">
        <v>967</v>
      </c>
      <c r="C733" s="101" t="s">
        <v>6</v>
      </c>
      <c r="D733" s="152">
        <f>IFERROR(INDEX('BD Rendimientos'!G:G,MATCH("05.01.10|Polvo Rosado|m3|materiales",'BD Rendimientos'!L:L,0)),"")</f>
        <v>0.08</v>
      </c>
      <c r="E733" s="161">
        <f>IFERROR(INDEX('BD Materiales'!D:D,MATCH("Polvo Rosado",'BD Materiales'!B:B,0)),"")</f>
        <v>13.75</v>
      </c>
      <c r="F733" s="170">
        <f>IFERROR(D733*E733,"")</f>
        <v>1.1000000000000001</v>
      </c>
      <c r="G733" s="120">
        <v>0.16</v>
      </c>
      <c r="H733" s="108">
        <v>13.75</v>
      </c>
      <c r="I733" s="120"/>
      <c r="J733" s="108"/>
      <c r="K733" s="120"/>
      <c r="L733" s="108"/>
      <c r="M733" s="101" t="s">
        <v>647</v>
      </c>
    </row>
    <row r="734" spans="1:13" x14ac:dyDescent="0.25">
      <c r="A734" s="101"/>
      <c r="B734" s="101" t="s">
        <v>602</v>
      </c>
      <c r="C734" s="101" t="s">
        <v>6</v>
      </c>
      <c r="D734" s="152">
        <f>IFERROR(INDEX('BD Rendimientos'!G:G,MATCH("05.01.10|Ripio|m3|materiales",'BD Rendimientos'!L:L,0)),"")</f>
        <v>0.04</v>
      </c>
      <c r="E734" s="161">
        <f>IFERROR(INDEX('BD Materiales'!D:D,MATCH("Ripio",'BD Materiales'!B:B,0)),"")</f>
        <v>13.895122287420717</v>
      </c>
      <c r="F734" s="170">
        <f>IFERROR(D734*E734,"")</f>
        <v>0.55580489149682866</v>
      </c>
      <c r="G734" s="120">
        <v>0.08</v>
      </c>
      <c r="H734" s="108">
        <v>13.75</v>
      </c>
      <c r="I734" s="120"/>
      <c r="J734" s="108"/>
      <c r="K734" s="120"/>
      <c r="L734" s="108"/>
      <c r="M734" s="101" t="s">
        <v>647</v>
      </c>
    </row>
    <row r="735" spans="1:13" x14ac:dyDescent="0.25">
      <c r="A735" s="101"/>
      <c r="B735" s="101" t="s">
        <v>851</v>
      </c>
      <c r="C735" s="101" t="s">
        <v>15</v>
      </c>
      <c r="D735" s="152">
        <f>IFERROR(INDEX('BD Rendimientos'!G:G,MATCH("05.01.10|Disco de corte de diamante 9""|Uni.|materiales",'BD Rendimientos'!L:L,0)),"")</f>
        <v>0.2976367640931008</v>
      </c>
      <c r="E735" s="161">
        <f>IFERROR(INDEX('BD Materiales'!D:D,MATCH("Disco de corte de diamante 9""",'BD Materiales'!B:B,0)),"")</f>
        <v>7.3260000000000005</v>
      </c>
      <c r="F735" s="170">
        <f>IFERROR(D735*E735,"")</f>
        <v>2.1804869337460566</v>
      </c>
      <c r="G735" s="120"/>
      <c r="H735" s="108"/>
      <c r="I735" s="120">
        <v>1</v>
      </c>
      <c r="J735" s="108">
        <v>7.11</v>
      </c>
      <c r="K735" s="120"/>
      <c r="L735" s="108"/>
      <c r="M735" s="101" t="s">
        <v>647</v>
      </c>
    </row>
    <row r="736" spans="1:13" x14ac:dyDescent="0.25">
      <c r="A736" s="99" t="s">
        <v>5</v>
      </c>
      <c r="B736" s="99"/>
      <c r="C736" s="99"/>
      <c r="D736" s="149"/>
      <c r="E736" s="158"/>
      <c r="F736" s="167"/>
      <c r="G736" s="117"/>
      <c r="H736" s="105"/>
      <c r="I736" s="117"/>
      <c r="J736" s="105"/>
      <c r="K736" s="117"/>
      <c r="L736" s="105"/>
      <c r="M736" s="99"/>
    </row>
    <row r="737" spans="1:13" x14ac:dyDescent="0.25">
      <c r="B737" t="s">
        <v>211</v>
      </c>
      <c r="C737" t="s">
        <v>210</v>
      </c>
      <c r="D737" s="150">
        <f>IFERROR(INDEX('BD Rendimientos'!G:G,MATCH("05.01.10|M. Nicho Para Baños y lavavajillas|Und|mano_obra",'BD Rendimientos'!L:L,0)),"")</f>
        <v>1</v>
      </c>
      <c r="E737" s="159">
        <f>IFERROR(INDEX('BD Mano de Obra'!D:D,MATCH("M. Nicho Para Baños y lavavajillas",'BD Mano de Obra'!B:B,0)),"")</f>
        <v>25.333333333333332</v>
      </c>
      <c r="F737" s="168">
        <f>IFERROR(D737*E737,"")</f>
        <v>25.333333333333332</v>
      </c>
      <c r="G737" s="118">
        <v>2</v>
      </c>
      <c r="H737" s="106">
        <v>24</v>
      </c>
      <c r="I737" s="118">
        <v>3.3597999999999999</v>
      </c>
      <c r="J737" s="106">
        <v>22</v>
      </c>
      <c r="K737" s="118">
        <v>10.71</v>
      </c>
      <c r="L737" s="106">
        <v>30</v>
      </c>
    </row>
    <row r="738" spans="1:13" ht="16.5" thickBot="1" x14ac:dyDescent="0.3">
      <c r="A738" s="100"/>
      <c r="B738" s="100" t="s">
        <v>645</v>
      </c>
      <c r="C738" s="100" t="s">
        <v>210</v>
      </c>
      <c r="D738" s="151"/>
      <c r="E738" s="160"/>
      <c r="F738" s="169">
        <f>SUM(F730,F731,F732,F733,F734,F735,F737)</f>
        <v>33.135478592542398</v>
      </c>
      <c r="G738" s="119"/>
      <c r="H738" s="107">
        <v>28.945</v>
      </c>
      <c r="I738" s="119"/>
      <c r="J738" s="107">
        <v>28.158104649086301</v>
      </c>
      <c r="K738" s="119"/>
      <c r="L738" s="107">
        <v>31.969150326797401</v>
      </c>
      <c r="M738" s="100" t="s">
        <v>646</v>
      </c>
    </row>
    <row r="739" spans="1:13" ht="16.5" thickTop="1" thickBot="1" x14ac:dyDescent="0.3">
      <c r="D739" s="150"/>
      <c r="E739" s="159"/>
      <c r="F739" s="168"/>
      <c r="G739" s="118"/>
      <c r="H739" s="106"/>
      <c r="I739" s="118"/>
      <c r="J739" s="106"/>
      <c r="K739" s="118"/>
      <c r="L739" s="106"/>
    </row>
    <row r="740" spans="1:13" ht="15.75" thickTop="1" x14ac:dyDescent="0.25">
      <c r="A740" s="97" t="s">
        <v>209</v>
      </c>
      <c r="B740" s="97" t="s">
        <v>208</v>
      </c>
      <c r="C740" s="97" t="s">
        <v>130</v>
      </c>
      <c r="D740" s="148" t="s">
        <v>635</v>
      </c>
      <c r="E740" s="157" t="s">
        <v>636</v>
      </c>
      <c r="F740" s="166" t="s">
        <v>637</v>
      </c>
      <c r="G740" s="116" t="s">
        <v>638</v>
      </c>
      <c r="H740" s="104" t="s">
        <v>639</v>
      </c>
      <c r="I740" s="116" t="s">
        <v>640</v>
      </c>
      <c r="J740" s="104" t="s">
        <v>641</v>
      </c>
      <c r="K740" s="116" t="s">
        <v>642</v>
      </c>
      <c r="L740" s="104" t="s">
        <v>643</v>
      </c>
      <c r="M740" s="97" t="s">
        <v>644</v>
      </c>
    </row>
    <row r="741" spans="1:13" x14ac:dyDescent="0.25">
      <c r="A741" s="99" t="s">
        <v>11</v>
      </c>
      <c r="B741" s="99"/>
      <c r="C741" s="99"/>
      <c r="D741" s="149"/>
      <c r="E741" s="158"/>
      <c r="F741" s="167"/>
      <c r="G741" s="117"/>
      <c r="H741" s="105"/>
      <c r="I741" s="117"/>
      <c r="J741" s="105"/>
      <c r="K741" s="117"/>
      <c r="L741" s="105"/>
      <c r="M741" s="99"/>
    </row>
    <row r="742" spans="1:13" x14ac:dyDescent="0.25">
      <c r="A742" s="101"/>
      <c r="B742" s="101" t="s">
        <v>720</v>
      </c>
      <c r="C742" s="101" t="s">
        <v>6</v>
      </c>
      <c r="D742" s="152">
        <f>IFERROR(INDEX('BD Rendimientos'!G:G,MATCH("05.01.11|Arena Rosada|m3|materiales",'BD Rendimientos'!L:L,0)),"")</f>
        <v>8.5496183206106885E-2</v>
      </c>
      <c r="E742" s="161">
        <f>IFERROR(INDEX('BD Materiales'!D:D,MATCH("Arena Rosada",'BD Materiales'!B:B,0)),"")</f>
        <v>13.25016774891775</v>
      </c>
      <c r="F742" s="170">
        <f>IFERROR(D742*E742,"")</f>
        <v>1.1328387693731208</v>
      </c>
      <c r="G742" s="120">
        <v>0.56000000000000005</v>
      </c>
      <c r="H742" s="108">
        <v>13.75</v>
      </c>
      <c r="I742" s="120"/>
      <c r="J742" s="108"/>
      <c r="K742" s="120"/>
      <c r="L742" s="108"/>
      <c r="M742" s="101" t="s">
        <v>647</v>
      </c>
    </row>
    <row r="743" spans="1:13" x14ac:dyDescent="0.25">
      <c r="B743" t="s">
        <v>785</v>
      </c>
      <c r="C743" t="s">
        <v>174</v>
      </c>
      <c r="D743" s="150">
        <f>IFERROR(INDEX('BD Rendimientos'!G:G,MATCH("05.01.11|Cemento Campeon|saco|materiales",'BD Rendimientos'!L:L,0)),"")</f>
        <v>0.52900763358778624</v>
      </c>
      <c r="E743" s="159">
        <f>IFERROR(INDEX('BD Materiales'!D:D,MATCH("Cemento Campeon",'BD Materiales'!B:B,0)),"")</f>
        <v>6.6975000000000007</v>
      </c>
      <c r="F743" s="168">
        <f>IFERROR(D743*E743,"")</f>
        <v>3.5430286259541988</v>
      </c>
      <c r="G743" s="118">
        <v>3</v>
      </c>
      <c r="H743" s="106">
        <v>6.59</v>
      </c>
      <c r="I743" s="118">
        <v>3</v>
      </c>
      <c r="J743" s="106">
        <v>6.79</v>
      </c>
      <c r="K743" s="118"/>
      <c r="L743" s="106"/>
    </row>
    <row r="744" spans="1:13" x14ac:dyDescent="0.25">
      <c r="A744" s="99" t="s">
        <v>5</v>
      </c>
      <c r="B744" s="99"/>
      <c r="C744" s="99"/>
      <c r="D744" s="149"/>
      <c r="E744" s="158"/>
      <c r="F744" s="167"/>
      <c r="G744" s="117"/>
      <c r="H744" s="105"/>
      <c r="I744" s="117"/>
      <c r="J744" s="105"/>
      <c r="K744" s="117"/>
      <c r="L744" s="105"/>
      <c r="M744" s="99"/>
    </row>
    <row r="745" spans="1:13" x14ac:dyDescent="0.25">
      <c r="B745" t="s">
        <v>207</v>
      </c>
      <c r="C745" t="s">
        <v>130</v>
      </c>
      <c r="D745" s="150">
        <f>IFERROR(INDEX('BD Rendimientos'!G:G,MATCH("05.01.11|M. Ducha Rehundida|m2|mano_obra",'BD Rendimientos'!L:L,0)),"")</f>
        <v>1</v>
      </c>
      <c r="E745" s="159">
        <f>IFERROR(INDEX('BD Mano de Obra'!D:D,MATCH("M. Ducha Rehundida",'BD Mano de Obra'!B:B,0)),"")</f>
        <v>13.26</v>
      </c>
      <c r="F745" s="168">
        <f>IFERROR(D745*E745,"")</f>
        <v>13.26</v>
      </c>
      <c r="G745" s="118">
        <v>6.55</v>
      </c>
      <c r="H745" s="106">
        <v>13.26</v>
      </c>
      <c r="I745" s="118">
        <v>5</v>
      </c>
      <c r="J745" s="106">
        <v>13.26</v>
      </c>
      <c r="K745" s="118">
        <v>9.14</v>
      </c>
      <c r="L745" s="106">
        <v>13.26</v>
      </c>
    </row>
    <row r="746" spans="1:13" ht="16.5" thickBot="1" x14ac:dyDescent="0.3">
      <c r="A746" s="100"/>
      <c r="B746" s="100" t="s">
        <v>645</v>
      </c>
      <c r="C746" s="100" t="s">
        <v>130</v>
      </c>
      <c r="D746" s="151"/>
      <c r="E746" s="160"/>
      <c r="F746" s="169">
        <f>SUM(F742,F743,F745)</f>
        <v>17.935867395327321</v>
      </c>
      <c r="G746" s="119"/>
      <c r="H746" s="107">
        <v>17.453893129771</v>
      </c>
      <c r="I746" s="119"/>
      <c r="J746" s="107">
        <v>17.334</v>
      </c>
      <c r="K746" s="119"/>
      <c r="L746" s="107">
        <v>13.26</v>
      </c>
      <c r="M746" s="100" t="s">
        <v>646</v>
      </c>
    </row>
    <row r="747" spans="1:13" ht="16.5" thickTop="1" thickBot="1" x14ac:dyDescent="0.3">
      <c r="D747" s="150"/>
      <c r="E747" s="159"/>
      <c r="F747" s="168"/>
      <c r="G747" s="118"/>
      <c r="H747" s="106"/>
      <c r="I747" s="118"/>
      <c r="J747" s="106"/>
      <c r="K747" s="118"/>
      <c r="L747" s="106"/>
    </row>
    <row r="748" spans="1:13" ht="15.75" thickTop="1" x14ac:dyDescent="0.25">
      <c r="A748" s="177" t="s">
        <v>547</v>
      </c>
      <c r="B748" s="177" t="s">
        <v>548</v>
      </c>
      <c r="C748" s="177" t="s">
        <v>550</v>
      </c>
      <c r="D748" s="178" t="s">
        <v>635</v>
      </c>
      <c r="E748" s="179" t="s">
        <v>636</v>
      </c>
      <c r="F748" s="180" t="s">
        <v>637</v>
      </c>
      <c r="G748" s="181" t="s">
        <v>638</v>
      </c>
      <c r="H748" s="182" t="s">
        <v>639</v>
      </c>
      <c r="I748" s="181" t="s">
        <v>640</v>
      </c>
      <c r="J748" s="182" t="s">
        <v>641</v>
      </c>
      <c r="K748" s="181" t="s">
        <v>642</v>
      </c>
      <c r="L748" s="182" t="s">
        <v>643</v>
      </c>
      <c r="M748" s="177" t="s">
        <v>1932</v>
      </c>
    </row>
    <row r="749" spans="1:13" x14ac:dyDescent="0.25">
      <c r="A749" s="99" t="s">
        <v>11</v>
      </c>
      <c r="B749" s="99"/>
      <c r="C749" s="99"/>
      <c r="D749" s="149"/>
      <c r="E749" s="158"/>
      <c r="F749" s="167"/>
      <c r="G749" s="117"/>
      <c r="H749" s="105"/>
      <c r="I749" s="117"/>
      <c r="J749" s="105"/>
      <c r="K749" s="117"/>
      <c r="L749" s="105"/>
      <c r="M749" s="99"/>
    </row>
    <row r="750" spans="1:13" x14ac:dyDescent="0.25">
      <c r="A750" s="101"/>
      <c r="B750" s="101" t="s">
        <v>785</v>
      </c>
      <c r="C750" s="101" t="s">
        <v>174</v>
      </c>
      <c r="D750" s="152">
        <f>IFERROR(INDEX('BD Rendimientos'!G:G,MATCH("05.01.12|Cemento Campeon|saco|materiales",'BD Rendimientos'!L:L,0)),"")</f>
        <v>0</v>
      </c>
      <c r="E750" s="161">
        <f>IFERROR(INDEX('BD Materiales'!D:D,MATCH("Cemento Campeon",'BD Materiales'!B:B,0)),"")</f>
        <v>6.6975000000000007</v>
      </c>
      <c r="F750" s="170">
        <f>IFERROR(D750*E750,"")</f>
        <v>0</v>
      </c>
      <c r="G750" s="120"/>
      <c r="H750" s="108"/>
      <c r="I750" s="120"/>
      <c r="J750" s="108"/>
      <c r="K750" s="120">
        <v>1</v>
      </c>
      <c r="L750" s="108">
        <v>6.76</v>
      </c>
      <c r="M750" s="101" t="s">
        <v>647</v>
      </c>
    </row>
    <row r="751" spans="1:13" x14ac:dyDescent="0.25">
      <c r="A751" s="101"/>
      <c r="B751" s="101" t="s">
        <v>603</v>
      </c>
      <c r="C751" s="101" t="s">
        <v>6</v>
      </c>
      <c r="D751" s="152">
        <f>IFERROR(INDEX('BD Rendimientos'!G:G,MATCH("05.01.12|Polvo Azul|m3|materiales",'BD Rendimientos'!L:L,0)),"")</f>
        <v>0</v>
      </c>
      <c r="E751" s="161">
        <f>IFERROR(INDEX('BD Materiales'!D:D,MATCH("Polvo Azul",'BD Materiales'!B:B,0)),"")</f>
        <v>14.547574523429788</v>
      </c>
      <c r="F751" s="170">
        <f>IFERROR(D751*E751,"")</f>
        <v>0</v>
      </c>
      <c r="G751" s="120"/>
      <c r="H751" s="108"/>
      <c r="I751" s="120"/>
      <c r="J751" s="108"/>
      <c r="K751" s="120">
        <v>0.08</v>
      </c>
      <c r="L751" s="108">
        <v>17.5</v>
      </c>
      <c r="M751" s="101" t="s">
        <v>647</v>
      </c>
    </row>
    <row r="752" spans="1:13" x14ac:dyDescent="0.25">
      <c r="A752" s="99" t="s">
        <v>5</v>
      </c>
      <c r="B752" s="99"/>
      <c r="C752" s="99"/>
      <c r="D752" s="149"/>
      <c r="E752" s="158"/>
      <c r="F752" s="167"/>
      <c r="G752" s="117"/>
      <c r="H752" s="105"/>
      <c r="I752" s="117"/>
      <c r="J752" s="105"/>
      <c r="K752" s="117"/>
      <c r="L752" s="105"/>
      <c r="M752" s="99"/>
    </row>
    <row r="753" spans="1:13" x14ac:dyDescent="0.25">
      <c r="A753" s="101"/>
      <c r="B753" s="101" t="s">
        <v>549</v>
      </c>
      <c r="C753" s="101" t="s">
        <v>15</v>
      </c>
      <c r="D753" s="152">
        <f>IFERROR(INDEX('BD Rendimientos'!G:G,MATCH("05.01.12|M. Volumen para medidores de ag (Volumen para medidores de agua y luz)|Uni.|mano_obra",'BD Rendimientos'!L:L,0)),"")</f>
        <v>0</v>
      </c>
      <c r="E753" s="161">
        <f>IFERROR(INDEX('BD Mano de Obra'!D:D,MATCH("M. Volumen para medidores de ag (Volumen para medidores de agua y luz)",'BD Mano de Obra'!B:B,0)),"")</f>
        <v>133.94</v>
      </c>
      <c r="F753" s="170">
        <f>IFERROR(D753*E753,"")</f>
        <v>0</v>
      </c>
      <c r="G753" s="120"/>
      <c r="H753" s="108"/>
      <c r="I753" s="120"/>
      <c r="J753" s="108"/>
      <c r="K753" s="120">
        <v>1</v>
      </c>
      <c r="L753" s="108">
        <v>133.94</v>
      </c>
      <c r="M753" s="101" t="s">
        <v>647</v>
      </c>
    </row>
    <row r="754" spans="1:13" ht="16.5" thickBot="1" x14ac:dyDescent="0.3">
      <c r="A754" s="183"/>
      <c r="B754" s="183" t="s">
        <v>645</v>
      </c>
      <c r="C754" s="183" t="s">
        <v>550</v>
      </c>
      <c r="D754" s="184"/>
      <c r="E754" s="185"/>
      <c r="F754" s="186">
        <f>SUM(F750,F751,F753)</f>
        <v>0</v>
      </c>
      <c r="G754" s="187"/>
      <c r="H754" s="188"/>
      <c r="I754" s="187"/>
      <c r="J754" s="188"/>
      <c r="K754" s="187"/>
      <c r="L754" s="188">
        <v>142.1</v>
      </c>
      <c r="M754" s="183" t="s">
        <v>646</v>
      </c>
    </row>
    <row r="755" spans="1:13" ht="16.5" thickTop="1" thickBot="1" x14ac:dyDescent="0.3">
      <c r="D755" s="150"/>
      <c r="E755" s="159"/>
      <c r="F755" s="168"/>
      <c r="G755" s="118"/>
      <c r="H755" s="106"/>
      <c r="I755" s="118"/>
      <c r="J755" s="106"/>
      <c r="K755" s="118"/>
      <c r="L755" s="106"/>
    </row>
    <row r="756" spans="1:13" ht="15.75" thickTop="1" x14ac:dyDescent="0.25">
      <c r="A756" s="97" t="s">
        <v>206</v>
      </c>
      <c r="B756" s="97" t="s">
        <v>205</v>
      </c>
      <c r="C756" s="97" t="s">
        <v>130</v>
      </c>
      <c r="D756" s="148" t="s">
        <v>635</v>
      </c>
      <c r="E756" s="157" t="s">
        <v>636</v>
      </c>
      <c r="F756" s="166" t="s">
        <v>637</v>
      </c>
      <c r="G756" s="116" t="s">
        <v>638</v>
      </c>
      <c r="H756" s="104" t="s">
        <v>639</v>
      </c>
      <c r="I756" s="116" t="s">
        <v>640</v>
      </c>
      <c r="J756" s="104" t="s">
        <v>641</v>
      </c>
      <c r="K756" s="116" t="s">
        <v>642</v>
      </c>
      <c r="L756" s="104" t="s">
        <v>643</v>
      </c>
      <c r="M756" s="97" t="s">
        <v>644</v>
      </c>
    </row>
    <row r="757" spans="1:13" x14ac:dyDescent="0.25">
      <c r="A757" s="99" t="s">
        <v>11</v>
      </c>
      <c r="B757" s="99"/>
      <c r="C757" s="99"/>
      <c r="D757" s="149"/>
      <c r="E757" s="158"/>
      <c r="F757" s="167"/>
      <c r="G757" s="117"/>
      <c r="H757" s="105"/>
      <c r="I757" s="117"/>
      <c r="J757" s="105"/>
      <c r="K757" s="117"/>
      <c r="L757" s="105"/>
      <c r="M757" s="99"/>
    </row>
    <row r="758" spans="1:13" x14ac:dyDescent="0.25">
      <c r="A758" s="101"/>
      <c r="B758" s="101" t="s">
        <v>526</v>
      </c>
      <c r="C758" s="101" t="s">
        <v>15</v>
      </c>
      <c r="D758" s="152">
        <f>IFERROR(INDEX('BD Rendimientos'!G:G,MATCH("05.01.15|Brocha 3""|Uni.|materiales",'BD Rendimientos'!L:L,0)),"")</f>
        <v>1.8623527623906053E-2</v>
      </c>
      <c r="E758" s="161">
        <f>IFERROR(INDEX('BD Materiales'!D:D,MATCH("Brocha 3""",'BD Materiales'!B:B,0)),"")</f>
        <v>1.07</v>
      </c>
      <c r="F758" s="170">
        <f>IFERROR(D758*E758,"")</f>
        <v>1.9927174557579478E-2</v>
      </c>
      <c r="G758" s="120"/>
      <c r="H758" s="108"/>
      <c r="I758" s="120">
        <v>2</v>
      </c>
      <c r="J758" s="108">
        <v>1.07</v>
      </c>
      <c r="K758" s="120"/>
      <c r="L758" s="108"/>
      <c r="M758" s="101" t="s">
        <v>647</v>
      </c>
    </row>
    <row r="759" spans="1:13" x14ac:dyDescent="0.25">
      <c r="B759" t="s">
        <v>798</v>
      </c>
      <c r="C759" t="s">
        <v>15</v>
      </c>
      <c r="D759" s="150">
        <f>IFERROR(INDEX('BD Rendimientos'!G:G,MATCH("05.01.15|Chapisco 25 kg|Uni.|materiales",'BD Rendimientos'!L:L,0)),"")</f>
        <v>2.5729584085372494E-2</v>
      </c>
      <c r="E759" s="159">
        <f>IFERROR(INDEX('BD Materiales'!D:D,MATCH("Chapisco 25 kg",'BD Materiales'!B:B,0)),"")</f>
        <v>7.6570634920634939</v>
      </c>
      <c r="F759" s="168">
        <f>IFERROR(D759*E759,"")</f>
        <v>0.19701305896608359</v>
      </c>
      <c r="G759" s="118"/>
      <c r="H759" s="106"/>
      <c r="I759" s="118">
        <v>3</v>
      </c>
      <c r="J759" s="106">
        <v>8.06</v>
      </c>
      <c r="K759" s="118">
        <v>3</v>
      </c>
      <c r="L759" s="106">
        <v>7.25</v>
      </c>
    </row>
    <row r="760" spans="1:13" x14ac:dyDescent="0.25">
      <c r="A760" s="101"/>
      <c r="B760" s="101" t="s">
        <v>64</v>
      </c>
      <c r="C760" s="101" t="s">
        <v>15</v>
      </c>
      <c r="D760" s="152">
        <f>IFERROR(INDEX('BD Rendimientos'!G:G,MATCH("05.01.15|Malla Armex Elect.6mmx15x15R188 (Malla Armex Elect.6mmx15x15 R188)|Uni.|materiales",'BD Rendimientos'!L:L,0)),"")</f>
        <v>7.8412922449619688E-3</v>
      </c>
      <c r="E760" s="161">
        <f>IFERROR(INDEX('BD Materiales'!D:D,MATCH("Malla Armex Elect.6mmx15x15R188 (Malla Armex Elect.6mmx15x15 R188)",'BD Materiales'!B:B,0)),"")</f>
        <v>50.794114583333339</v>
      </c>
      <c r="F760" s="170">
        <f>IFERROR(D760*E760,"")</f>
        <v>0.39829149677200137</v>
      </c>
      <c r="G760" s="120"/>
      <c r="H760" s="108"/>
      <c r="I760" s="120"/>
      <c r="J760" s="108"/>
      <c r="K760" s="120">
        <v>1</v>
      </c>
      <c r="L760" s="108">
        <v>54.15</v>
      </c>
      <c r="M760" s="101" t="s">
        <v>647</v>
      </c>
    </row>
    <row r="761" spans="1:13" x14ac:dyDescent="0.25">
      <c r="A761" s="101"/>
      <c r="B761" s="101" t="s">
        <v>155</v>
      </c>
      <c r="C761" s="101" t="s">
        <v>144</v>
      </c>
      <c r="D761" s="152">
        <f>IFERROR(INDEX('BD Rendimientos'!G:G,MATCH("05.01.15|Malla para tumbado (rollo) (Malla para tumbado (rollo))|rollo|materiales",'BD Rendimientos'!L:L,0)),"")</f>
        <v>9.3117638119530263E-3</v>
      </c>
      <c r="E761" s="161">
        <f>IFERROR(INDEX('BD Materiales'!D:D,MATCH("Malla para tumbado (rollo) (Malla para tumbado (rollo))",'BD Materiales'!B:B,0)),"")</f>
        <v>12.525</v>
      </c>
      <c r="F761" s="170">
        <f>IFERROR(D761*E761,"")</f>
        <v>0.11662984174471165</v>
      </c>
      <c r="G761" s="120"/>
      <c r="H761" s="108"/>
      <c r="I761" s="120">
        <v>1</v>
      </c>
      <c r="J761" s="108">
        <v>15.47</v>
      </c>
      <c r="K761" s="120"/>
      <c r="L761" s="108"/>
      <c r="M761" s="101" t="s">
        <v>647</v>
      </c>
    </row>
    <row r="762" spans="1:13" x14ac:dyDescent="0.25">
      <c r="A762" s="101"/>
      <c r="B762" s="101" t="s">
        <v>930</v>
      </c>
      <c r="C762" s="101" t="s">
        <v>15</v>
      </c>
      <c r="D762" s="152">
        <f>IFERROR(INDEX('BD Rendimientos'!G:G,MATCH("05.01.15|Maxilastic 3.8lt/4.33kg|Uni.|materiales",'BD Rendimientos'!L:L,0)),"")</f>
        <v>2.3523876734885908E-2</v>
      </c>
      <c r="E762" s="161">
        <f>IFERROR(INDEX('BD Materiales'!D:D,MATCH("Maxilastic 3.8lt/4.33kg",'BD Materiales'!B:B,0)),"")</f>
        <v>37.835000000000001</v>
      </c>
      <c r="F762" s="170">
        <f>IFERROR(D762*E762,"")</f>
        <v>0.89002587626440832</v>
      </c>
      <c r="G762" s="120"/>
      <c r="H762" s="108"/>
      <c r="I762" s="120"/>
      <c r="J762" s="108"/>
      <c r="K762" s="120">
        <v>3</v>
      </c>
      <c r="L762" s="108">
        <v>37.17</v>
      </c>
      <c r="M762" s="101" t="s">
        <v>647</v>
      </c>
    </row>
    <row r="763" spans="1:13" x14ac:dyDescent="0.25">
      <c r="A763" s="101"/>
      <c r="B763" s="101" t="s">
        <v>951</v>
      </c>
      <c r="C763" s="101" t="s">
        <v>15</v>
      </c>
      <c r="D763" s="152">
        <f>IFERROR(INDEX('BD Rendimientos'!G:G,MATCH("05.01.15|Plancha espumaflex 2cm|Uni.|materiales",'BD Rendimientos'!L:L,0)),"")</f>
        <v>2.3523876734885908E-2</v>
      </c>
      <c r="E763" s="161">
        <f>IFERROR(INDEX('BD Materiales'!D:D,MATCH("Plancha espumaflex 2cm",'BD Materiales'!B:B,0)),"")</f>
        <v>4.0571428571428569</v>
      </c>
      <c r="F763" s="170">
        <f>IFERROR(D763*E763,"")</f>
        <v>9.5439728467251392E-2</v>
      </c>
      <c r="G763" s="120"/>
      <c r="H763" s="108"/>
      <c r="I763" s="120"/>
      <c r="J763" s="108"/>
      <c r="K763" s="120">
        <v>3</v>
      </c>
      <c r="L763" s="108">
        <v>3.96</v>
      </c>
      <c r="M763" s="101" t="s">
        <v>647</v>
      </c>
    </row>
    <row r="764" spans="1:13" x14ac:dyDescent="0.25">
      <c r="A764" s="101"/>
      <c r="B764" s="101" t="s">
        <v>980</v>
      </c>
      <c r="C764" s="101" t="s">
        <v>15</v>
      </c>
      <c r="D764" s="152">
        <f>IFERROR(INDEX('BD Rendimientos'!G:G,MATCH("05.01.15|Rodillo de felpa|Uni.|materiales",'BD Rendimientos'!L:L,0)),"")</f>
        <v>1.7153056056914993E-2</v>
      </c>
      <c r="E764" s="161">
        <f>IFERROR(INDEX('BD Materiales'!D:D,MATCH("Rodillo de felpa",'BD Materiales'!B:B,0)),"")</f>
        <v>1.55</v>
      </c>
      <c r="F764" s="170">
        <f>IFERROR(D764*E764,"")</f>
        <v>2.6587236888218242E-2</v>
      </c>
      <c r="G764" s="120"/>
      <c r="H764" s="108"/>
      <c r="I764" s="120">
        <v>2</v>
      </c>
      <c r="J764" s="108">
        <v>1.55</v>
      </c>
      <c r="K764" s="120">
        <v>2</v>
      </c>
      <c r="L764" s="108"/>
      <c r="M764" s="101" t="s">
        <v>647</v>
      </c>
    </row>
    <row r="765" spans="1:13" x14ac:dyDescent="0.25">
      <c r="A765" s="99" t="s">
        <v>5</v>
      </c>
      <c r="B765" s="99"/>
      <c r="C765" s="99"/>
      <c r="D765" s="149"/>
      <c r="E765" s="158"/>
      <c r="F765" s="167"/>
      <c r="G765" s="117"/>
      <c r="H765" s="105"/>
      <c r="I765" s="117"/>
      <c r="J765" s="105"/>
      <c r="K765" s="117"/>
      <c r="L765" s="105"/>
      <c r="M765" s="99"/>
    </row>
    <row r="766" spans="1:13" x14ac:dyDescent="0.25">
      <c r="B766" t="s">
        <v>202</v>
      </c>
      <c r="C766" t="s">
        <v>130</v>
      </c>
      <c r="D766" s="150">
        <f>IFERROR(INDEX('BD Rendimientos'!G:G,MATCH("05.01.15|M. Forrado de columnas metálicas|m2|mano_obra",'BD Rendimientos'!L:L,0)),"")</f>
        <v>1</v>
      </c>
      <c r="E766" s="159">
        <f>IFERROR(INDEX('BD Mano de Obra'!D:D,MATCH("M. Forrado de columnas metálicas",'BD Mano de Obra'!B:B,0)),"")</f>
        <v>3.8</v>
      </c>
      <c r="F766" s="168">
        <f>IFERROR(D766*E766,"")</f>
        <v>3.8</v>
      </c>
      <c r="G766" s="118"/>
      <c r="H766" s="106"/>
      <c r="I766" s="118">
        <v>107.39104</v>
      </c>
      <c r="J766" s="106">
        <v>3.8</v>
      </c>
      <c r="K766" s="118">
        <v>127.53</v>
      </c>
      <c r="L766" s="106">
        <v>3.8</v>
      </c>
    </row>
    <row r="767" spans="1:13" ht="16.5" thickBot="1" x14ac:dyDescent="0.3">
      <c r="A767" s="100"/>
      <c r="B767" s="100" t="s">
        <v>645</v>
      </c>
      <c r="C767" s="100" t="s">
        <v>130</v>
      </c>
      <c r="D767" s="151"/>
      <c r="E767" s="160"/>
      <c r="F767" s="169">
        <f>SUM(F758,F759,F760,F761,F762,F763,F764,F766)</f>
        <v>5.5439144136602536</v>
      </c>
      <c r="G767" s="119"/>
      <c r="H767" s="107"/>
      <c r="I767" s="119"/>
      <c r="J767" s="107">
        <v>4.21800507751857</v>
      </c>
      <c r="K767" s="119"/>
      <c r="L767" s="107">
        <v>5.3626911314984698</v>
      </c>
      <c r="M767" s="100" t="s">
        <v>646</v>
      </c>
    </row>
    <row r="768" spans="1:13" ht="15.75" thickTop="1" x14ac:dyDescent="0.25">
      <c r="D768" s="150"/>
      <c r="E768" s="159"/>
      <c r="F768" s="168"/>
      <c r="G768" s="118"/>
      <c r="H768" s="106"/>
      <c r="I768" s="118"/>
      <c r="J768" s="106"/>
      <c r="K768" s="118"/>
      <c r="L768" s="106"/>
    </row>
    <row r="769" spans="1:13" ht="18" thickBot="1" x14ac:dyDescent="0.35">
      <c r="A769" s="95" t="s">
        <v>201</v>
      </c>
      <c r="B769" s="95"/>
      <c r="C769" s="95"/>
      <c r="D769" s="147"/>
      <c r="E769" s="156"/>
      <c r="F769" s="165"/>
      <c r="G769" s="115"/>
      <c r="H769" s="103"/>
      <c r="I769" s="115"/>
      <c r="J769" s="103"/>
      <c r="K769" s="115"/>
      <c r="L769" s="103"/>
      <c r="M769" s="95"/>
    </row>
    <row r="770" spans="1:13" ht="15.75" thickTop="1" x14ac:dyDescent="0.25">
      <c r="A770" s="97" t="s">
        <v>200</v>
      </c>
      <c r="B770" s="97" t="s">
        <v>199</v>
      </c>
      <c r="C770" s="97" t="s">
        <v>130</v>
      </c>
      <c r="D770" s="148" t="s">
        <v>635</v>
      </c>
      <c r="E770" s="157" t="s">
        <v>636</v>
      </c>
      <c r="F770" s="166" t="s">
        <v>637</v>
      </c>
      <c r="G770" s="116" t="s">
        <v>638</v>
      </c>
      <c r="H770" s="104" t="s">
        <v>639</v>
      </c>
      <c r="I770" s="116" t="s">
        <v>640</v>
      </c>
      <c r="J770" s="104" t="s">
        <v>641</v>
      </c>
      <c r="K770" s="116" t="s">
        <v>642</v>
      </c>
      <c r="L770" s="104" t="s">
        <v>643</v>
      </c>
      <c r="M770" s="97" t="s">
        <v>644</v>
      </c>
    </row>
    <row r="771" spans="1:13" x14ac:dyDescent="0.25">
      <c r="A771" s="99" t="s">
        <v>5</v>
      </c>
      <c r="B771" s="99"/>
      <c r="C771" s="99"/>
      <c r="D771" s="149"/>
      <c r="E771" s="158"/>
      <c r="F771" s="167"/>
      <c r="G771" s="117"/>
      <c r="H771" s="105"/>
      <c r="I771" s="117"/>
      <c r="J771" s="105"/>
      <c r="K771" s="117"/>
      <c r="L771" s="105"/>
      <c r="M771" s="99"/>
    </row>
    <row r="772" spans="1:13" x14ac:dyDescent="0.25">
      <c r="B772" t="s">
        <v>198</v>
      </c>
      <c r="C772" t="s">
        <v>130</v>
      </c>
      <c r="D772" s="150">
        <f>IFERROR(INDEX('BD Rendimientos'!G:G,MATCH("06.01.01|M. Enlucido De Fachada|m2|mano_obra",'BD Rendimientos'!L:L,0)),"")</f>
        <v>1</v>
      </c>
      <c r="E772" s="159">
        <f>IFERROR(INDEX('BD Mano de Obra'!D:D,MATCH("M. Enlucido De Fachada",'BD Mano de Obra'!B:B,0)),"")</f>
        <v>7.4633333333333338</v>
      </c>
      <c r="F772" s="168">
        <f>IFERROR(D772*E772,"")</f>
        <v>7.4633333333333338</v>
      </c>
      <c r="G772" s="118">
        <v>382.99919999999997</v>
      </c>
      <c r="H772" s="106">
        <v>7.99</v>
      </c>
      <c r="I772" s="118">
        <v>342.46839999999997</v>
      </c>
      <c r="J772" s="106">
        <v>6.8</v>
      </c>
      <c r="K772" s="118">
        <v>391.97</v>
      </c>
      <c r="L772" s="106">
        <v>7.6</v>
      </c>
    </row>
    <row r="773" spans="1:13" ht="16.5" thickBot="1" x14ac:dyDescent="0.3">
      <c r="A773" s="100"/>
      <c r="B773" s="100" t="s">
        <v>645</v>
      </c>
      <c r="C773" s="100" t="s">
        <v>130</v>
      </c>
      <c r="D773" s="151"/>
      <c r="E773" s="160"/>
      <c r="F773" s="169">
        <f>SUM(F772)</f>
        <v>7.4633333333333338</v>
      </c>
      <c r="G773" s="119"/>
      <c r="H773" s="107">
        <v>7.99</v>
      </c>
      <c r="I773" s="119"/>
      <c r="J773" s="107">
        <v>6.8</v>
      </c>
      <c r="K773" s="119"/>
      <c r="L773" s="107">
        <v>7.6</v>
      </c>
      <c r="M773" s="100" t="s">
        <v>646</v>
      </c>
    </row>
    <row r="774" spans="1:13" ht="16.5" thickTop="1" thickBot="1" x14ac:dyDescent="0.3">
      <c r="D774" s="150"/>
      <c r="E774" s="159"/>
      <c r="F774" s="168"/>
      <c r="G774" s="118"/>
      <c r="H774" s="106"/>
      <c r="I774" s="118"/>
      <c r="J774" s="106"/>
      <c r="K774" s="118"/>
      <c r="L774" s="106"/>
    </row>
    <row r="775" spans="1:13" ht="15.75" thickTop="1" x14ac:dyDescent="0.25">
      <c r="A775" s="97" t="s">
        <v>197</v>
      </c>
      <c r="B775" s="97" t="s">
        <v>196</v>
      </c>
      <c r="C775" s="97" t="s">
        <v>3</v>
      </c>
      <c r="D775" s="148" t="s">
        <v>635</v>
      </c>
      <c r="E775" s="157" t="s">
        <v>636</v>
      </c>
      <c r="F775" s="166" t="s">
        <v>637</v>
      </c>
      <c r="G775" s="116" t="s">
        <v>638</v>
      </c>
      <c r="H775" s="104" t="s">
        <v>639</v>
      </c>
      <c r="I775" s="116" t="s">
        <v>640</v>
      </c>
      <c r="J775" s="104" t="s">
        <v>641</v>
      </c>
      <c r="K775" s="116" t="s">
        <v>642</v>
      </c>
      <c r="L775" s="104" t="s">
        <v>643</v>
      </c>
      <c r="M775" s="97" t="s">
        <v>644</v>
      </c>
    </row>
    <row r="776" spans="1:13" x14ac:dyDescent="0.25">
      <c r="A776" s="99" t="s">
        <v>5</v>
      </c>
      <c r="B776" s="99"/>
      <c r="C776" s="99"/>
      <c r="D776" s="149"/>
      <c r="E776" s="158"/>
      <c r="F776" s="167"/>
      <c r="G776" s="117"/>
      <c r="H776" s="105"/>
      <c r="I776" s="117"/>
      <c r="J776" s="105"/>
      <c r="K776" s="117"/>
      <c r="L776" s="105"/>
      <c r="M776" s="99"/>
    </row>
    <row r="777" spans="1:13" x14ac:dyDescent="0.25">
      <c r="B777" t="s">
        <v>195</v>
      </c>
      <c r="C777" t="s">
        <v>3</v>
      </c>
      <c r="D777" s="150">
        <f>IFERROR(INDEX('BD Rendimientos'!G:G,MATCH("06.01.03|M. Enlucido De Fajas Exteriores|ml|mano_obra",'BD Rendimientos'!L:L,0)),"")</f>
        <v>1</v>
      </c>
      <c r="E777" s="159">
        <f>IFERROR(INDEX('BD Mano de Obra'!D:D,MATCH("M. Enlucido De Fajas Exteriores",'BD Mano de Obra'!B:B,0)),"")</f>
        <v>3.25</v>
      </c>
      <c r="F777" s="168">
        <f>IFERROR(D777*E777,"")</f>
        <v>3.25</v>
      </c>
      <c r="G777" s="118">
        <v>231.19200000000001</v>
      </c>
      <c r="H777" s="106">
        <v>3.4</v>
      </c>
      <c r="I777" s="118">
        <v>298.851</v>
      </c>
      <c r="J777" s="106">
        <v>3.1</v>
      </c>
      <c r="K777" s="118"/>
      <c r="L777" s="106"/>
    </row>
    <row r="778" spans="1:13" ht="16.5" thickBot="1" x14ac:dyDescent="0.3">
      <c r="A778" s="100"/>
      <c r="B778" s="100" t="s">
        <v>645</v>
      </c>
      <c r="C778" s="100" t="s">
        <v>3</v>
      </c>
      <c r="D778" s="151"/>
      <c r="E778" s="160"/>
      <c r="F778" s="169">
        <f>SUM(F777)</f>
        <v>3.25</v>
      </c>
      <c r="G778" s="119"/>
      <c r="H778" s="107">
        <v>3.4</v>
      </c>
      <c r="I778" s="119"/>
      <c r="J778" s="107">
        <v>3.1</v>
      </c>
      <c r="K778" s="119"/>
      <c r="L778" s="107"/>
      <c r="M778" s="100" t="s">
        <v>646</v>
      </c>
    </row>
    <row r="779" spans="1:13" ht="16.5" thickTop="1" thickBot="1" x14ac:dyDescent="0.3">
      <c r="D779" s="150"/>
      <c r="E779" s="159"/>
      <c r="F779" s="168"/>
      <c r="G779" s="118"/>
      <c r="H779" s="106"/>
      <c r="I779" s="118"/>
      <c r="J779" s="106"/>
      <c r="K779" s="118"/>
      <c r="L779" s="106"/>
    </row>
    <row r="780" spans="1:13" ht="15.75" thickTop="1" x14ac:dyDescent="0.25">
      <c r="A780" s="177" t="s">
        <v>194</v>
      </c>
      <c r="B780" s="177" t="s">
        <v>193</v>
      </c>
      <c r="C780" s="177" t="s">
        <v>3</v>
      </c>
      <c r="D780" s="178" t="s">
        <v>635</v>
      </c>
      <c r="E780" s="179" t="s">
        <v>636</v>
      </c>
      <c r="F780" s="180" t="s">
        <v>637</v>
      </c>
      <c r="G780" s="181" t="s">
        <v>638</v>
      </c>
      <c r="H780" s="182" t="s">
        <v>639</v>
      </c>
      <c r="I780" s="181" t="s">
        <v>640</v>
      </c>
      <c r="J780" s="182" t="s">
        <v>641</v>
      </c>
      <c r="K780" s="181" t="s">
        <v>642</v>
      </c>
      <c r="L780" s="182" t="s">
        <v>643</v>
      </c>
      <c r="M780" s="177" t="s">
        <v>1932</v>
      </c>
    </row>
    <row r="781" spans="1:13" x14ac:dyDescent="0.25">
      <c r="A781" s="99" t="s">
        <v>5</v>
      </c>
      <c r="B781" s="99"/>
      <c r="C781" s="99"/>
      <c r="D781" s="149"/>
      <c r="E781" s="158"/>
      <c r="F781" s="167"/>
      <c r="G781" s="117"/>
      <c r="H781" s="105"/>
      <c r="I781" s="117"/>
      <c r="J781" s="105"/>
      <c r="K781" s="117"/>
      <c r="L781" s="105"/>
      <c r="M781" s="99"/>
    </row>
    <row r="782" spans="1:13" x14ac:dyDescent="0.25">
      <c r="B782" t="s">
        <v>192</v>
      </c>
      <c r="C782" t="s">
        <v>130</v>
      </c>
      <c r="D782" s="150">
        <f>IFERROR(INDEX('BD Rendimientos'!G:G,MATCH("06.01.04|M. Enlucido De Filos Exteriores|m2|mano_obra",'BD Rendimientos'!L:L,0)),"")</f>
        <v>0</v>
      </c>
      <c r="E782" s="159">
        <f>IFERROR(INDEX('BD Mano de Obra'!D:D,MATCH("M. Enlucido De Filos Exteriores",'BD Mano de Obra'!B:B,0)),"")</f>
        <v>1.25</v>
      </c>
      <c r="F782" s="168">
        <f>IFERROR(D782*E782,"")</f>
        <v>0</v>
      </c>
      <c r="G782" s="118">
        <v>282.35700000000003</v>
      </c>
      <c r="H782" s="106">
        <v>1.4</v>
      </c>
      <c r="I782" s="118">
        <v>57.101999999999997</v>
      </c>
      <c r="J782" s="106">
        <v>1.1000000000000001</v>
      </c>
      <c r="K782" s="118"/>
      <c r="L782" s="106"/>
    </row>
    <row r="783" spans="1:13" ht="16.5" thickBot="1" x14ac:dyDescent="0.3">
      <c r="A783" s="183"/>
      <c r="B783" s="183" t="s">
        <v>645</v>
      </c>
      <c r="C783" s="183" t="s">
        <v>3</v>
      </c>
      <c r="D783" s="184"/>
      <c r="E783" s="185"/>
      <c r="F783" s="186">
        <f>SUM(F782)</f>
        <v>0</v>
      </c>
      <c r="G783" s="187"/>
      <c r="H783" s="188">
        <v>1.4</v>
      </c>
      <c r="I783" s="187"/>
      <c r="J783" s="188">
        <v>1.1000000000000001</v>
      </c>
      <c r="K783" s="187"/>
      <c r="L783" s="188"/>
      <c r="M783" s="183" t="s">
        <v>646</v>
      </c>
    </row>
    <row r="784" spans="1:13" ht="16.5" thickTop="1" thickBot="1" x14ac:dyDescent="0.3">
      <c r="D784" s="150"/>
      <c r="E784" s="159"/>
      <c r="F784" s="168"/>
      <c r="G784" s="118"/>
      <c r="H784" s="106"/>
      <c r="I784" s="118"/>
      <c r="J784" s="106"/>
      <c r="K784" s="118"/>
      <c r="L784" s="106"/>
    </row>
    <row r="785" spans="1:13" ht="15.75" thickTop="1" x14ac:dyDescent="0.25">
      <c r="A785" s="97" t="s">
        <v>191</v>
      </c>
      <c r="B785" s="97" t="s">
        <v>190</v>
      </c>
      <c r="C785" s="97" t="s">
        <v>130</v>
      </c>
      <c r="D785" s="148" t="s">
        <v>635</v>
      </c>
      <c r="E785" s="157" t="s">
        <v>636</v>
      </c>
      <c r="F785" s="166" t="s">
        <v>637</v>
      </c>
      <c r="G785" s="116" t="s">
        <v>638</v>
      </c>
      <c r="H785" s="104" t="s">
        <v>639</v>
      </c>
      <c r="I785" s="116" t="s">
        <v>640</v>
      </c>
      <c r="J785" s="104" t="s">
        <v>641</v>
      </c>
      <c r="K785" s="116" t="s">
        <v>642</v>
      </c>
      <c r="L785" s="104" t="s">
        <v>643</v>
      </c>
      <c r="M785" s="97" t="s">
        <v>644</v>
      </c>
    </row>
    <row r="786" spans="1:13" x14ac:dyDescent="0.25">
      <c r="A786" s="99" t="s">
        <v>5</v>
      </c>
      <c r="B786" s="99"/>
      <c r="C786" s="99"/>
      <c r="D786" s="149"/>
      <c r="E786" s="158"/>
      <c r="F786" s="167"/>
      <c r="G786" s="117"/>
      <c r="H786" s="105"/>
      <c r="I786" s="117"/>
      <c r="J786" s="105"/>
      <c r="K786" s="117"/>
      <c r="L786" s="105"/>
      <c r="M786" s="99"/>
    </row>
    <row r="787" spans="1:13" x14ac:dyDescent="0.25">
      <c r="B787" t="s">
        <v>189</v>
      </c>
      <c r="C787" t="s">
        <v>130</v>
      </c>
      <c r="D787" s="150">
        <f>IFERROR(INDEX('BD Rendimientos'!G:G,MATCH("06.01.05|M. Enlucido Vertical Interior|m2|mano_obra",'BD Rendimientos'!L:L,0)),"")</f>
        <v>1</v>
      </c>
      <c r="E787" s="159">
        <f>IFERROR(INDEX('BD Mano de Obra'!D:D,MATCH("M. Enlucido Vertical Interior",'BD Mano de Obra'!B:B,0)),"")</f>
        <v>4.8899999999999997</v>
      </c>
      <c r="F787" s="168">
        <f>IFERROR(D787*E787,"")</f>
        <v>4.8899999999999997</v>
      </c>
      <c r="G787" s="118">
        <v>734.38099999999997</v>
      </c>
      <c r="H787" s="106">
        <v>5.0199999999999996</v>
      </c>
      <c r="I787" s="118">
        <v>615.46500000000003</v>
      </c>
      <c r="J787" s="106">
        <v>4.8</v>
      </c>
      <c r="K787" s="118">
        <v>1522.99</v>
      </c>
      <c r="L787" s="106">
        <v>4.8499999999999996</v>
      </c>
    </row>
    <row r="788" spans="1:13" ht="16.5" thickBot="1" x14ac:dyDescent="0.3">
      <c r="A788" s="100"/>
      <c r="B788" s="100" t="s">
        <v>645</v>
      </c>
      <c r="C788" s="100" t="s">
        <v>130</v>
      </c>
      <c r="D788" s="151"/>
      <c r="E788" s="160"/>
      <c r="F788" s="169">
        <f>SUM(F787)</f>
        <v>4.8899999999999997</v>
      </c>
      <c r="G788" s="119"/>
      <c r="H788" s="107">
        <v>5.0199999999999996</v>
      </c>
      <c r="I788" s="119"/>
      <c r="J788" s="107">
        <v>4.8</v>
      </c>
      <c r="K788" s="119"/>
      <c r="L788" s="107">
        <v>4.8499999999999996</v>
      </c>
      <c r="M788" s="100" t="s">
        <v>646</v>
      </c>
    </row>
    <row r="789" spans="1:13" ht="16.5" thickTop="1" thickBot="1" x14ac:dyDescent="0.3">
      <c r="D789" s="150"/>
      <c r="E789" s="159"/>
      <c r="F789" s="168"/>
      <c r="G789" s="118"/>
      <c r="H789" s="106"/>
      <c r="I789" s="118"/>
      <c r="J789" s="106"/>
      <c r="K789" s="118"/>
      <c r="L789" s="106"/>
    </row>
    <row r="790" spans="1:13" ht="15.75" thickTop="1" x14ac:dyDescent="0.25">
      <c r="A790" s="97" t="s">
        <v>188</v>
      </c>
      <c r="B790" s="97" t="s">
        <v>187</v>
      </c>
      <c r="C790" s="97" t="s">
        <v>3</v>
      </c>
      <c r="D790" s="148" t="s">
        <v>635</v>
      </c>
      <c r="E790" s="157" t="s">
        <v>636</v>
      </c>
      <c r="F790" s="166" t="s">
        <v>637</v>
      </c>
      <c r="G790" s="116" t="s">
        <v>638</v>
      </c>
      <c r="H790" s="104" t="s">
        <v>639</v>
      </c>
      <c r="I790" s="116" t="s">
        <v>640</v>
      </c>
      <c r="J790" s="104" t="s">
        <v>641</v>
      </c>
      <c r="K790" s="116" t="s">
        <v>642</v>
      </c>
      <c r="L790" s="104" t="s">
        <v>643</v>
      </c>
      <c r="M790" s="97" t="s">
        <v>644</v>
      </c>
    </row>
    <row r="791" spans="1:13" x14ac:dyDescent="0.25">
      <c r="A791" s="99" t="s">
        <v>5</v>
      </c>
      <c r="B791" s="99"/>
      <c r="C791" s="99"/>
      <c r="D791" s="149"/>
      <c r="E791" s="158"/>
      <c r="F791" s="167"/>
      <c r="G791" s="117"/>
      <c r="H791" s="105"/>
      <c r="I791" s="117"/>
      <c r="J791" s="105"/>
      <c r="K791" s="117"/>
      <c r="L791" s="105"/>
      <c r="M791" s="99"/>
    </row>
    <row r="792" spans="1:13" x14ac:dyDescent="0.25">
      <c r="B792" t="s">
        <v>186</v>
      </c>
      <c r="C792" t="s">
        <v>3</v>
      </c>
      <c r="D792" s="150">
        <f>IFERROR(INDEX('BD Rendimientos'!G:G,MATCH("06.01.06|M. Enlucido De Fajas Interiores|ml|mano_obra",'BD Rendimientos'!L:L,0)),"")</f>
        <v>1</v>
      </c>
      <c r="E792" s="159">
        <f>IFERROR(INDEX('BD Mano de Obra'!D:D,MATCH("M. Enlucido De Fajas Interiores",'BD Mano de Obra'!B:B,0)),"")</f>
        <v>3</v>
      </c>
      <c r="F792" s="168">
        <f>IFERROR(D792*E792,"")</f>
        <v>3</v>
      </c>
      <c r="G792" s="118">
        <v>331.1</v>
      </c>
      <c r="H792" s="106">
        <v>3.1</v>
      </c>
      <c r="I792" s="118">
        <v>89.2</v>
      </c>
      <c r="J792" s="106">
        <v>2.9</v>
      </c>
      <c r="K792" s="118"/>
      <c r="L792" s="106"/>
    </row>
    <row r="793" spans="1:13" ht="16.5" thickBot="1" x14ac:dyDescent="0.3">
      <c r="A793" s="100"/>
      <c r="B793" s="100" t="s">
        <v>645</v>
      </c>
      <c r="C793" s="100" t="s">
        <v>3</v>
      </c>
      <c r="D793" s="151"/>
      <c r="E793" s="160"/>
      <c r="F793" s="169">
        <f>SUM(F792)</f>
        <v>3</v>
      </c>
      <c r="G793" s="119"/>
      <c r="H793" s="107">
        <v>3.1</v>
      </c>
      <c r="I793" s="119"/>
      <c r="J793" s="107">
        <v>2.9</v>
      </c>
      <c r="K793" s="119"/>
      <c r="L793" s="107"/>
      <c r="M793" s="100" t="s">
        <v>646</v>
      </c>
    </row>
    <row r="794" spans="1:13" ht="16.5" thickTop="1" thickBot="1" x14ac:dyDescent="0.3">
      <c r="D794" s="150"/>
      <c r="E794" s="159"/>
      <c r="F794" s="168"/>
      <c r="G794" s="118"/>
      <c r="H794" s="106"/>
      <c r="I794" s="118"/>
      <c r="J794" s="106"/>
      <c r="K794" s="118"/>
      <c r="L794" s="106"/>
    </row>
    <row r="795" spans="1:13" ht="15.75" thickTop="1" x14ac:dyDescent="0.25">
      <c r="A795" s="97" t="s">
        <v>185</v>
      </c>
      <c r="B795" s="97" t="s">
        <v>184</v>
      </c>
      <c r="C795" s="97" t="s">
        <v>3</v>
      </c>
      <c r="D795" s="148" t="s">
        <v>635</v>
      </c>
      <c r="E795" s="157" t="s">
        <v>636</v>
      </c>
      <c r="F795" s="166" t="s">
        <v>637</v>
      </c>
      <c r="G795" s="116" t="s">
        <v>638</v>
      </c>
      <c r="H795" s="104" t="s">
        <v>639</v>
      </c>
      <c r="I795" s="116" t="s">
        <v>640</v>
      </c>
      <c r="J795" s="104" t="s">
        <v>641</v>
      </c>
      <c r="K795" s="116" t="s">
        <v>642</v>
      </c>
      <c r="L795" s="104" t="s">
        <v>643</v>
      </c>
      <c r="M795" s="97" t="s">
        <v>644</v>
      </c>
    </row>
    <row r="796" spans="1:13" x14ac:dyDescent="0.25">
      <c r="A796" s="99" t="s">
        <v>5</v>
      </c>
      <c r="B796" s="99"/>
      <c r="C796" s="99"/>
      <c r="D796" s="149"/>
      <c r="E796" s="158"/>
      <c r="F796" s="167"/>
      <c r="G796" s="117"/>
      <c r="H796" s="105"/>
      <c r="I796" s="117"/>
      <c r="J796" s="105"/>
      <c r="K796" s="117"/>
      <c r="L796" s="105"/>
      <c r="M796" s="99"/>
    </row>
    <row r="797" spans="1:13" x14ac:dyDescent="0.25">
      <c r="B797" t="s">
        <v>183</v>
      </c>
      <c r="C797" t="s">
        <v>3</v>
      </c>
      <c r="D797" s="150">
        <f>IFERROR(INDEX('BD Rendimientos'!G:G,MATCH("06.01.07|M. Enlucido De Filos Interiores|ml|mano_obra",'BD Rendimientos'!L:L,0)),"")</f>
        <v>1</v>
      </c>
      <c r="E797" s="159">
        <f>IFERROR(INDEX('BD Mano de Obra'!D:D,MATCH("M. Enlucido De Filos Interiores",'BD Mano de Obra'!B:B,0)),"")</f>
        <v>1.4500000000000002</v>
      </c>
      <c r="F797" s="168">
        <f>IFERROR(D797*E797,"")</f>
        <v>1.4500000000000002</v>
      </c>
      <c r="G797" s="118">
        <v>15.9</v>
      </c>
      <c r="H797" s="106">
        <v>1.6</v>
      </c>
      <c r="I797" s="118">
        <v>42.8</v>
      </c>
      <c r="J797" s="106">
        <v>1.3</v>
      </c>
      <c r="K797" s="118"/>
      <c r="L797" s="106"/>
    </row>
    <row r="798" spans="1:13" ht="16.5" thickBot="1" x14ac:dyDescent="0.3">
      <c r="A798" s="100"/>
      <c r="B798" s="100" t="s">
        <v>645</v>
      </c>
      <c r="C798" s="100" t="s">
        <v>3</v>
      </c>
      <c r="D798" s="151"/>
      <c r="E798" s="160"/>
      <c r="F798" s="169">
        <f>SUM(F797)</f>
        <v>1.4500000000000002</v>
      </c>
      <c r="G798" s="119"/>
      <c r="H798" s="107">
        <v>1.6</v>
      </c>
      <c r="I798" s="119"/>
      <c r="J798" s="107">
        <v>1.3</v>
      </c>
      <c r="K798" s="119"/>
      <c r="L798" s="107"/>
      <c r="M798" s="100" t="s">
        <v>646</v>
      </c>
    </row>
    <row r="799" spans="1:13" ht="16.5" thickTop="1" thickBot="1" x14ac:dyDescent="0.3">
      <c r="D799" s="150"/>
      <c r="E799" s="159"/>
      <c r="F799" s="168"/>
      <c r="G799" s="118"/>
      <c r="H799" s="106"/>
      <c r="I799" s="118"/>
      <c r="J799" s="106"/>
      <c r="K799" s="118"/>
      <c r="L799" s="106"/>
    </row>
    <row r="800" spans="1:13" ht="15.75" thickTop="1" x14ac:dyDescent="0.25">
      <c r="A800" s="97" t="s">
        <v>182</v>
      </c>
      <c r="B800" s="97" t="s">
        <v>181</v>
      </c>
      <c r="C800" s="97" t="s">
        <v>130</v>
      </c>
      <c r="D800" s="148" t="s">
        <v>635</v>
      </c>
      <c r="E800" s="157" t="s">
        <v>636</v>
      </c>
      <c r="F800" s="166" t="s">
        <v>637</v>
      </c>
      <c r="G800" s="116" t="s">
        <v>638</v>
      </c>
      <c r="H800" s="104" t="s">
        <v>639</v>
      </c>
      <c r="I800" s="116" t="s">
        <v>640</v>
      </c>
      <c r="J800" s="104" t="s">
        <v>641</v>
      </c>
      <c r="K800" s="116" t="s">
        <v>642</v>
      </c>
      <c r="L800" s="104" t="s">
        <v>643</v>
      </c>
      <c r="M800" s="97" t="s">
        <v>644</v>
      </c>
    </row>
    <row r="801" spans="1:13" x14ac:dyDescent="0.25">
      <c r="A801" s="99" t="s">
        <v>11</v>
      </c>
      <c r="B801" s="99"/>
      <c r="C801" s="99"/>
      <c r="D801" s="149"/>
      <c r="E801" s="158"/>
      <c r="F801" s="167"/>
      <c r="G801" s="117"/>
      <c r="H801" s="105"/>
      <c r="I801" s="117"/>
      <c r="J801" s="105"/>
      <c r="K801" s="117"/>
      <c r="L801" s="105"/>
      <c r="M801" s="99"/>
    </row>
    <row r="802" spans="1:13" x14ac:dyDescent="0.25">
      <c r="A802" s="101"/>
      <c r="B802" s="101" t="s">
        <v>717</v>
      </c>
      <c r="C802" s="101" t="s">
        <v>6</v>
      </c>
      <c r="D802" s="152">
        <f>IFERROR(INDEX('BD Rendimientos'!G:G,MATCH("06.01.08|Arena Fina|m3|materiales",'BD Rendimientos'!L:L,0)),"")</f>
        <v>5.9465383332539196E-3</v>
      </c>
      <c r="E802" s="161">
        <f>IFERROR(INDEX('BD Materiales'!D:D,MATCH("Arena Fina",'BD Materiales'!B:B,0)),"")</f>
        <v>9.43</v>
      </c>
      <c r="F802" s="170">
        <f>IFERROR(D802*E802,"")</f>
        <v>5.6075856482584459E-2</v>
      </c>
      <c r="G802" s="120"/>
      <c r="H802" s="108"/>
      <c r="I802" s="120"/>
      <c r="J802" s="108"/>
      <c r="K802" s="120">
        <v>6.24</v>
      </c>
      <c r="L802" s="108">
        <v>13.07</v>
      </c>
      <c r="M802" s="101" t="s">
        <v>647</v>
      </c>
    </row>
    <row r="803" spans="1:13" x14ac:dyDescent="0.25">
      <c r="B803" t="s">
        <v>720</v>
      </c>
      <c r="C803" t="s">
        <v>6</v>
      </c>
      <c r="D803" s="150">
        <f>IFERROR(INDEX('BD Rendimientos'!G:G,MATCH("06.01.08|Arena Rosada|m3|materiales",'BD Rendimientos'!L:L,0)),"")</f>
        <v>2.3271229608288727E-3</v>
      </c>
      <c r="E803" s="159">
        <f>IFERROR(INDEX('BD Materiales'!D:D,MATCH("Arena Rosada",'BD Materiales'!B:B,0)),"")</f>
        <v>13.25016774891775</v>
      </c>
      <c r="F803" s="168">
        <f>IFERROR(D803*E803,"")</f>
        <v>3.0834769603340712E-2</v>
      </c>
      <c r="G803" s="118">
        <v>0.48</v>
      </c>
      <c r="H803" s="106">
        <v>12.46</v>
      </c>
      <c r="I803" s="118"/>
      <c r="J803" s="106"/>
      <c r="K803" s="118">
        <v>4.32</v>
      </c>
      <c r="L803" s="106">
        <v>14</v>
      </c>
      <c r="M803" t="s">
        <v>1920</v>
      </c>
    </row>
    <row r="804" spans="1:13" x14ac:dyDescent="0.25">
      <c r="A804" s="101"/>
      <c r="B804" s="101" t="s">
        <v>777</v>
      </c>
      <c r="C804" s="101" t="s">
        <v>15</v>
      </c>
      <c r="D804" s="152">
        <f>IFERROR(INDEX('BD Rendimientos'!G:G,MATCH("06.01.08|Carretilla Polvo Azul|Uni.|materiales",'BD Rendimientos'!L:L,0)),"")</f>
        <v>8.5767379806546921E-3</v>
      </c>
      <c r="E804" s="161">
        <f>IFERROR(INDEX('BD Materiales'!D:D,MATCH("Carretilla Polvo Azul",'BD Materiales'!B:B,0)),"")</f>
        <v>1.131875</v>
      </c>
      <c r="F804" s="170">
        <f>IFERROR(D804*E804,"")</f>
        <v>9.70779530185353E-3</v>
      </c>
      <c r="G804" s="120"/>
      <c r="H804" s="108"/>
      <c r="I804" s="120"/>
      <c r="J804" s="108"/>
      <c r="K804" s="120">
        <v>9</v>
      </c>
      <c r="L804" s="108">
        <v>1.1299999999999999</v>
      </c>
      <c r="M804" s="101" t="s">
        <v>647</v>
      </c>
    </row>
    <row r="805" spans="1:13" x14ac:dyDescent="0.25">
      <c r="B805" t="s">
        <v>785</v>
      </c>
      <c r="C805" t="s">
        <v>8</v>
      </c>
      <c r="D805" s="150">
        <f>IFERROR(INDEX('BD Rendimientos'!G:G,MATCH("06.01.08|Cemento Campeon|qq|materiales",'BD Rendimientos'!L:L,0)),"")</f>
        <v>4.2573841262629954E-2</v>
      </c>
      <c r="E805" s="159">
        <f>IFERROR(INDEX('BD Materiales'!D:D,MATCH("Cemento Campeon",'BD Materiales'!B:B,0)),"")</f>
        <v>6.6975000000000007</v>
      </c>
      <c r="F805" s="168">
        <f>IFERROR(D805*E805,"")</f>
        <v>0.28513830185646416</v>
      </c>
      <c r="G805" s="118">
        <v>2</v>
      </c>
      <c r="H805" s="106">
        <v>6.59</v>
      </c>
      <c r="I805" s="118"/>
      <c r="J805" s="106"/>
      <c r="K805" s="118">
        <v>87</v>
      </c>
      <c r="L805" s="106">
        <v>6.72</v>
      </c>
      <c r="M805" t="s">
        <v>1920</v>
      </c>
    </row>
    <row r="806" spans="1:13" x14ac:dyDescent="0.25">
      <c r="A806" s="101"/>
      <c r="B806" s="101" t="s">
        <v>798</v>
      </c>
      <c r="C806" s="101" t="s">
        <v>15</v>
      </c>
      <c r="D806" s="152">
        <f>IFERROR(INDEX('BD Rendimientos'!G:G,MATCH("06.01.08|Chapisco 25 kg|Uni.|materiales",'BD Rendimientos'!L:L,0)),"")</f>
        <v>9.5297088673941023E-4</v>
      </c>
      <c r="E806" s="161">
        <f>IFERROR(INDEX('BD Materiales'!D:D,MATCH("Chapisco 25 kg",'BD Materiales'!B:B,0)),"")</f>
        <v>7.6570634920634939</v>
      </c>
      <c r="F806" s="170">
        <f>IFERROR(D806*E806,"")</f>
        <v>7.2969585858517127E-3</v>
      </c>
      <c r="G806" s="120"/>
      <c r="H806" s="108"/>
      <c r="I806" s="120"/>
      <c r="J806" s="108"/>
      <c r="K806" s="120">
        <v>1</v>
      </c>
      <c r="L806" s="108">
        <v>7.25</v>
      </c>
      <c r="M806" s="101" t="s">
        <v>647</v>
      </c>
    </row>
    <row r="807" spans="1:13" x14ac:dyDescent="0.25">
      <c r="A807" s="101"/>
      <c r="B807" s="101" t="s">
        <v>849</v>
      </c>
      <c r="C807" s="101" t="s">
        <v>15</v>
      </c>
      <c r="D807" s="152">
        <f>IFERROR(INDEX('BD Rendimientos'!G:G,MATCH("06.01.08|Disco de corte de diamante 7""|Uni.|materiales",'BD Rendimientos'!L:L,0)),"")</f>
        <v>2.2871301281745846E-2</v>
      </c>
      <c r="E807" s="161">
        <f>IFERROR(INDEX('BD Materiales'!D:D,MATCH("Disco de corte de diamante 7""",'BD Materiales'!B:B,0)),"")</f>
        <v>4.8216666666666663</v>
      </c>
      <c r="F807" s="170">
        <f>IFERROR(D807*E807,"")</f>
        <v>0.11027779101348455</v>
      </c>
      <c r="G807" s="120"/>
      <c r="H807" s="108"/>
      <c r="I807" s="120"/>
      <c r="J807" s="108"/>
      <c r="K807" s="120">
        <v>24</v>
      </c>
      <c r="L807" s="108">
        <v>4.82</v>
      </c>
      <c r="M807" s="101" t="s">
        <v>647</v>
      </c>
    </row>
    <row r="808" spans="1:13" x14ac:dyDescent="0.25">
      <c r="B808" t="s">
        <v>908</v>
      </c>
      <c r="C808" t="s">
        <v>3</v>
      </c>
      <c r="D808" s="150">
        <f>IFERROR(INDEX('BD Rendimientos'!G:G,MATCH("06.01.08|Malla fina para cernir|ml|materiales",'BD Rendimientos'!L:L,0)),"")</f>
        <v>4.2535249366123743E-3</v>
      </c>
      <c r="E808" s="159">
        <f>IFERROR(INDEX('BD Materiales'!D:D,MATCH("Malla fina para cernir",'BD Materiales'!B:B,0)),"")</f>
        <v>2.74</v>
      </c>
      <c r="F808" s="168">
        <f>IFERROR(D808*E808,"")</f>
        <v>1.1654658326317907E-2</v>
      </c>
      <c r="G808" s="118"/>
      <c r="H808" s="106"/>
      <c r="I808" s="118">
        <v>2</v>
      </c>
      <c r="J808" s="106">
        <v>2.74</v>
      </c>
      <c r="K808" s="118">
        <v>4</v>
      </c>
      <c r="L808" s="106">
        <v>2.74</v>
      </c>
    </row>
    <row r="809" spans="1:13" x14ac:dyDescent="0.25">
      <c r="A809" s="101"/>
      <c r="B809" s="101" t="s">
        <v>921</v>
      </c>
      <c r="C809" s="101" t="s">
        <v>15</v>
      </c>
      <c r="D809" s="152">
        <f>IFERROR(INDEX('BD Rendimientos'!G:G,MATCH("06.01.08|Maxicril Caneca|Uni.|materiales",'BD Rendimientos'!L:L,0)),"")</f>
        <v>3.8118835469576409E-3</v>
      </c>
      <c r="E809" s="161">
        <f>IFERROR(INDEX('BD Materiales'!D:D,MATCH("Maxicril Caneca",'BD Materiales'!B:B,0)),"")</f>
        <v>103.07</v>
      </c>
      <c r="F809" s="170">
        <f>IFERROR(D809*E809,"")</f>
        <v>0.39289083718492401</v>
      </c>
      <c r="G809" s="120"/>
      <c r="H809" s="108"/>
      <c r="I809" s="120"/>
      <c r="J809" s="108"/>
      <c r="K809" s="120">
        <v>4</v>
      </c>
      <c r="L809" s="108">
        <v>103.82</v>
      </c>
      <c r="M809" s="101" t="s">
        <v>647</v>
      </c>
    </row>
    <row r="810" spans="1:13" x14ac:dyDescent="0.25">
      <c r="A810" s="101"/>
      <c r="B810" s="101" t="s">
        <v>603</v>
      </c>
      <c r="C810" s="101" t="s">
        <v>6</v>
      </c>
      <c r="D810" s="152">
        <f>IFERROR(INDEX('BD Rendimientos'!G:G,MATCH("06.01.08|Polvo Azul|m3|materiales",'BD Rendimientos'!L:L,0)),"")</f>
        <v>1.6391099251917855E-3</v>
      </c>
      <c r="E810" s="161">
        <f>IFERROR(INDEX('BD Materiales'!D:D,MATCH("Polvo Azul",'BD Materiales'!B:B,0)),"")</f>
        <v>14.547574523429788</v>
      </c>
      <c r="F810" s="170">
        <f>IFERROR(D810*E810,"")</f>
        <v>2.3845073788820923E-2</v>
      </c>
      <c r="G810" s="120"/>
      <c r="H810" s="108"/>
      <c r="I810" s="120"/>
      <c r="J810" s="108"/>
      <c r="K810" s="120">
        <v>1.72</v>
      </c>
      <c r="L810" s="108">
        <v>16.29</v>
      </c>
      <c r="M810" s="101" t="s">
        <v>647</v>
      </c>
    </row>
    <row r="811" spans="1:13" x14ac:dyDescent="0.25">
      <c r="A811" s="99" t="s">
        <v>5</v>
      </c>
      <c r="B811" s="99"/>
      <c r="C811" s="99"/>
      <c r="D811" s="149"/>
      <c r="E811" s="158"/>
      <c r="F811" s="167"/>
      <c r="G811" s="117"/>
      <c r="H811" s="105"/>
      <c r="I811" s="117"/>
      <c r="J811" s="105"/>
      <c r="K811" s="117"/>
      <c r="L811" s="105"/>
      <c r="M811" s="99"/>
    </row>
    <row r="812" spans="1:13" x14ac:dyDescent="0.25">
      <c r="B812" t="s">
        <v>1146</v>
      </c>
      <c r="C812" t="s">
        <v>130</v>
      </c>
      <c r="D812" s="150">
        <f>IFERROR(INDEX('BD Rendimientos'!G:G,MATCH("06.01.08|M. Masillado De Piso A Máquina|m2|mano_obra",'BD Rendimientos'!L:L,0)),"")</f>
        <v>1</v>
      </c>
      <c r="E812" s="159">
        <f>IFERROR(INDEX('BD Mano de Obra'!D:D,MATCH("M. Masillado De Piso A Máquina",'BD Mano de Obra'!B:B,0)),"")</f>
        <v>1.1533333333333333</v>
      </c>
      <c r="F812" s="168">
        <f>IFERROR(D812*E812,"")</f>
        <v>1.1533333333333333</v>
      </c>
      <c r="G812" s="118">
        <v>893.17</v>
      </c>
      <c r="H812" s="106">
        <v>1.2</v>
      </c>
      <c r="I812" s="118">
        <v>425.97</v>
      </c>
      <c r="J812" s="106">
        <v>1.1299999999999999</v>
      </c>
      <c r="K812" s="118">
        <v>1049.3499999999999</v>
      </c>
      <c r="L812" s="106">
        <v>1.1299999999999999</v>
      </c>
    </row>
    <row r="813" spans="1:13" x14ac:dyDescent="0.25">
      <c r="A813" s="99" t="s">
        <v>2</v>
      </c>
      <c r="B813" s="99"/>
      <c r="C813" s="99"/>
      <c r="D813" s="149"/>
      <c r="E813" s="158"/>
      <c r="F813" s="167"/>
      <c r="G813" s="117"/>
      <c r="H813" s="105"/>
      <c r="I813" s="117"/>
      <c r="J813" s="105"/>
      <c r="K813" s="117"/>
      <c r="L813" s="105"/>
      <c r="M813" s="99"/>
    </row>
    <row r="814" spans="1:13" x14ac:dyDescent="0.25">
      <c r="A814" s="101"/>
      <c r="B814" s="101" t="s">
        <v>1184</v>
      </c>
      <c r="C814" s="101" t="s">
        <v>15</v>
      </c>
      <c r="D814" s="152">
        <f>IFERROR(INDEX('BD Rendimientos'!G:G,MATCH("06.01.08|Alquiler Rotomartillo|Uni.|equipo",'BD Rendimientos'!L:L,0)),"")</f>
        <v>1.2388621527612333E-2</v>
      </c>
      <c r="E814" s="161">
        <f>IFERROR(INDEX('BD Equipo'!D:D,MATCH("Alquiler Rotomartillo",'BD Equipo'!B:B,0)),"")</f>
        <v>31.25</v>
      </c>
      <c r="F814" s="170">
        <f>IFERROR(D814*E814,"")</f>
        <v>0.38714442273788541</v>
      </c>
      <c r="G814" s="120"/>
      <c r="H814" s="108"/>
      <c r="I814" s="120"/>
      <c r="J814" s="108"/>
      <c r="K814" s="120">
        <v>13</v>
      </c>
      <c r="L814" s="108">
        <v>31.25</v>
      </c>
      <c r="M814" s="101" t="s">
        <v>647</v>
      </c>
    </row>
    <row r="815" spans="1:13" ht="16.5" thickBot="1" x14ac:dyDescent="0.3">
      <c r="A815" s="100"/>
      <c r="B815" s="100" t="s">
        <v>645</v>
      </c>
      <c r="C815" s="100" t="s">
        <v>130</v>
      </c>
      <c r="D815" s="151"/>
      <c r="E815" s="160"/>
      <c r="F815" s="169">
        <f>SUM(F802,F803,F804,F805,F806,F807,F808,F809,F810,F812,F814)</f>
        <v>2.4681997982148607</v>
      </c>
      <c r="G815" s="119"/>
      <c r="H815" s="107">
        <v>1.22145257901631</v>
      </c>
      <c r="I815" s="119"/>
      <c r="J815" s="107">
        <v>1.14286475573397</v>
      </c>
      <c r="K815" s="119"/>
      <c r="L815" s="107">
        <v>2.7693820936770401</v>
      </c>
      <c r="M815" s="100" t="s">
        <v>646</v>
      </c>
    </row>
    <row r="816" spans="1:13" ht="16.5" thickTop="1" thickBot="1" x14ac:dyDescent="0.3">
      <c r="D816" s="150"/>
      <c r="E816" s="159"/>
      <c r="F816" s="168"/>
      <c r="G816" s="118"/>
      <c r="H816" s="106"/>
      <c r="I816" s="118"/>
      <c r="J816" s="106"/>
      <c r="K816" s="118"/>
      <c r="L816" s="106"/>
    </row>
    <row r="817" spans="1:13" ht="15.75" thickTop="1" x14ac:dyDescent="0.25">
      <c r="A817" s="97" t="s">
        <v>178</v>
      </c>
      <c r="B817" s="97" t="s">
        <v>177</v>
      </c>
      <c r="C817" s="97" t="s">
        <v>3</v>
      </c>
      <c r="D817" s="148" t="s">
        <v>635</v>
      </c>
      <c r="E817" s="157" t="s">
        <v>636</v>
      </c>
      <c r="F817" s="166" t="s">
        <v>637</v>
      </c>
      <c r="G817" s="116" t="s">
        <v>638</v>
      </c>
      <c r="H817" s="104" t="s">
        <v>639</v>
      </c>
      <c r="I817" s="116" t="s">
        <v>640</v>
      </c>
      <c r="J817" s="104" t="s">
        <v>641</v>
      </c>
      <c r="K817" s="116" t="s">
        <v>642</v>
      </c>
      <c r="L817" s="104" t="s">
        <v>643</v>
      </c>
      <c r="M817" s="97" t="s">
        <v>644</v>
      </c>
    </row>
    <row r="818" spans="1:13" x14ac:dyDescent="0.25">
      <c r="A818" s="99" t="s">
        <v>11</v>
      </c>
      <c r="B818" s="99"/>
      <c r="C818" s="99"/>
      <c r="D818" s="149"/>
      <c r="E818" s="158"/>
      <c r="F818" s="167"/>
      <c r="G818" s="117"/>
      <c r="H818" s="105"/>
      <c r="I818" s="117"/>
      <c r="J818" s="105"/>
      <c r="K818" s="117"/>
      <c r="L818" s="105"/>
      <c r="M818" s="99"/>
    </row>
    <row r="819" spans="1:13" x14ac:dyDescent="0.25">
      <c r="A819" s="101"/>
      <c r="B819" s="101" t="s">
        <v>717</v>
      </c>
      <c r="C819" s="101" t="s">
        <v>6</v>
      </c>
      <c r="D819" s="152">
        <f>IFERROR(INDEX('BD Rendimientos'!G:G,MATCH("06.01.09|Arena Fina|m3|materiales",'BD Rendimientos'!L:L,0)),"")</f>
        <v>1.3714285714285714E-3</v>
      </c>
      <c r="E819" s="161">
        <f>IFERROR(INDEX('BD Materiales'!D:D,MATCH("Arena Fina",'BD Materiales'!B:B,0)),"")</f>
        <v>9.43</v>
      </c>
      <c r="F819" s="170">
        <f>IFERROR(D819*E819,"")</f>
        <v>1.2932571428571429E-2</v>
      </c>
      <c r="G819" s="120"/>
      <c r="H819" s="108"/>
      <c r="I819" s="120"/>
      <c r="J819" s="108"/>
      <c r="K819" s="120">
        <v>0.48</v>
      </c>
      <c r="L819" s="108">
        <v>12.27</v>
      </c>
      <c r="M819" s="101" t="s">
        <v>647</v>
      </c>
    </row>
    <row r="820" spans="1:13" x14ac:dyDescent="0.25">
      <c r="B820" t="s">
        <v>720</v>
      </c>
      <c r="C820" t="s">
        <v>6</v>
      </c>
      <c r="D820" s="150">
        <f>IFERROR(INDEX('BD Rendimientos'!G:G,MATCH("06.01.09|Arena Rosada|m3|materiales",'BD Rendimientos'!L:L,0)),"")</f>
        <v>6.0911417616889918E-3</v>
      </c>
      <c r="E820" s="159">
        <f>IFERROR(INDEX('BD Materiales'!D:D,MATCH("Arena Rosada",'BD Materiales'!B:B,0)),"")</f>
        <v>13.25016774891775</v>
      </c>
      <c r="F820" s="168">
        <f>IFERROR(D820*E820,"")</f>
        <v>8.0708650124817524E-2</v>
      </c>
      <c r="G820" s="118">
        <v>1.6</v>
      </c>
      <c r="H820" s="106">
        <v>13.4</v>
      </c>
      <c r="I820" s="118"/>
      <c r="J820" s="106"/>
      <c r="K820" s="118">
        <v>0.36</v>
      </c>
      <c r="L820" s="106">
        <v>14</v>
      </c>
      <c r="M820" t="s">
        <v>1920</v>
      </c>
    </row>
    <row r="821" spans="1:13" x14ac:dyDescent="0.25">
      <c r="A821" s="101"/>
      <c r="B821" s="101" t="s">
        <v>735</v>
      </c>
      <c r="C821" s="101" t="s">
        <v>15</v>
      </c>
      <c r="D821" s="152">
        <f>IFERROR(INDEX('BD Rendimientos'!G:G,MATCH("06.01.09|Bondex Plus 25kg|Uni.|materiales",'BD Rendimientos'!L:L,0)),"")</f>
        <v>5.5768560474032766E-2</v>
      </c>
      <c r="E821" s="161">
        <f>IFERROR(INDEX('BD Materiales'!D:D,MATCH("Bondex Plus 25kg",'BD Materiales'!B:B,0)),"")</f>
        <v>6.63</v>
      </c>
      <c r="F821" s="170">
        <f>IFERROR(D821*E821,"")</f>
        <v>0.36974555594283726</v>
      </c>
      <c r="G821" s="120">
        <v>8</v>
      </c>
      <c r="H821" s="108">
        <v>6.63</v>
      </c>
      <c r="I821" s="120"/>
      <c r="J821" s="108"/>
      <c r="K821" s="120"/>
      <c r="L821" s="108"/>
      <c r="M821" s="101" t="s">
        <v>647</v>
      </c>
    </row>
    <row r="822" spans="1:13" x14ac:dyDescent="0.25">
      <c r="B822" t="s">
        <v>785</v>
      </c>
      <c r="C822" t="s">
        <v>174</v>
      </c>
      <c r="D822" s="150">
        <f>IFERROR(INDEX('BD Rendimientos'!G:G,MATCH("06.01.09|Cemento Campeon|saco|materiales",'BD Rendimientos'!L:L,0)),"")</f>
        <v>6.8074158907201782E-2</v>
      </c>
      <c r="E822" s="159">
        <f>IFERROR(INDEX('BD Materiales'!D:D,MATCH("Cemento Campeon",'BD Materiales'!B:B,0)),"")</f>
        <v>6.6975000000000007</v>
      </c>
      <c r="F822" s="168">
        <f>IFERROR(D822*E822,"")</f>
        <v>0.45592667928098396</v>
      </c>
      <c r="G822" s="118">
        <v>17</v>
      </c>
      <c r="H822" s="106">
        <v>6.6</v>
      </c>
      <c r="I822" s="118">
        <v>8</v>
      </c>
      <c r="J822" s="106">
        <v>6.77</v>
      </c>
      <c r="K822" s="118">
        <v>16</v>
      </c>
      <c r="L822" s="106">
        <v>6.76</v>
      </c>
    </row>
    <row r="823" spans="1:13" x14ac:dyDescent="0.25">
      <c r="A823" s="101"/>
      <c r="B823" s="101" t="s">
        <v>806</v>
      </c>
      <c r="C823" s="101" t="s">
        <v>30</v>
      </c>
      <c r="D823" s="152">
        <f>IFERROR(INDEX('BD Rendimientos'!G:G,MATCH("06.01.09|Clavo de acero blanco chino 1|Kg.|materiales",'BD Rendimientos'!L:L,0)),"")</f>
        <v>1.7427675148135239E-3</v>
      </c>
      <c r="E823" s="161">
        <f>IFERROR(INDEX('BD Materiales'!D:D,MATCH("Clavo de acero blanco chino 1",'BD Materiales'!B:B,0)),"")</f>
        <v>3.145</v>
      </c>
      <c r="F823" s="170">
        <f>IFERROR(D823*E823,"")</f>
        <v>5.4810038340885325E-3</v>
      </c>
      <c r="G823" s="120">
        <v>0.25</v>
      </c>
      <c r="H823" s="108">
        <v>3.16</v>
      </c>
      <c r="I823" s="120"/>
      <c r="J823" s="108"/>
      <c r="K823" s="120"/>
      <c r="L823" s="108"/>
      <c r="M823" s="101" t="s">
        <v>647</v>
      </c>
    </row>
    <row r="824" spans="1:13" x14ac:dyDescent="0.25">
      <c r="A824" s="101"/>
      <c r="B824" s="101" t="s">
        <v>849</v>
      </c>
      <c r="C824" s="101" t="s">
        <v>15</v>
      </c>
      <c r="D824" s="152">
        <f>IFERROR(INDEX('BD Rendimientos'!G:G,MATCH("06.01.09|Disco de corte de diamante 7""|Uni.|materiales",'BD Rendimientos'!L:L,0)),"")</f>
        <v>5.7142857142857143E-3</v>
      </c>
      <c r="E824" s="161">
        <f>IFERROR(INDEX('BD Materiales'!D:D,MATCH("Disco de corte de diamante 7""",'BD Materiales'!B:B,0)),"")</f>
        <v>4.8216666666666663</v>
      </c>
      <c r="F824" s="170">
        <f>IFERROR(D824*E824,"")</f>
        <v>2.755238095238095E-2</v>
      </c>
      <c r="G824" s="120"/>
      <c r="H824" s="108"/>
      <c r="I824" s="120"/>
      <c r="J824" s="108"/>
      <c r="K824" s="120">
        <v>2</v>
      </c>
      <c r="L824" s="108">
        <v>4.83</v>
      </c>
      <c r="M824" s="101" t="s">
        <v>647</v>
      </c>
    </row>
    <row r="825" spans="1:13" x14ac:dyDescent="0.25">
      <c r="B825" t="s">
        <v>155</v>
      </c>
      <c r="C825" t="s">
        <v>15</v>
      </c>
      <c r="D825" s="150">
        <f>IFERROR(INDEX('BD Rendimientos'!G:G,MATCH("06.01.09|Malla para tumbado (rollo) (Malla para tumbado (rollo))|Uni.|materiales",'BD Rendimientos'!L:L,0)),"")</f>
        <v>4.9141064581984762E-3</v>
      </c>
      <c r="E825" s="159">
        <f>IFERROR(INDEX('BD Materiales'!D:D,MATCH("Malla para tumbado (rollo) (Malla para tumbado (rollo))",'BD Materiales'!B:B,0)),"")</f>
        <v>12.525</v>
      </c>
      <c r="F825" s="168">
        <f>IFERROR(D825*E825,"")</f>
        <v>6.1549183388935919E-2</v>
      </c>
      <c r="G825" s="118">
        <v>1</v>
      </c>
      <c r="H825" s="106">
        <v>10.58</v>
      </c>
      <c r="I825" s="118"/>
      <c r="J825" s="106"/>
      <c r="K825" s="118">
        <v>1</v>
      </c>
      <c r="L825" s="106">
        <v>14.38</v>
      </c>
    </row>
    <row r="826" spans="1:13" x14ac:dyDescent="0.25">
      <c r="A826" s="101"/>
      <c r="B826" s="101" t="s">
        <v>904</v>
      </c>
      <c r="C826" s="101" t="s">
        <v>102</v>
      </c>
      <c r="D826" s="152">
        <f>IFERROR(INDEX('BD Rendimientos'!G:G,MATCH("06.01.09|Malla Tejida Zaranda mts|mts.|materiales",'BD Rendimientos'!L:L,0)),"")</f>
        <v>1.3942140118508192E-2</v>
      </c>
      <c r="E826" s="161">
        <f>IFERROR(INDEX('BD Materiales'!D:D,MATCH("Malla Tejida Zaranda mts",'BD Materiales'!B:B,0)),"")</f>
        <v>3.22</v>
      </c>
      <c r="F826" s="170">
        <f>IFERROR(D826*E826,"")</f>
        <v>4.4893691181596376E-2</v>
      </c>
      <c r="G826" s="120">
        <v>2</v>
      </c>
      <c r="H826" s="108">
        <v>3.22</v>
      </c>
      <c r="I826" s="120"/>
      <c r="J826" s="108"/>
      <c r="K826" s="120"/>
      <c r="L826" s="108"/>
      <c r="M826" s="101" t="s">
        <v>647</v>
      </c>
    </row>
    <row r="827" spans="1:13" x14ac:dyDescent="0.25">
      <c r="A827" s="101"/>
      <c r="B827" s="101" t="s">
        <v>603</v>
      </c>
      <c r="C827" s="101" t="s">
        <v>6</v>
      </c>
      <c r="D827" s="152">
        <f>IFERROR(INDEX('BD Rendimientos'!G:G,MATCH("06.01.09|Polvo Azul|m3|materiales",'BD Rendimientos'!L:L,0)),"")</f>
        <v>4.5714285714285713E-4</v>
      </c>
      <c r="E827" s="161">
        <f>IFERROR(INDEX('BD Materiales'!D:D,MATCH("Polvo Azul",'BD Materiales'!B:B,0)),"")</f>
        <v>14.547574523429788</v>
      </c>
      <c r="F827" s="170">
        <f>IFERROR(D827*E827,"")</f>
        <v>6.6503197821393316E-3</v>
      </c>
      <c r="G827" s="120"/>
      <c r="H827" s="108"/>
      <c r="I827" s="120"/>
      <c r="J827" s="108"/>
      <c r="K827" s="120">
        <v>0.16</v>
      </c>
      <c r="L827" s="108">
        <v>17.5</v>
      </c>
      <c r="M827" s="101" t="s">
        <v>647</v>
      </c>
    </row>
    <row r="828" spans="1:13" x14ac:dyDescent="0.25">
      <c r="A828" s="101"/>
      <c r="B828" s="101" t="s">
        <v>995</v>
      </c>
      <c r="C828" s="101" t="s">
        <v>15</v>
      </c>
      <c r="D828" s="152">
        <f>IFERROR(INDEX('BD Rendimientos'!G:G,MATCH("06.01.09|Sika Anchofix-1 300ml|Uni.|materiales",'BD Rendimientos'!L:L,0)),"")</f>
        <v>2.8571428571428571E-3</v>
      </c>
      <c r="E828" s="161">
        <f>IFERROR(INDEX('BD Materiales'!D:D,MATCH("Sika Anchofix-1 300ml",'BD Materiales'!B:B,0)),"")</f>
        <v>15.15</v>
      </c>
      <c r="F828" s="170">
        <f>IFERROR(D828*E828,"")</f>
        <v>4.3285714285714288E-2</v>
      </c>
      <c r="G828" s="120"/>
      <c r="H828" s="108"/>
      <c r="I828" s="120"/>
      <c r="J828" s="108"/>
      <c r="K828" s="120">
        <v>1</v>
      </c>
      <c r="L828" s="108">
        <v>15.15</v>
      </c>
      <c r="M828" s="101" t="s">
        <v>647</v>
      </c>
    </row>
    <row r="829" spans="1:13" x14ac:dyDescent="0.25">
      <c r="A829" s="101"/>
      <c r="B829" s="101" t="s">
        <v>1001</v>
      </c>
      <c r="C829" s="101" t="s">
        <v>15</v>
      </c>
      <c r="D829" s="152">
        <f>IFERROR(INDEX('BD Rendimientos'!G:G,MATCH("06.01.09|Sika Premium 32|Uni.|materiales",'BD Rendimientos'!L:L,0)),"")</f>
        <v>6.9710700592540958E-3</v>
      </c>
      <c r="E829" s="161">
        <f>IFERROR(INDEX('BD Materiales'!D:D,MATCH("Sika Premium 32",'BD Materiales'!B:B,0)),"")</f>
        <v>58.303333333333335</v>
      </c>
      <c r="F829" s="170">
        <f>IFERROR(D829*E829,"")</f>
        <v>0.40643662135471131</v>
      </c>
      <c r="G829" s="120">
        <v>1</v>
      </c>
      <c r="H829" s="108">
        <v>69.17</v>
      </c>
      <c r="I829" s="120"/>
      <c r="J829" s="108"/>
      <c r="K829" s="120"/>
      <c r="L829" s="108"/>
      <c r="M829" s="101" t="s">
        <v>647</v>
      </c>
    </row>
    <row r="830" spans="1:13" x14ac:dyDescent="0.25">
      <c r="A830" s="101"/>
      <c r="B830" s="101" t="s">
        <v>1006</v>
      </c>
      <c r="C830" s="101" t="s">
        <v>15</v>
      </c>
      <c r="D830" s="152">
        <f>IFERROR(INDEX('BD Rendimientos'!G:G,MATCH("06.01.09|Sikaflex 221 Cartucho 300ml|Uni.|materiales",'BD Rendimientos'!L:L,0)),"")</f>
        <v>6.9710700592540958E-3</v>
      </c>
      <c r="E830" s="161">
        <f>IFERROR(INDEX('BD Materiales'!D:D,MATCH("Sikaflex 221 Cartucho 300ml",'BD Materiales'!B:B,0)),"")</f>
        <v>8.3699999999999992</v>
      </c>
      <c r="F830" s="170">
        <f>IFERROR(D830*E830,"")</f>
        <v>5.8347856395956778E-2</v>
      </c>
      <c r="G830" s="120">
        <v>1</v>
      </c>
      <c r="H830" s="108">
        <v>8.3699999999999992</v>
      </c>
      <c r="I830" s="120"/>
      <c r="J830" s="108"/>
      <c r="K830" s="120"/>
      <c r="L830" s="108"/>
      <c r="M830" s="101" t="s">
        <v>647</v>
      </c>
    </row>
    <row r="831" spans="1:13" x14ac:dyDescent="0.25">
      <c r="A831" s="99" t="s">
        <v>5</v>
      </c>
      <c r="B831" s="99"/>
      <c r="C831" s="99"/>
      <c r="D831" s="149"/>
      <c r="E831" s="158"/>
      <c r="F831" s="167"/>
      <c r="G831" s="117"/>
      <c r="H831" s="105"/>
      <c r="I831" s="117"/>
      <c r="J831" s="105"/>
      <c r="K831" s="117"/>
      <c r="L831" s="105"/>
      <c r="M831" s="99"/>
    </row>
    <row r="832" spans="1:13" x14ac:dyDescent="0.25">
      <c r="B832" t="s">
        <v>1150</v>
      </c>
      <c r="C832" t="s">
        <v>3</v>
      </c>
      <c r="D832" s="150">
        <f>IFERROR(INDEX('BD Rendimientos'!G:G,MATCH("06.01.09|M. Picado Y Corchado|ml|mano_obra",'BD Rendimientos'!L:L,0)),"")</f>
        <v>1</v>
      </c>
      <c r="E832" s="159">
        <f>IFERROR(INDEX('BD Mano de Obra'!D:D,MATCH("M. Picado Y Corchado",'BD Mano de Obra'!B:B,0)),"")</f>
        <v>0.94999999999999984</v>
      </c>
      <c r="F832" s="168">
        <f>IFERROR(D832*E832,"")</f>
        <v>0.94999999999999984</v>
      </c>
      <c r="G832" s="118">
        <v>143.44999999999999</v>
      </c>
      <c r="H832" s="106">
        <v>0.95</v>
      </c>
      <c r="I832" s="118">
        <v>200</v>
      </c>
      <c r="J832" s="106">
        <v>0.95</v>
      </c>
      <c r="K832" s="118">
        <v>350</v>
      </c>
      <c r="L832" s="106">
        <v>0.95</v>
      </c>
    </row>
    <row r="833" spans="1:13" ht="16.5" thickBot="1" x14ac:dyDescent="0.3">
      <c r="A833" s="100"/>
      <c r="B833" s="100" t="s">
        <v>645</v>
      </c>
      <c r="C833" s="100" t="s">
        <v>3</v>
      </c>
      <c r="D833" s="151"/>
      <c r="E833" s="160"/>
      <c r="F833" s="169">
        <f>SUM(F819,F820,F821,F822,F823,F824,F825,F826,F827,F828,F829,F830,F832)</f>
        <v>2.5235102279527335</v>
      </c>
      <c r="G833" s="119"/>
      <c r="H833" s="107">
        <v>2.91605088881143</v>
      </c>
      <c r="I833" s="119"/>
      <c r="J833" s="107">
        <v>1.2208000000000001</v>
      </c>
      <c r="K833" s="119"/>
      <c r="L833" s="107">
        <v>1.41022742857143</v>
      </c>
      <c r="M833" s="100" t="s">
        <v>646</v>
      </c>
    </row>
    <row r="834" spans="1:13" ht="16.5" thickTop="1" thickBot="1" x14ac:dyDescent="0.3">
      <c r="D834" s="150"/>
      <c r="E834" s="159"/>
      <c r="F834" s="168"/>
      <c r="G834" s="118"/>
      <c r="H834" s="106"/>
      <c r="I834" s="118"/>
      <c r="J834" s="106"/>
      <c r="K834" s="118"/>
      <c r="L834" s="106"/>
    </row>
    <row r="835" spans="1:13" ht="15.75" thickTop="1" x14ac:dyDescent="0.25">
      <c r="A835" s="97" t="s">
        <v>168</v>
      </c>
      <c r="B835" s="97" t="s">
        <v>167</v>
      </c>
      <c r="C835" s="97" t="s">
        <v>3</v>
      </c>
      <c r="D835" s="148" t="s">
        <v>635</v>
      </c>
      <c r="E835" s="157" t="s">
        <v>636</v>
      </c>
      <c r="F835" s="166" t="s">
        <v>637</v>
      </c>
      <c r="G835" s="116" t="s">
        <v>638</v>
      </c>
      <c r="H835" s="104" t="s">
        <v>639</v>
      </c>
      <c r="I835" s="116" t="s">
        <v>640</v>
      </c>
      <c r="J835" s="104" t="s">
        <v>641</v>
      </c>
      <c r="K835" s="116" t="s">
        <v>642</v>
      </c>
      <c r="L835" s="104" t="s">
        <v>643</v>
      </c>
      <c r="M835" s="97" t="s">
        <v>644</v>
      </c>
    </row>
    <row r="836" spans="1:13" x14ac:dyDescent="0.25">
      <c r="A836" s="99" t="s">
        <v>5</v>
      </c>
      <c r="B836" s="99"/>
      <c r="C836" s="99"/>
      <c r="D836" s="149"/>
      <c r="E836" s="158"/>
      <c r="F836" s="167"/>
      <c r="G836" s="117"/>
      <c r="H836" s="105"/>
      <c r="I836" s="117"/>
      <c r="J836" s="105"/>
      <c r="K836" s="117"/>
      <c r="L836" s="105"/>
      <c r="M836" s="99"/>
    </row>
    <row r="837" spans="1:13" x14ac:dyDescent="0.25">
      <c r="B837" t="s">
        <v>166</v>
      </c>
      <c r="C837" t="s">
        <v>3</v>
      </c>
      <c r="D837" s="150">
        <f>IFERROR(INDEX('BD Rendimientos'!G:G,MATCH("06.01.10|M. Goterones - Medias Cañas|ml|mano_obra",'BD Rendimientos'!L:L,0)),"")</f>
        <v>1</v>
      </c>
      <c r="E837" s="159">
        <f>IFERROR(INDEX('BD Mano de Obra'!D:D,MATCH("M. Goterones - Medias Cañas",'BD Mano de Obra'!B:B,0)),"")</f>
        <v>1.3399999999999999</v>
      </c>
      <c r="F837" s="168">
        <f>IFERROR(D837*E837,"")</f>
        <v>1.3399999999999999</v>
      </c>
      <c r="G837" s="118">
        <v>133</v>
      </c>
      <c r="H837" s="106">
        <v>1.5</v>
      </c>
      <c r="I837" s="118">
        <v>50.44</v>
      </c>
      <c r="J837" s="106">
        <v>1.26</v>
      </c>
      <c r="K837" s="118">
        <v>163.4</v>
      </c>
      <c r="L837" s="106">
        <v>1.26</v>
      </c>
    </row>
    <row r="838" spans="1:13" ht="16.5" thickBot="1" x14ac:dyDescent="0.3">
      <c r="A838" s="100"/>
      <c r="B838" s="100" t="s">
        <v>645</v>
      </c>
      <c r="C838" s="100" t="s">
        <v>3</v>
      </c>
      <c r="D838" s="151"/>
      <c r="E838" s="160"/>
      <c r="F838" s="169">
        <f>SUM(F837)</f>
        <v>1.3399999999999999</v>
      </c>
      <c r="G838" s="119"/>
      <c r="H838" s="107">
        <v>1.5</v>
      </c>
      <c r="I838" s="119"/>
      <c r="J838" s="107">
        <v>1.26</v>
      </c>
      <c r="K838" s="119"/>
      <c r="L838" s="107">
        <v>1.26</v>
      </c>
      <c r="M838" s="100" t="s">
        <v>646</v>
      </c>
    </row>
    <row r="839" spans="1:13" ht="16.5" thickTop="1" thickBot="1" x14ac:dyDescent="0.3">
      <c r="D839" s="150"/>
      <c r="E839" s="159"/>
      <c r="F839" s="168"/>
      <c r="G839" s="118"/>
      <c r="H839" s="106"/>
      <c r="I839" s="118"/>
      <c r="J839" s="106"/>
      <c r="K839" s="118"/>
      <c r="L839" s="106"/>
    </row>
    <row r="840" spans="1:13" ht="15.75" thickTop="1" x14ac:dyDescent="0.25">
      <c r="A840" s="97" t="s">
        <v>507</v>
      </c>
      <c r="B840" s="97" t="s">
        <v>165</v>
      </c>
      <c r="C840" s="97" t="s">
        <v>130</v>
      </c>
      <c r="D840" s="148" t="s">
        <v>635</v>
      </c>
      <c r="E840" s="157" t="s">
        <v>636</v>
      </c>
      <c r="F840" s="166" t="s">
        <v>637</v>
      </c>
      <c r="G840" s="116" t="s">
        <v>638</v>
      </c>
      <c r="H840" s="104" t="s">
        <v>639</v>
      </c>
      <c r="I840" s="116" t="s">
        <v>640</v>
      </c>
      <c r="J840" s="104" t="s">
        <v>641</v>
      </c>
      <c r="K840" s="116" t="s">
        <v>642</v>
      </c>
      <c r="L840" s="104" t="s">
        <v>643</v>
      </c>
      <c r="M840" s="97" t="s">
        <v>644</v>
      </c>
    </row>
    <row r="841" spans="1:13" x14ac:dyDescent="0.25">
      <c r="A841" s="99" t="s">
        <v>5</v>
      </c>
      <c r="B841" s="99"/>
      <c r="C841" s="99"/>
      <c r="D841" s="149"/>
      <c r="E841" s="158"/>
      <c r="F841" s="167"/>
      <c r="G841" s="117"/>
      <c r="H841" s="105"/>
      <c r="I841" s="117"/>
      <c r="J841" s="105"/>
      <c r="K841" s="117"/>
      <c r="L841" s="105"/>
      <c r="M841" s="99"/>
    </row>
    <row r="842" spans="1:13" x14ac:dyDescent="0.25">
      <c r="B842" t="s">
        <v>164</v>
      </c>
      <c r="C842" t="s">
        <v>130</v>
      </c>
      <c r="D842" s="150">
        <f>IFERROR(INDEX('BD Rendimientos'!G:G,MATCH("06.01.13|M. Enlucido Exterior Terminado Hormigón Visto|m2|mano_obra",'BD Rendimientos'!L:L,0)),"")</f>
        <v>1</v>
      </c>
      <c r="E842" s="159">
        <f>IFERROR(INDEX('BD Mano de Obra'!D:D,MATCH("M. Enlucido Exterior Terminado Hormigón Visto",'BD Mano de Obra'!B:B,0)),"")</f>
        <v>3.95</v>
      </c>
      <c r="F842" s="168">
        <f>IFERROR(D842*E842,"")</f>
        <v>3.95</v>
      </c>
      <c r="G842" s="118"/>
      <c r="H842" s="106"/>
      <c r="I842" s="118">
        <v>245.16</v>
      </c>
      <c r="J842" s="106">
        <v>3.1</v>
      </c>
      <c r="K842" s="118">
        <v>333.58</v>
      </c>
      <c r="L842" s="106">
        <v>4.8</v>
      </c>
    </row>
    <row r="843" spans="1:13" ht="16.5" thickBot="1" x14ac:dyDescent="0.3">
      <c r="A843" s="100"/>
      <c r="B843" s="100" t="s">
        <v>645</v>
      </c>
      <c r="C843" s="100" t="s">
        <v>130</v>
      </c>
      <c r="D843" s="151"/>
      <c r="E843" s="160"/>
      <c r="F843" s="169">
        <f>SUM(F842)</f>
        <v>3.95</v>
      </c>
      <c r="G843" s="119"/>
      <c r="H843" s="107"/>
      <c r="I843" s="119"/>
      <c r="J843" s="107">
        <v>3.1</v>
      </c>
      <c r="K843" s="119"/>
      <c r="L843" s="107">
        <v>4.8</v>
      </c>
      <c r="M843" s="100" t="s">
        <v>646</v>
      </c>
    </row>
    <row r="844" spans="1:13" ht="16.5" thickTop="1" thickBot="1" x14ac:dyDescent="0.3">
      <c r="D844" s="150"/>
      <c r="E844" s="159"/>
      <c r="F844" s="168"/>
      <c r="G844" s="118"/>
      <c r="H844" s="106"/>
      <c r="I844" s="118"/>
      <c r="J844" s="106"/>
      <c r="K844" s="118"/>
      <c r="L844" s="106"/>
    </row>
    <row r="845" spans="1:13" ht="15.75" thickTop="1" x14ac:dyDescent="0.25">
      <c r="A845" s="98" t="s">
        <v>163</v>
      </c>
      <c r="B845" s="98" t="s">
        <v>162</v>
      </c>
      <c r="C845" s="98" t="s">
        <v>130</v>
      </c>
      <c r="D845" s="154" t="s">
        <v>635</v>
      </c>
      <c r="E845" s="163" t="s">
        <v>636</v>
      </c>
      <c r="F845" s="172" t="s">
        <v>637</v>
      </c>
      <c r="G845" s="122" t="s">
        <v>638</v>
      </c>
      <c r="H845" s="110" t="s">
        <v>639</v>
      </c>
      <c r="I845" s="122" t="s">
        <v>640</v>
      </c>
      <c r="J845" s="110" t="s">
        <v>641</v>
      </c>
      <c r="K845" s="122" t="s">
        <v>642</v>
      </c>
      <c r="L845" s="110" t="s">
        <v>643</v>
      </c>
      <c r="M845" s="98" t="s">
        <v>668</v>
      </c>
    </row>
    <row r="846" spans="1:13" x14ac:dyDescent="0.25">
      <c r="A846" s="99" t="s">
        <v>5</v>
      </c>
      <c r="B846" s="99"/>
      <c r="C846" s="99"/>
      <c r="D846" s="149"/>
      <c r="E846" s="158"/>
      <c r="F846" s="167"/>
      <c r="G846" s="117"/>
      <c r="H846" s="105"/>
      <c r="I846" s="117"/>
      <c r="J846" s="105"/>
      <c r="K846" s="117"/>
      <c r="L846" s="105"/>
      <c r="M846" s="99"/>
    </row>
    <row r="847" spans="1:13" x14ac:dyDescent="0.25">
      <c r="A847" s="101"/>
      <c r="B847" s="101" t="s">
        <v>161</v>
      </c>
      <c r="C847" s="101" t="s">
        <v>130</v>
      </c>
      <c r="D847" s="152">
        <f>IFERROR(INDEX('BD Rendimientos'!G:G,MATCH("06.01.15|M. Masillado De Piso A Máquina Con Endurecedor|m2|mano_obra",'BD Rendimientos'!L:L,0)),"")</f>
        <v>1</v>
      </c>
      <c r="E847" s="161">
        <f>IFERROR(INDEX('BD Mano de Obra'!D:D,MATCH("M. Masillado De Piso A Máquina Con Endurecedor",'BD Mano de Obra'!B:B,0)),"")</f>
        <v>5.4</v>
      </c>
      <c r="F847" s="170">
        <f>IFERROR(D847*E847,"")</f>
        <v>5.4</v>
      </c>
      <c r="G847" s="120">
        <v>21.01</v>
      </c>
      <c r="H847" s="108">
        <v>5.4</v>
      </c>
      <c r="I847" s="120"/>
      <c r="J847" s="108"/>
      <c r="K847" s="120"/>
      <c r="L847" s="108"/>
      <c r="M847" s="101" t="s">
        <v>647</v>
      </c>
    </row>
    <row r="848" spans="1:13" ht="16.5" thickBot="1" x14ac:dyDescent="0.3">
      <c r="A848" s="100"/>
      <c r="B848" s="100" t="s">
        <v>645</v>
      </c>
      <c r="C848" s="100" t="s">
        <v>130</v>
      </c>
      <c r="D848" s="151"/>
      <c r="E848" s="160"/>
      <c r="F848" s="169">
        <f>SUM(F847)</f>
        <v>5.4</v>
      </c>
      <c r="G848" s="119"/>
      <c r="H848" s="107">
        <v>5.4</v>
      </c>
      <c r="I848" s="119"/>
      <c r="J848" s="107"/>
      <c r="K848" s="119"/>
      <c r="L848" s="107"/>
      <c r="M848" s="100" t="s">
        <v>646</v>
      </c>
    </row>
    <row r="849" spans="1:13" ht="15.75" thickTop="1" x14ac:dyDescent="0.25">
      <c r="D849" s="150"/>
      <c r="E849" s="159"/>
      <c r="F849" s="168"/>
      <c r="G849" s="118"/>
      <c r="H849" s="106"/>
      <c r="I849" s="118"/>
      <c r="J849" s="106"/>
      <c r="K849" s="118"/>
      <c r="L849" s="106"/>
    </row>
    <row r="850" spans="1:13" ht="18" thickBot="1" x14ac:dyDescent="0.35">
      <c r="A850" s="95" t="s">
        <v>160</v>
      </c>
      <c r="B850" s="95"/>
      <c r="C850" s="95"/>
      <c r="D850" s="147"/>
      <c r="E850" s="156"/>
      <c r="F850" s="165"/>
      <c r="G850" s="115"/>
      <c r="H850" s="103"/>
      <c r="I850" s="115"/>
      <c r="J850" s="103"/>
      <c r="K850" s="115"/>
      <c r="L850" s="103"/>
      <c r="M850" s="95"/>
    </row>
    <row r="851" spans="1:13" ht="15.75" thickTop="1" x14ac:dyDescent="0.25">
      <c r="A851" s="97" t="s">
        <v>159</v>
      </c>
      <c r="B851" s="97" t="s">
        <v>158</v>
      </c>
      <c r="C851" s="97" t="s">
        <v>130</v>
      </c>
      <c r="D851" s="148" t="s">
        <v>635</v>
      </c>
      <c r="E851" s="157" t="s">
        <v>636</v>
      </c>
      <c r="F851" s="166" t="s">
        <v>637</v>
      </c>
      <c r="G851" s="116" t="s">
        <v>638</v>
      </c>
      <c r="H851" s="104" t="s">
        <v>639</v>
      </c>
      <c r="I851" s="116" t="s">
        <v>640</v>
      </c>
      <c r="J851" s="104" t="s">
        <v>641</v>
      </c>
      <c r="K851" s="116" t="s">
        <v>642</v>
      </c>
      <c r="L851" s="104" t="s">
        <v>643</v>
      </c>
      <c r="M851" s="97" t="s">
        <v>644</v>
      </c>
    </row>
    <row r="852" spans="1:13" x14ac:dyDescent="0.25">
      <c r="A852" s="99" t="s">
        <v>11</v>
      </c>
      <c r="B852" s="99"/>
      <c r="C852" s="99"/>
      <c r="D852" s="149"/>
      <c r="E852" s="158"/>
      <c r="F852" s="167"/>
      <c r="G852" s="117"/>
      <c r="H852" s="105"/>
      <c r="I852" s="117"/>
      <c r="J852" s="105"/>
      <c r="K852" s="117"/>
      <c r="L852" s="105"/>
      <c r="M852" s="99"/>
    </row>
    <row r="853" spans="1:13" x14ac:dyDescent="0.25">
      <c r="A853" s="101"/>
      <c r="B853" s="101" t="s">
        <v>720</v>
      </c>
      <c r="C853" s="101" t="s">
        <v>6</v>
      </c>
      <c r="D853" s="152">
        <f>IFERROR(INDEX('BD Rendimientos'!G:G,MATCH("07.01.05|Arena Rosada|m3|materiales",'BD Rendimientos'!L:L,0)),"")</f>
        <v>2.6578722364724562E-2</v>
      </c>
      <c r="E853" s="161">
        <f>IFERROR(INDEX('BD Materiales'!D:D,MATCH("Arena Rosada",'BD Materiales'!B:B,0)),"")</f>
        <v>13.25016774891775</v>
      </c>
      <c r="F853" s="170">
        <f>IFERROR(D853*E853,"")</f>
        <v>0.35217252988451231</v>
      </c>
      <c r="G853" s="120"/>
      <c r="H853" s="108"/>
      <c r="I853" s="120"/>
      <c r="J853" s="108"/>
      <c r="K853" s="120">
        <v>10.88</v>
      </c>
      <c r="L853" s="108">
        <v>18.75</v>
      </c>
      <c r="M853" s="101" t="s">
        <v>647</v>
      </c>
    </row>
    <row r="854" spans="1:13" x14ac:dyDescent="0.25">
      <c r="A854" s="101"/>
      <c r="B854" s="101" t="s">
        <v>756</v>
      </c>
      <c r="C854" s="101" t="s">
        <v>15</v>
      </c>
      <c r="D854" s="152">
        <f>IFERROR(INDEX('BD Rendimientos'!G:G,MATCH("07.01.05|Broca Metal Cobalto 5/32""|Uni.|materiales",'BD Rendimientos'!L:L,0)),"")</f>
        <v>1.4657383657017221E-2</v>
      </c>
      <c r="E854" s="161">
        <f>IFERROR(INDEX('BD Materiales'!D:D,MATCH("Broca Metal Cobalto 5/32""",'BD Materiales'!B:B,0)),"")</f>
        <v>1.61</v>
      </c>
      <c r="F854" s="170">
        <f>IFERROR(D854*E854,"")</f>
        <v>2.3598387687797727E-2</v>
      </c>
      <c r="G854" s="120"/>
      <c r="H854" s="108"/>
      <c r="I854" s="120"/>
      <c r="J854" s="108"/>
      <c r="K854" s="120">
        <v>6</v>
      </c>
      <c r="L854" s="108">
        <v>1.61</v>
      </c>
      <c r="M854" s="101" t="s">
        <v>647</v>
      </c>
    </row>
    <row r="855" spans="1:13" x14ac:dyDescent="0.25">
      <c r="B855" t="s">
        <v>788</v>
      </c>
      <c r="C855" t="s">
        <v>8</v>
      </c>
      <c r="D855" s="150">
        <f>IFERROR(INDEX('BD Rendimientos'!G:G,MATCH("07.01.05|Cemento Campeon HS 50KG|qq|materiales",'BD Rendimientos'!L:L,0)),"")</f>
        <v>0.20206075374108354</v>
      </c>
      <c r="E855" s="159">
        <f>IFERROR(INDEX('BD Materiales'!D:D,MATCH("Cemento Campeon HS 50KG",'BD Materiales'!B:B,0)),"")</f>
        <v>6.7489472778273614</v>
      </c>
      <c r="F855" s="168">
        <f>IFERROR(D855*E855,"")</f>
        <v>1.3636973739166305</v>
      </c>
      <c r="G855" s="118"/>
      <c r="H855" s="106"/>
      <c r="I855" s="118">
        <v>17.04</v>
      </c>
      <c r="J855" s="106">
        <v>6.79</v>
      </c>
      <c r="K855" s="118">
        <v>107</v>
      </c>
      <c r="L855" s="106">
        <v>6.79</v>
      </c>
    </row>
    <row r="856" spans="1:13" x14ac:dyDescent="0.25">
      <c r="B856" t="s">
        <v>798</v>
      </c>
      <c r="C856" t="s">
        <v>15</v>
      </c>
      <c r="D856" s="150">
        <f>IFERROR(INDEX('BD Rendimientos'!G:G,MATCH("07.01.05|Chapisco 25 kg|Uni.|materiales",'BD Rendimientos'!L:L,0)),"")</f>
        <v>0.17461364109357758</v>
      </c>
      <c r="E856" s="159">
        <f>IFERROR(INDEX('BD Materiales'!D:D,MATCH("Chapisco 25 kg",'BD Materiales'!B:B,0)),"")</f>
        <v>7.6570634920634939</v>
      </c>
      <c r="F856" s="168">
        <f>IFERROR(D856*E856,"")</f>
        <v>1.3370277364339107</v>
      </c>
      <c r="G856" s="118"/>
      <c r="H856" s="106"/>
      <c r="I856" s="118">
        <v>7.57</v>
      </c>
      <c r="J856" s="106">
        <v>8.06</v>
      </c>
      <c r="K856" s="118">
        <v>117</v>
      </c>
      <c r="L856" s="106">
        <v>7.52</v>
      </c>
      <c r="M856" t="s">
        <v>1920</v>
      </c>
    </row>
    <row r="857" spans="1:13" x14ac:dyDescent="0.25">
      <c r="B857" t="s">
        <v>156</v>
      </c>
      <c r="C857" t="s">
        <v>30</v>
      </c>
      <c r="D857" s="150">
        <f>IFERROR(INDEX('BD Rendimientos'!G:G,MATCH("07.01.05|Clavos de acero 1” (1/2 kilo) (Clavos de acero 1” (1/2 kilo))|Kg.|materiales",'BD Rendimientos'!L:L,0)),"")</f>
        <v>3.2492467464830172E-3</v>
      </c>
      <c r="E857" s="159">
        <f>IFERROR(INDEX('BD Materiales'!D:D,MATCH("Clavos de acero 1” (1/2 kilo) (Clavos de acero 1” (1/2 kilo))",'BD Materiales'!B:B,0)),"")</f>
        <v>9.0133333333333336</v>
      </c>
      <c r="F857" s="168">
        <f>IFERROR(D857*E857,"")</f>
        <v>2.9286544008300264E-2</v>
      </c>
      <c r="G857" s="118"/>
      <c r="H857" s="106"/>
      <c r="I857" s="118">
        <v>0.63</v>
      </c>
      <c r="J857" s="106">
        <v>9.08</v>
      </c>
      <c r="K857" s="118">
        <v>0.5</v>
      </c>
      <c r="L857" s="106">
        <v>8.8800000000000008</v>
      </c>
      <c r="M857" t="s">
        <v>1920</v>
      </c>
    </row>
    <row r="858" spans="1:13" x14ac:dyDescent="0.25">
      <c r="A858" s="101"/>
      <c r="B858" s="101" t="s">
        <v>876</v>
      </c>
      <c r="C858" s="101"/>
      <c r="D858" s="152">
        <f>IFERROR(INDEX('BD Rendimientos'!G:G,MATCH("07.01.05|Gasolina - Extra||materiales",'BD Rendimientos'!L:L,0)),"")</f>
        <v>3.4005130084279953E-2</v>
      </c>
      <c r="E858" s="161">
        <f>IFERROR(INDEX('BD Materiales'!D:D,MATCH("Gasolina - Extra",'BD Materiales'!B:B,0)),"")</f>
        <v>2.14</v>
      </c>
      <c r="F858" s="170">
        <f>IFERROR(D858*E858,"")</f>
        <v>7.2770978380359105E-2</v>
      </c>
      <c r="G858" s="120"/>
      <c r="H858" s="108"/>
      <c r="I858" s="120"/>
      <c r="J858" s="108"/>
      <c r="K858" s="120">
        <v>13.92</v>
      </c>
      <c r="L858" s="108">
        <v>2.14</v>
      </c>
      <c r="M858" s="101" t="s">
        <v>647</v>
      </c>
    </row>
    <row r="859" spans="1:13" x14ac:dyDescent="0.25">
      <c r="B859" t="s">
        <v>155</v>
      </c>
      <c r="C859" t="s">
        <v>144</v>
      </c>
      <c r="D859" s="150">
        <f>IFERROR(INDEX('BD Rendimientos'!G:G,MATCH("07.01.05|Malla para tumbado (rollo) (Malla para tumbado (rollo))|rollo|materiales",'BD Rendimientos'!L:L,0)),"")</f>
        <v>6.3028683416949385E-3</v>
      </c>
      <c r="E859" s="159">
        <f>IFERROR(INDEX('BD Materiales'!D:D,MATCH("Malla para tumbado (rollo) (Malla para tumbado (rollo))",'BD Materiales'!B:B,0)),"")</f>
        <v>12.525</v>
      </c>
      <c r="F859" s="168">
        <f>IFERROR(D859*E859,"")</f>
        <v>7.8943425979729101E-2</v>
      </c>
      <c r="G859" s="118"/>
      <c r="H859" s="106"/>
      <c r="I859" s="118">
        <v>0.63</v>
      </c>
      <c r="J859" s="106">
        <v>13.63</v>
      </c>
      <c r="K859" s="118">
        <v>3</v>
      </c>
      <c r="L859" s="106">
        <v>14.38</v>
      </c>
    </row>
    <row r="860" spans="1:13" x14ac:dyDescent="0.25">
      <c r="A860" s="101"/>
      <c r="B860" s="101" t="s">
        <v>923</v>
      </c>
      <c r="C860" s="101" t="s">
        <v>15</v>
      </c>
      <c r="D860" s="152">
        <f>IFERROR(INDEX('BD Rendimientos'!G:G,MATCH("07.01.05|Maxicril Galon|Uni.|materiales",'BD Rendimientos'!L:L,0)),"")</f>
        <v>5.2474593707186851E-2</v>
      </c>
      <c r="E860" s="161">
        <f>IFERROR(INDEX('BD Materiales'!D:D,MATCH("Maxicril Galon",'BD Materiales'!B:B,0)),"")</f>
        <v>27</v>
      </c>
      <c r="F860" s="170">
        <f>IFERROR(D860*E860,"")</f>
        <v>1.4168140300940451</v>
      </c>
      <c r="G860" s="120"/>
      <c r="H860" s="108"/>
      <c r="I860" s="120">
        <v>3.78</v>
      </c>
      <c r="J860" s="108">
        <v>27</v>
      </c>
      <c r="K860" s="120">
        <v>30</v>
      </c>
      <c r="L860" s="108"/>
      <c r="M860" s="101" t="s">
        <v>647</v>
      </c>
    </row>
    <row r="861" spans="1:13" x14ac:dyDescent="0.25">
      <c r="B861" t="s">
        <v>145</v>
      </c>
      <c r="C861" t="s">
        <v>144</v>
      </c>
      <c r="D861" s="150">
        <f>IFERROR(INDEX('BD Rendimientos'!G:G,MATCH("07.01.05|Plastico Negro 1.5 mts (Plastico Negro 1.5 mts (2.20 mts x kg) (45 kilos))|rollo|materiales",'BD Rendimientos'!L:L,0)),"")</f>
        <v>2.704789737646061E-3</v>
      </c>
      <c r="E861" s="159">
        <f>IFERROR(INDEX('BD Materiales'!D:D,MATCH("Plastico Negro 1.5 mts (Plastico Negro 1.5 mts (2.20 mts x kg) (45 kilos))",'BD Materiales'!B:B,0)),"")</f>
        <v>67.732222222222219</v>
      </c>
      <c r="F861" s="168">
        <f>IFERROR(D861*E861,"")</f>
        <v>0.18320141957462913</v>
      </c>
      <c r="G861" s="118"/>
      <c r="H861" s="106"/>
      <c r="I861" s="118">
        <v>0.5</v>
      </c>
      <c r="J861" s="106">
        <v>68.78</v>
      </c>
      <c r="K861" s="118">
        <v>0.5</v>
      </c>
      <c r="L861" s="106">
        <v>67.7</v>
      </c>
      <c r="M861" t="s">
        <v>1920</v>
      </c>
    </row>
    <row r="862" spans="1:13" x14ac:dyDescent="0.25">
      <c r="B862" t="s">
        <v>603</v>
      </c>
      <c r="C862" t="s">
        <v>6</v>
      </c>
      <c r="D862" s="150">
        <f>IFERROR(INDEX('BD Rendimientos'!G:G,MATCH("07.01.05|Polvo Azul|m3|materiales",'BD Rendimientos'!L:L,0)),"")</f>
        <v>2.6901044228856225E-2</v>
      </c>
      <c r="E862" s="159">
        <f>IFERROR(INDEX('BD Materiales'!D:D,MATCH("Polvo Azul",'BD Materiales'!B:B,0)),"")</f>
        <v>14.547574523429788</v>
      </c>
      <c r="F862" s="168">
        <f>IFERROR(D862*E862,"")</f>
        <v>0.39134494567736672</v>
      </c>
      <c r="G862" s="118"/>
      <c r="H862" s="106"/>
      <c r="I862" s="118">
        <v>4.09</v>
      </c>
      <c r="J862" s="106">
        <v>17.03</v>
      </c>
      <c r="K862" s="118">
        <v>8</v>
      </c>
      <c r="L862" s="106">
        <v>17.98</v>
      </c>
    </row>
    <row r="863" spans="1:13" x14ac:dyDescent="0.25">
      <c r="A863" s="101"/>
      <c r="B863" s="101" t="s">
        <v>982</v>
      </c>
      <c r="C863" s="101" t="s">
        <v>15</v>
      </c>
      <c r="D863" s="152">
        <f>IFERROR(INDEX('BD Rendimientos'!G:G,MATCH("07.01.05|Rodillo de felpa 9""|Uni.|materiales",'BD Rendimientos'!L:L,0)),"")</f>
        <v>7.3286918285086107E-3</v>
      </c>
      <c r="E863" s="161">
        <f>IFERROR(INDEX('BD Materiales'!D:D,MATCH("Rodillo de felpa 9""",'BD Materiales'!B:B,0)),"")</f>
        <v>4.01</v>
      </c>
      <c r="F863" s="170">
        <f>IFERROR(D863*E863,"")</f>
        <v>2.9388054232319528E-2</v>
      </c>
      <c r="G863" s="120"/>
      <c r="H863" s="108"/>
      <c r="I863" s="120"/>
      <c r="J863" s="108"/>
      <c r="K863" s="120">
        <v>3</v>
      </c>
      <c r="L863" s="108">
        <v>4.01</v>
      </c>
      <c r="M863" s="101" t="s">
        <v>647</v>
      </c>
    </row>
    <row r="864" spans="1:13" x14ac:dyDescent="0.25">
      <c r="A864" s="99" t="s">
        <v>5</v>
      </c>
      <c r="B864" s="99"/>
      <c r="C864" s="99"/>
      <c r="D864" s="149"/>
      <c r="E864" s="158"/>
      <c r="F864" s="167"/>
      <c r="G864" s="117"/>
      <c r="H864" s="105"/>
      <c r="I864" s="117"/>
      <c r="J864" s="105"/>
      <c r="K864" s="117"/>
      <c r="L864" s="105"/>
      <c r="M864" s="99"/>
    </row>
    <row r="865" spans="1:13" x14ac:dyDescent="0.25">
      <c r="A865" s="99" t="s">
        <v>2</v>
      </c>
      <c r="B865" s="99"/>
      <c r="C865" s="99"/>
      <c r="D865" s="149"/>
      <c r="E865" s="158"/>
      <c r="F865" s="167"/>
      <c r="G865" s="117"/>
      <c r="H865" s="105"/>
      <c r="I865" s="117"/>
      <c r="J865" s="105"/>
      <c r="K865" s="117"/>
      <c r="L865" s="105"/>
      <c r="M865" s="99"/>
    </row>
    <row r="866" spans="1:13" x14ac:dyDescent="0.25">
      <c r="B866" t="s">
        <v>522</v>
      </c>
      <c r="C866" t="s">
        <v>410</v>
      </c>
      <c r="D866" s="150">
        <f>IFERROR(INDEX('BD Rendimientos'!G:G,MATCH("07.01.05|Alquiler concretera|día|equipo",'BD Rendimientos'!L:L,0)),"")</f>
        <v>2.0590748055262391E-2</v>
      </c>
      <c r="E866" s="159">
        <f>IFERROR(INDEX('BD Equipo'!D:D,MATCH("Alquiler concretera",'BD Equipo'!B:B,0)),"")</f>
        <v>31.25</v>
      </c>
      <c r="F866" s="168">
        <f>IFERROR(D866*E866,"")</f>
        <v>0.64346087672694974</v>
      </c>
      <c r="G866" s="118"/>
      <c r="H866" s="106"/>
      <c r="I866" s="118">
        <v>2</v>
      </c>
      <c r="J866" s="106">
        <v>31.25</v>
      </c>
      <c r="K866" s="118">
        <v>10</v>
      </c>
      <c r="L866" s="106">
        <v>31.25</v>
      </c>
    </row>
    <row r="867" spans="1:13" x14ac:dyDescent="0.25">
      <c r="A867" s="101"/>
      <c r="B867" s="101" t="s">
        <v>1192</v>
      </c>
      <c r="C867" s="101" t="s">
        <v>410</v>
      </c>
      <c r="D867" s="152">
        <f>IFERROR(INDEX('BD Rendimientos'!G:G,MATCH("07.01.05|Alquiler de Elevador a gasolina|día|equipo",'BD Rendimientos'!L:L,0)),"")</f>
        <v>2.9314767314034443E-2</v>
      </c>
      <c r="E867" s="161">
        <f>IFERROR(INDEX('BD Equipo'!D:D,MATCH("Alquiler de Elevador a gasolina",'BD Equipo'!B:B,0)),"")</f>
        <v>35.71</v>
      </c>
      <c r="F867" s="170">
        <f>IFERROR(D867*E867,"")</f>
        <v>1.0468303407841699</v>
      </c>
      <c r="G867" s="120"/>
      <c r="H867" s="108"/>
      <c r="I867" s="120"/>
      <c r="J867" s="108"/>
      <c r="K867" s="120">
        <v>12</v>
      </c>
      <c r="L867" s="108">
        <v>35.71</v>
      </c>
      <c r="M867" s="101" t="s">
        <v>647</v>
      </c>
    </row>
    <row r="868" spans="1:13" x14ac:dyDescent="0.25">
      <c r="A868" s="101"/>
      <c r="B868" s="101" t="s">
        <v>1927</v>
      </c>
      <c r="C868" s="101" t="s">
        <v>130</v>
      </c>
      <c r="D868" s="152">
        <f>IFERROR(INDEX('BD Rendimientos'!G:G,MATCH("07.01.05|M. Cubierta de fibrocemento (Incluye capa super K)|m2|mano_obra",'BD Rendimientos'!L:L,0)),"")</f>
        <v>1</v>
      </c>
      <c r="E868" s="161">
        <f>IFERROR(INDEX('BD Mano de Obra'!D:D,MATCH("M. Cubierta de fibrocemento (Incluye capa super K)",'BD Mano de Obra'!B:B,0)),"")</f>
        <v>40.99</v>
      </c>
      <c r="F868" s="170">
        <f>IFERROR(D868*E868,"")</f>
        <v>40.99</v>
      </c>
      <c r="G868" s="120"/>
      <c r="H868" s="108"/>
      <c r="I868" s="120"/>
      <c r="J868" s="108">
        <v>40.99</v>
      </c>
      <c r="K868" s="120"/>
      <c r="L868" s="108">
        <v>40.99</v>
      </c>
      <c r="M868" s="101" t="s">
        <v>1931</v>
      </c>
    </row>
    <row r="869" spans="1:13" ht="16.5" thickBot="1" x14ac:dyDescent="0.3">
      <c r="A869" s="100"/>
      <c r="B869" s="100" t="s">
        <v>645</v>
      </c>
      <c r="C869" s="100" t="s">
        <v>130</v>
      </c>
      <c r="D869" s="151"/>
      <c r="E869" s="160"/>
      <c r="F869" s="169">
        <f>SUM(F853,F854,F855,F856,F857,F858,F859,F860,F861,F862,F863,F866,F867,F868)</f>
        <v>47.958536643380725</v>
      </c>
      <c r="G869" s="119"/>
      <c r="H869" s="107"/>
      <c r="I869" s="119"/>
      <c r="J869" s="107">
        <v>44.839945973112201</v>
      </c>
      <c r="K869" s="119"/>
      <c r="L869" s="107">
        <v>47.898852571149398</v>
      </c>
      <c r="M869" s="100" t="s">
        <v>646</v>
      </c>
    </row>
    <row r="870" spans="1:13" ht="15.75" thickTop="1" x14ac:dyDescent="0.25">
      <c r="D870" s="150"/>
      <c r="E870" s="159"/>
      <c r="F870" s="168"/>
      <c r="G870" s="118"/>
      <c r="H870" s="106"/>
      <c r="I870" s="118"/>
      <c r="J870" s="106"/>
      <c r="K870" s="118"/>
      <c r="L870" s="106"/>
    </row>
    <row r="871" spans="1:13" ht="18" thickBot="1" x14ac:dyDescent="0.35">
      <c r="A871" s="95" t="s">
        <v>152</v>
      </c>
      <c r="B871" s="95"/>
      <c r="C871" s="95"/>
      <c r="D871" s="147"/>
      <c r="E871" s="156"/>
      <c r="F871" s="165"/>
      <c r="G871" s="115"/>
      <c r="H871" s="103"/>
      <c r="I871" s="115"/>
      <c r="J871" s="103"/>
      <c r="K871" s="115"/>
      <c r="L871" s="103"/>
      <c r="M871" s="95"/>
    </row>
    <row r="872" spans="1:13" ht="15.75" thickTop="1" x14ac:dyDescent="0.25">
      <c r="A872" s="97" t="s">
        <v>151</v>
      </c>
      <c r="B872" s="97" t="s">
        <v>150</v>
      </c>
      <c r="C872" s="97" t="s">
        <v>130</v>
      </c>
      <c r="D872" s="148" t="s">
        <v>635</v>
      </c>
      <c r="E872" s="157" t="s">
        <v>636</v>
      </c>
      <c r="F872" s="166" t="s">
        <v>637</v>
      </c>
      <c r="G872" s="116" t="s">
        <v>638</v>
      </c>
      <c r="H872" s="104" t="s">
        <v>639</v>
      </c>
      <c r="I872" s="116" t="s">
        <v>640</v>
      </c>
      <c r="J872" s="104" t="s">
        <v>641</v>
      </c>
      <c r="K872" s="116" t="s">
        <v>642</v>
      </c>
      <c r="L872" s="104" t="s">
        <v>643</v>
      </c>
      <c r="M872" s="97" t="s">
        <v>644</v>
      </c>
    </row>
    <row r="873" spans="1:13" x14ac:dyDescent="0.25">
      <c r="A873" s="99" t="s">
        <v>11</v>
      </c>
      <c r="B873" s="99"/>
      <c r="C873" s="99"/>
      <c r="D873" s="149"/>
      <c r="E873" s="158"/>
      <c r="F873" s="167"/>
      <c r="G873" s="117"/>
      <c r="H873" s="105"/>
      <c r="I873" s="117"/>
      <c r="J873" s="105"/>
      <c r="K873" s="117"/>
      <c r="L873" s="105"/>
      <c r="M873" s="99"/>
    </row>
    <row r="874" spans="1:13" x14ac:dyDescent="0.25">
      <c r="A874" s="101"/>
      <c r="B874" s="101" t="s">
        <v>803</v>
      </c>
      <c r="C874" s="101" t="s">
        <v>15</v>
      </c>
      <c r="D874" s="152">
        <f>IFERROR(INDEX('BD Rendimientos'!G:G,MATCH("08.01.10|Cinta de Embalaje|Uni.|materiales",'BD Rendimientos'!L:L,0)),"")</f>
        <v>2.2006315812638224E-3</v>
      </c>
      <c r="E874" s="161">
        <f>IFERROR(INDEX('BD Materiales'!D:D,MATCH("Cinta de Embalaje",'BD Materiales'!B:B,0)),"")</f>
        <v>0.64500000000000002</v>
      </c>
      <c r="F874" s="170">
        <f>IFERROR(D874*E874,"")</f>
        <v>1.4194073699151655E-3</v>
      </c>
      <c r="G874" s="120"/>
      <c r="H874" s="108"/>
      <c r="I874" s="120"/>
      <c r="J874" s="108"/>
      <c r="K874" s="120">
        <v>2</v>
      </c>
      <c r="L874" s="108">
        <v>0.65</v>
      </c>
      <c r="M874" s="101" t="s">
        <v>647</v>
      </c>
    </row>
    <row r="875" spans="1:13" x14ac:dyDescent="0.25">
      <c r="A875" s="101"/>
      <c r="B875" s="101" t="s">
        <v>556</v>
      </c>
      <c r="C875" s="101" t="s">
        <v>15</v>
      </c>
      <c r="D875" s="152">
        <f>IFERROR(INDEX('BD Rendimientos'!G:G,MATCH("08.01.10|Cinta Peligro 200MT (Cinta Peligro Amarillo 200MT)|Uni.|materiales",'BD Rendimientos'!L:L,0)),"")</f>
        <v>4.4012631625276452E-2</v>
      </c>
      <c r="E875" s="161">
        <f>IFERROR(INDEX('BD Materiales'!D:D,MATCH("Cinta Peligro 200MT (Cinta Peligro Amarillo 200MT)",'BD Materiales'!B:B,0)),"")</f>
        <v>0.02</v>
      </c>
      <c r="F875" s="170">
        <f>IFERROR(D875*E875,"")</f>
        <v>8.8025263250552906E-4</v>
      </c>
      <c r="G875" s="120"/>
      <c r="H875" s="108"/>
      <c r="I875" s="120"/>
      <c r="J875" s="108"/>
      <c r="K875" s="120">
        <v>40</v>
      </c>
      <c r="L875" s="108">
        <v>0.02</v>
      </c>
      <c r="M875" s="101" t="s">
        <v>647</v>
      </c>
    </row>
    <row r="876" spans="1:13" x14ac:dyDescent="0.25">
      <c r="B876" t="s">
        <v>916</v>
      </c>
      <c r="C876" t="s">
        <v>15</v>
      </c>
      <c r="D876" s="150">
        <f>IFERROR(INDEX('BD Rendimientos'!G:G,MATCH("08.01.10|Masking Abro 2x40|Uni.|materiales",'BD Rendimientos'!L:L,0)),"")</f>
        <v>6.3345647709240352E-2</v>
      </c>
      <c r="E876" s="159">
        <f>IFERROR(INDEX('BD Materiales'!D:D,MATCH("Masking Abro 2x40",'BD Materiales'!B:B,0)),"")</f>
        <v>1.4315370370370375</v>
      </c>
      <c r="F876" s="168">
        <f>IFERROR(D876*E876,"")</f>
        <v>9.068164083087793E-2</v>
      </c>
      <c r="G876" s="118">
        <v>5</v>
      </c>
      <c r="H876" s="106">
        <v>1.73</v>
      </c>
      <c r="I876" s="118">
        <v>5</v>
      </c>
      <c r="J876" s="106">
        <v>1.7</v>
      </c>
      <c r="K876" s="118">
        <v>27</v>
      </c>
      <c r="L876" s="106">
        <v>1.3381481481481501</v>
      </c>
      <c r="M876" t="s">
        <v>1920</v>
      </c>
    </row>
    <row r="877" spans="1:13" x14ac:dyDescent="0.25">
      <c r="A877" s="101"/>
      <c r="B877" s="101" t="s">
        <v>953</v>
      </c>
      <c r="C877" s="101" t="s">
        <v>15</v>
      </c>
      <c r="D877" s="152">
        <f>IFERROR(INDEX('BD Rendimientos'!G:G,MATCH("08.01.10|Plancha espumaflex 5cm|Uni.|materiales",'BD Rendimientos'!L:L,0)),"")</f>
        <v>5.5015789531595565E-3</v>
      </c>
      <c r="E877" s="161">
        <f>IFERROR(INDEX('BD Materiales'!D:D,MATCH("Plancha espumaflex 5cm",'BD Materiales'!B:B,0)),"")</f>
        <v>9.5184999999999995</v>
      </c>
      <c r="F877" s="170">
        <f>IFERROR(D877*E877,"")</f>
        <v>5.2366779265649234E-2</v>
      </c>
      <c r="G877" s="120"/>
      <c r="H877" s="108"/>
      <c r="I877" s="120"/>
      <c r="J877" s="108"/>
      <c r="K877" s="120">
        <v>5</v>
      </c>
      <c r="L877" s="108">
        <v>8.7200000000000006</v>
      </c>
      <c r="M877" s="101" t="s">
        <v>647</v>
      </c>
    </row>
    <row r="878" spans="1:13" x14ac:dyDescent="0.25">
      <c r="B878" t="s">
        <v>955</v>
      </c>
      <c r="C878" t="s">
        <v>15</v>
      </c>
      <c r="D878" s="150">
        <f>IFERROR(INDEX('BD Rendimientos'!G:G,MATCH("08.01.10|Plastico Enmascarar 220cmx25m|Uni.|materiales",'BD Rendimientos'!L:L,0)),"")</f>
        <v>7.7445187778909907E-2</v>
      </c>
      <c r="E878" s="159">
        <f>IFERROR(INDEX('BD Materiales'!D:D,MATCH("Plastico Enmascarar 220cmx25m",'BD Materiales'!B:B,0)),"")</f>
        <v>2.3980000000000001</v>
      </c>
      <c r="F878" s="168">
        <f>IFERROR(D878*E878,"")</f>
        <v>0.18571356029382596</v>
      </c>
      <c r="G878" s="118"/>
      <c r="H878" s="106"/>
      <c r="I878" s="118">
        <v>6</v>
      </c>
      <c r="J878" s="106">
        <v>2.52</v>
      </c>
      <c r="K878" s="118">
        <v>35</v>
      </c>
      <c r="L878" s="106">
        <v>2.37</v>
      </c>
      <c r="M878" t="s">
        <v>1920</v>
      </c>
    </row>
    <row r="879" spans="1:13" x14ac:dyDescent="0.25">
      <c r="B879" t="s">
        <v>145</v>
      </c>
      <c r="C879" t="s">
        <v>144</v>
      </c>
      <c r="D879" s="150">
        <f>IFERROR(INDEX('BD Rendimientos'!G:G,MATCH("08.01.10|Plastico Negro 1.5 mts (Plastico Negro 1.5 mts (2.20 mts x kg) (45 kilos))|rollo|materiales",'BD Rendimientos'!L:L,0)),"")</f>
        <v>2.0744440657807908E-2</v>
      </c>
      <c r="E879" s="159">
        <f>IFERROR(INDEX('BD Materiales'!D:D,MATCH("Plastico Negro 1.5 mts (Plastico Negro 1.5 mts (2.20 mts x kg) (45 kilos))",'BD Materiales'!B:B,0)),"")</f>
        <v>67.732222222222219</v>
      </c>
      <c r="F879" s="168">
        <f>IFERROR(D879*E879,"")</f>
        <v>1.4050670645103469</v>
      </c>
      <c r="G879" s="118"/>
      <c r="H879" s="106"/>
      <c r="I879" s="118">
        <v>2</v>
      </c>
      <c r="J879" s="106">
        <v>66.290000000000006</v>
      </c>
      <c r="K879" s="118">
        <v>2.4500000000000002</v>
      </c>
      <c r="L879" s="106">
        <v>61.71</v>
      </c>
      <c r="M879" t="s">
        <v>1920</v>
      </c>
    </row>
    <row r="880" spans="1:13" x14ac:dyDescent="0.25">
      <c r="A880" s="101"/>
      <c r="B880" s="101" t="s">
        <v>557</v>
      </c>
      <c r="C880" s="101" t="s">
        <v>3</v>
      </c>
      <c r="D880" s="152">
        <f>IFERROR(INDEX('BD Rendimientos'!G:G,MATCH("08.01.10|Plastico Transparente (Plastico Transparente 1.5mts)|ml|materiales",'BD Rendimientos'!L:L,0)),"")</f>
        <v>5.2265000055015786E-3</v>
      </c>
      <c r="E880" s="161">
        <f>IFERROR(INDEX('BD Materiales'!D:D,MATCH("Plastico Transparente (Plastico Transparente 1.5mts)",'BD Materiales'!B:B,0)),"")</f>
        <v>2.0499999999999998</v>
      </c>
      <c r="F880" s="170">
        <f>IFERROR(D880*E880,"")</f>
        <v>1.0714325011278236E-2</v>
      </c>
      <c r="G880" s="120"/>
      <c r="H880" s="108"/>
      <c r="I880" s="120"/>
      <c r="J880" s="108"/>
      <c r="K880" s="120">
        <v>4.75</v>
      </c>
      <c r="L880" s="108">
        <v>2.0499999999999998</v>
      </c>
      <c r="M880" s="101" t="s">
        <v>647</v>
      </c>
    </row>
    <row r="881" spans="1:13" x14ac:dyDescent="0.25">
      <c r="A881" s="101"/>
      <c r="B881" s="101" t="s">
        <v>454</v>
      </c>
      <c r="C881" s="101" t="s">
        <v>102</v>
      </c>
      <c r="D881" s="152">
        <f>IFERROR(INDEX('BD Rendimientos'!G:G,MATCH("08.01.10|Tela Verde UV 2.00 mts. (Tela Verde UV 2.00 mts)|mts.|materiales",'BD Rendimientos'!L:L,0)),"")</f>
        <v>3.3009473718957343E-2</v>
      </c>
      <c r="E881" s="161">
        <f>IFERROR(INDEX('BD Materiales'!D:D,MATCH("Tela Verde UV 2.00 mts. (Tela Verde UV 2.00 mts)",'BD Materiales'!B:B,0)),"")</f>
        <v>0.56000000000000005</v>
      </c>
      <c r="F881" s="170">
        <f>IFERROR(D881*E881,"")</f>
        <v>1.8485305282616115E-2</v>
      </c>
      <c r="G881" s="120"/>
      <c r="H881" s="108"/>
      <c r="I881" s="120"/>
      <c r="J881" s="108"/>
      <c r="K881" s="120">
        <v>30</v>
      </c>
      <c r="L881" s="108">
        <v>0.56000000000000005</v>
      </c>
      <c r="M881" s="101" t="s">
        <v>647</v>
      </c>
    </row>
    <row r="882" spans="1:13" x14ac:dyDescent="0.25">
      <c r="A882" s="99" t="s">
        <v>5</v>
      </c>
      <c r="B882" s="99"/>
      <c r="C882" s="99"/>
      <c r="D882" s="149"/>
      <c r="E882" s="158"/>
      <c r="F882" s="167"/>
      <c r="G882" s="117"/>
      <c r="H882" s="105"/>
      <c r="I882" s="117"/>
      <c r="J882" s="105"/>
      <c r="K882" s="117"/>
      <c r="L882" s="105"/>
      <c r="M882" s="99"/>
    </row>
    <row r="883" spans="1:13" x14ac:dyDescent="0.25">
      <c r="A883" s="101"/>
      <c r="B883" s="101" t="s">
        <v>143</v>
      </c>
      <c r="C883" s="101" t="s">
        <v>130</v>
      </c>
      <c r="D883" s="152">
        <f>IFERROR(INDEX('BD Rendimientos'!G:G,MATCH("08.01.10|M, Plástico Negro Para Protección De Terminados|m2|mano_obra",'BD Rendimientos'!L:L,0)),"")</f>
        <v>1</v>
      </c>
      <c r="E883" s="161">
        <f>IFERROR(INDEX('BD Mano de Obra'!D:D,MATCH("M, Plástico Negro Para Protección De Terminados",'BD Mano de Obra'!B:B,0)),"")</f>
        <v>0.36</v>
      </c>
      <c r="F883" s="170">
        <f>IFERROR(D883*E883,"")</f>
        <v>0.36</v>
      </c>
      <c r="G883" s="120"/>
      <c r="H883" s="108"/>
      <c r="I883" s="120">
        <v>51.555549999999997</v>
      </c>
      <c r="J883" s="108">
        <v>0.36</v>
      </c>
      <c r="K883" s="120">
        <v>908.83</v>
      </c>
      <c r="L883" s="108"/>
      <c r="M883" s="101" t="s">
        <v>647</v>
      </c>
    </row>
    <row r="884" spans="1:13" ht="16.5" thickBot="1" x14ac:dyDescent="0.3">
      <c r="A884" s="100"/>
      <c r="B884" s="100" t="s">
        <v>645</v>
      </c>
      <c r="C884" s="100" t="s">
        <v>130</v>
      </c>
      <c r="D884" s="151"/>
      <c r="E884" s="160"/>
      <c r="F884" s="169">
        <f>SUM(F874,F875,F876,F877,F878,F879,F880,F881,F883)</f>
        <v>2.1253283351970151</v>
      </c>
      <c r="G884" s="119"/>
      <c r="H884" s="107"/>
      <c r="I884" s="119"/>
      <c r="J884" s="107">
        <v>3.3897417057911299</v>
      </c>
      <c r="K884" s="119"/>
      <c r="L884" s="107">
        <v>0.37686586050196402</v>
      </c>
      <c r="M884" s="100" t="s">
        <v>646</v>
      </c>
    </row>
    <row r="885" spans="1:13" ht="15.75" thickTop="1" x14ac:dyDescent="0.25">
      <c r="D885" s="150"/>
      <c r="E885" s="159"/>
      <c r="F885" s="168"/>
      <c r="G885" s="118"/>
      <c r="H885" s="106"/>
      <c r="I885" s="118"/>
      <c r="J885" s="106"/>
      <c r="K885" s="118"/>
      <c r="L885" s="106"/>
    </row>
    <row r="886" spans="1:13" ht="18" thickBot="1" x14ac:dyDescent="0.35">
      <c r="A886" s="95" t="s">
        <v>142</v>
      </c>
      <c r="B886" s="95"/>
      <c r="C886" s="95"/>
      <c r="D886" s="147"/>
      <c r="E886" s="156"/>
      <c r="F886" s="165"/>
      <c r="G886" s="115"/>
      <c r="H886" s="103"/>
      <c r="I886" s="115"/>
      <c r="J886" s="103"/>
      <c r="K886" s="115"/>
      <c r="L886" s="103"/>
      <c r="M886" s="95"/>
    </row>
    <row r="887" spans="1:13" ht="15.75" thickTop="1" x14ac:dyDescent="0.25">
      <c r="A887" s="97" t="s">
        <v>141</v>
      </c>
      <c r="B887" s="97" t="s">
        <v>140</v>
      </c>
      <c r="C887" s="97" t="s">
        <v>88</v>
      </c>
      <c r="D887" s="148" t="s">
        <v>635</v>
      </c>
      <c r="E887" s="157" t="s">
        <v>636</v>
      </c>
      <c r="F887" s="166" t="s">
        <v>637</v>
      </c>
      <c r="G887" s="116" t="s">
        <v>638</v>
      </c>
      <c r="H887" s="104" t="s">
        <v>639</v>
      </c>
      <c r="I887" s="116" t="s">
        <v>640</v>
      </c>
      <c r="J887" s="104" t="s">
        <v>641</v>
      </c>
      <c r="K887" s="116" t="s">
        <v>642</v>
      </c>
      <c r="L887" s="104" t="s">
        <v>643</v>
      </c>
      <c r="M887" s="97" t="s">
        <v>644</v>
      </c>
    </row>
    <row r="888" spans="1:13" x14ac:dyDescent="0.25">
      <c r="A888" s="99" t="s">
        <v>11</v>
      </c>
      <c r="B888" s="99"/>
      <c r="C888" s="99"/>
      <c r="D888" s="149"/>
      <c r="E888" s="158"/>
      <c r="F888" s="167"/>
      <c r="G888" s="117"/>
      <c r="H888" s="105"/>
      <c r="I888" s="117"/>
      <c r="J888" s="105"/>
      <c r="K888" s="117"/>
      <c r="L888" s="105"/>
      <c r="M888" s="99"/>
    </row>
    <row r="889" spans="1:13" x14ac:dyDescent="0.25">
      <c r="B889" t="s">
        <v>760</v>
      </c>
      <c r="C889" t="s">
        <v>15</v>
      </c>
      <c r="D889" s="150">
        <f>IFERROR(INDEX('BD Rendimientos'!G:G,MATCH("13.01.02|Brocha 4""|Uni.|materiales",'BD Rendimientos'!L:L,0)),"")</f>
        <v>1.8875739644970415</v>
      </c>
      <c r="E889" s="159">
        <f>IFERROR(INDEX('BD Materiales'!D:D,MATCH("Brocha 4""",'BD Materiales'!B:B,0)),"")</f>
        <v>1.0900000000000001</v>
      </c>
      <c r="F889" s="168">
        <f>IFERROR(D889*E889,"")</f>
        <v>2.0574556213017754</v>
      </c>
      <c r="G889" s="118">
        <v>2</v>
      </c>
      <c r="H889" s="106">
        <v>1.0900000000000001</v>
      </c>
      <c r="I889" s="118"/>
      <c r="J889" s="106"/>
      <c r="K889" s="118">
        <v>3</v>
      </c>
      <c r="L889" s="106">
        <v>1.0900000000000001</v>
      </c>
    </row>
    <row r="890" spans="1:13" x14ac:dyDescent="0.25">
      <c r="A890" s="101"/>
      <c r="B890" s="101" t="s">
        <v>771</v>
      </c>
      <c r="C890" s="101" t="s">
        <v>15</v>
      </c>
      <c r="D890" s="152">
        <f>IFERROR(INDEX('BD Rendimientos'!G:G,MATCH("13.01.02|Caneca 20 litros s/tapa|Uni.|materiales",'BD Rendimientos'!L:L,0)),"")</f>
        <v>1</v>
      </c>
      <c r="E890" s="161">
        <f>IFERROR(INDEX('BD Materiales'!D:D,MATCH("Caneca 20 litros s/tapa",'BD Materiales'!B:B,0)),"")</f>
        <v>2.39</v>
      </c>
      <c r="F890" s="170">
        <f>IFERROR(D890*E890,"")</f>
        <v>2.39</v>
      </c>
      <c r="G890" s="120"/>
      <c r="H890" s="108"/>
      <c r="I890" s="120">
        <v>1</v>
      </c>
      <c r="J890" s="108">
        <v>2.39</v>
      </c>
      <c r="K890" s="120"/>
      <c r="L890" s="108"/>
      <c r="M890" s="101" t="s">
        <v>647</v>
      </c>
    </row>
    <row r="891" spans="1:13" x14ac:dyDescent="0.25">
      <c r="A891" s="101"/>
      <c r="B891" s="101" t="s">
        <v>796</v>
      </c>
      <c r="C891" s="101" t="s">
        <v>15</v>
      </c>
      <c r="D891" s="152">
        <f>IFERROR(INDEX('BD Rendimientos'!G:G,MATCH("13.01.02|Cepillo de acero 5f cromado|Uni.|materiales",'BD Rendimientos'!L:L,0)),"")</f>
        <v>2.3668639053254439</v>
      </c>
      <c r="E891" s="161">
        <f>IFERROR(INDEX('BD Materiales'!D:D,MATCH("Cepillo de acero 5f cromado",'BD Materiales'!B:B,0)),"")</f>
        <v>1.2999999999999998</v>
      </c>
      <c r="F891" s="170">
        <f>IFERROR(D891*E891,"")</f>
        <v>3.0769230769230766</v>
      </c>
      <c r="G891" s="120"/>
      <c r="H891" s="108"/>
      <c r="I891" s="120"/>
      <c r="J891" s="108"/>
      <c r="K891" s="120">
        <v>4</v>
      </c>
      <c r="L891" s="108">
        <v>1.1499999999999999</v>
      </c>
      <c r="M891" s="101" t="s">
        <v>647</v>
      </c>
    </row>
    <row r="892" spans="1:13" x14ac:dyDescent="0.25">
      <c r="A892" s="101"/>
      <c r="B892" s="101" t="s">
        <v>803</v>
      </c>
      <c r="C892" s="101" t="s">
        <v>15</v>
      </c>
      <c r="D892" s="152">
        <f>IFERROR(INDEX('BD Rendimientos'!G:G,MATCH("13.01.02|Cinta de Embalaje|Uni.|materiales",'BD Rendimientos'!L:L,0)),"")</f>
        <v>2.3668639053254439</v>
      </c>
      <c r="E892" s="161">
        <f>IFERROR(INDEX('BD Materiales'!D:D,MATCH("Cinta de Embalaje",'BD Materiales'!B:B,0)),"")</f>
        <v>0.64500000000000002</v>
      </c>
      <c r="F892" s="170">
        <f>IFERROR(D892*E892,"")</f>
        <v>1.5266272189349113</v>
      </c>
      <c r="G892" s="120"/>
      <c r="H892" s="108"/>
      <c r="I892" s="120"/>
      <c r="J892" s="108"/>
      <c r="K892" s="120">
        <v>4</v>
      </c>
      <c r="L892" s="108">
        <v>0.64</v>
      </c>
      <c r="M892" s="101" t="s">
        <v>647</v>
      </c>
    </row>
    <row r="893" spans="1:13" x14ac:dyDescent="0.25">
      <c r="B893" t="s">
        <v>800</v>
      </c>
      <c r="C893" t="s">
        <v>15</v>
      </c>
      <c r="D893" s="150">
        <f>IFERROR(INDEX('BD Rendimientos'!G:G,MATCH("13.01.02|Cinta Masking|Uni.|materiales",'BD Rendimientos'!L:L,0)),"")</f>
        <v>3.5</v>
      </c>
      <c r="E893" s="159">
        <f>IFERROR(INDEX('BD Materiales'!D:D,MATCH("Cinta Masking",'BD Materiales'!B:B,0)),"")</f>
        <v>1.4500000000000002</v>
      </c>
      <c r="F893" s="168">
        <f>IFERROR(D893*E893,"")</f>
        <v>5.0750000000000011</v>
      </c>
      <c r="G893" s="118">
        <v>5</v>
      </c>
      <c r="H893" s="106">
        <v>1.58</v>
      </c>
      <c r="I893" s="118">
        <v>2</v>
      </c>
      <c r="J893" s="106">
        <v>1.57</v>
      </c>
      <c r="K893" s="118"/>
      <c r="L893" s="106"/>
    </row>
    <row r="894" spans="1:13" x14ac:dyDescent="0.25">
      <c r="A894" s="101"/>
      <c r="B894" s="101" t="s">
        <v>828</v>
      </c>
      <c r="C894" s="101" t="s">
        <v>23</v>
      </c>
      <c r="D894" s="152">
        <f>IFERROR(INDEX('BD Rendimientos'!G:G,MATCH("13.01.02|Cloro|gal|materiales",'BD Rendimientos'!L:L,0)),"")</f>
        <v>1</v>
      </c>
      <c r="E894" s="161">
        <f>IFERROR(INDEX('BD Materiales'!D:D,MATCH("Cloro",'BD Materiales'!B:B,0)),"")</f>
        <v>0.96</v>
      </c>
      <c r="F894" s="170">
        <f>IFERROR(D894*E894,"")</f>
        <v>0.96</v>
      </c>
      <c r="G894" s="120">
        <v>1</v>
      </c>
      <c r="H894" s="108">
        <v>0.96</v>
      </c>
      <c r="I894" s="120"/>
      <c r="J894" s="108"/>
      <c r="K894" s="120"/>
      <c r="L894" s="108"/>
      <c r="M894" s="101" t="s">
        <v>647</v>
      </c>
    </row>
    <row r="895" spans="1:13" x14ac:dyDescent="0.25">
      <c r="A895" s="101"/>
      <c r="B895" s="101" t="s">
        <v>832</v>
      </c>
      <c r="C895" s="101" t="s">
        <v>15</v>
      </c>
      <c r="D895" s="152">
        <f>IFERROR(INDEX('BD Rendimientos'!G:G,MATCH("13.01.02|Costales o saquillos|Uni.|materiales",'BD Rendimientos'!L:L,0)),"")</f>
        <v>54.437869822485212</v>
      </c>
      <c r="E895" s="161">
        <f>IFERROR(INDEX('BD Materiales'!D:D,MATCH("Costales o saquillos",'BD Materiales'!B:B,0)),"")</f>
        <v>0.3</v>
      </c>
      <c r="F895" s="170">
        <f>IFERROR(D895*E895,"")</f>
        <v>16.331360946745562</v>
      </c>
      <c r="G895" s="120"/>
      <c r="H895" s="108"/>
      <c r="I895" s="120"/>
      <c r="J895" s="108"/>
      <c r="K895" s="120">
        <v>92</v>
      </c>
      <c r="L895" s="108">
        <v>0.3</v>
      </c>
      <c r="M895" s="101" t="s">
        <v>647</v>
      </c>
    </row>
    <row r="896" spans="1:13" x14ac:dyDescent="0.25">
      <c r="B896" t="s">
        <v>838</v>
      </c>
      <c r="C896" t="s">
        <v>23</v>
      </c>
      <c r="D896" s="150">
        <f>IFERROR(INDEX('BD Rendimientos'!G:G,MATCH("13.01.02|Desinfectante|gal|materiales",'BD Rendimientos'!L:L,0)),"")</f>
        <v>0.79585798816568043</v>
      </c>
      <c r="E896" s="159">
        <f>IFERROR(INDEX('BD Materiales'!D:D,MATCH("Desinfectante",'BD Materiales'!B:B,0)),"")</f>
        <v>4.5599999999999996</v>
      </c>
      <c r="F896" s="168">
        <f>IFERROR(D896*E896,"")</f>
        <v>3.6291124260355025</v>
      </c>
      <c r="G896" s="118"/>
      <c r="H896" s="106"/>
      <c r="I896" s="118">
        <v>1</v>
      </c>
      <c r="J896" s="106">
        <v>4.5599999999999996</v>
      </c>
      <c r="K896" s="118">
        <v>1</v>
      </c>
      <c r="L896" s="106">
        <v>4.5599999999999996</v>
      </c>
    </row>
    <row r="897" spans="1:13" x14ac:dyDescent="0.25">
      <c r="A897" s="102"/>
      <c r="B897" s="102" t="s">
        <v>842</v>
      </c>
      <c r="C897" s="102" t="s">
        <v>30</v>
      </c>
      <c r="D897" s="153">
        <f>IFERROR(INDEX('BD Rendimientos'!G:G,MATCH("13.01.02|Detergente|Kg.|materiales",'BD Rendimientos'!L:L,0)),"")</f>
        <v>1.0458579881656804</v>
      </c>
      <c r="E897" s="162">
        <f>IFERROR(INDEX('BD Materiales'!D:D,MATCH("Detergente",'BD Materiales'!B:B,0)),"")</f>
        <v>14.475</v>
      </c>
      <c r="F897" s="171">
        <f>IFERROR(D897*E897,"")</f>
        <v>15.138794378698224</v>
      </c>
      <c r="G897" s="121">
        <v>1.5</v>
      </c>
      <c r="H897" s="109">
        <v>1.77</v>
      </c>
      <c r="I897" s="121"/>
      <c r="J897" s="109"/>
      <c r="K897" s="121">
        <v>1</v>
      </c>
      <c r="L897" s="109">
        <v>27.18</v>
      </c>
      <c r="M897" s="102" t="s">
        <v>659</v>
      </c>
    </row>
    <row r="898" spans="1:13" x14ac:dyDescent="0.25">
      <c r="B898" t="s">
        <v>864</v>
      </c>
      <c r="C898" t="s">
        <v>15</v>
      </c>
      <c r="D898" s="150">
        <f>IFERROR(INDEX('BD Rendimientos'!G:G,MATCH("13.01.02|Escoba de coco|Uni.|materiales",'BD Rendimientos'!L:L,0)),"")</f>
        <v>4.6528599605522682</v>
      </c>
      <c r="E898" s="159">
        <f>IFERROR(INDEX('BD Materiales'!D:D,MATCH("Escoba de coco",'BD Materiales'!B:B,0)),"")</f>
        <v>2.4550000000000001</v>
      </c>
      <c r="F898" s="168">
        <f>IFERROR(D898*E898,"")</f>
        <v>11.422771203155818</v>
      </c>
      <c r="G898" s="118">
        <v>4</v>
      </c>
      <c r="H898" s="106">
        <v>1.5249999999999999</v>
      </c>
      <c r="I898" s="118">
        <v>7</v>
      </c>
      <c r="J898" s="106">
        <v>2.89</v>
      </c>
      <c r="K898" s="118">
        <v>5</v>
      </c>
      <c r="L898" s="106">
        <v>2.95</v>
      </c>
    </row>
    <row r="899" spans="1:13" x14ac:dyDescent="0.25">
      <c r="B899" t="s">
        <v>136</v>
      </c>
      <c r="C899" t="s">
        <v>15</v>
      </c>
      <c r="D899" s="150">
        <f>IFERROR(INDEX('BD Rendimientos'!G:G,MATCH("13.01.02|Escoba Negra Industrial Grande (Escoba Negra Industrial Grande 40cm)|Uni.|materiales",'BD Rendimientos'!L:L,0)),"")</f>
        <v>2.2958579881656807</v>
      </c>
      <c r="E899" s="159">
        <f>IFERROR(INDEX('BD Materiales'!D:D,MATCH("Escoba Negra Industrial Grande (Escoba Negra Industrial Grande 40cm)",'BD Materiales'!B:B,0)),"")</f>
        <v>3.335</v>
      </c>
      <c r="F899" s="168">
        <f>IFERROR(D899*E899,"")</f>
        <v>7.6566863905325446</v>
      </c>
      <c r="G899" s="118">
        <v>4</v>
      </c>
      <c r="H899" s="106">
        <v>3.33</v>
      </c>
      <c r="I899" s="118"/>
      <c r="J899" s="106"/>
      <c r="K899" s="118">
        <v>1</v>
      </c>
      <c r="L899" s="106">
        <v>3.34</v>
      </c>
      <c r="M899" t="s">
        <v>1920</v>
      </c>
    </row>
    <row r="900" spans="1:13" x14ac:dyDescent="0.25">
      <c r="A900" s="101"/>
      <c r="B900" s="101" t="s">
        <v>866</v>
      </c>
      <c r="C900" s="101" t="s">
        <v>15</v>
      </c>
      <c r="D900" s="152">
        <f>IFERROR(INDEX('BD Rendimientos'!G:G,MATCH("13.01.02|Escobas Plastico Dura|Uni.|materiales",'BD Rendimientos'!L:L,0)),"")</f>
        <v>1.1834319526627219</v>
      </c>
      <c r="E900" s="161">
        <f>IFERROR(INDEX('BD Materiales'!D:D,MATCH("Escobas Plastico Dura",'BD Materiales'!B:B,0)),"")</f>
        <v>1.99</v>
      </c>
      <c r="F900" s="170">
        <f>IFERROR(D900*E900,"")</f>
        <v>2.3550295857988166</v>
      </c>
      <c r="G900" s="120"/>
      <c r="H900" s="108"/>
      <c r="I900" s="120"/>
      <c r="J900" s="108"/>
      <c r="K900" s="120">
        <v>2</v>
      </c>
      <c r="L900" s="108">
        <v>1.99</v>
      </c>
      <c r="M900" s="101" t="s">
        <v>647</v>
      </c>
    </row>
    <row r="901" spans="1:13" x14ac:dyDescent="0.25">
      <c r="B901" t="s">
        <v>868</v>
      </c>
      <c r="C901" t="s">
        <v>15</v>
      </c>
      <c r="D901" s="150">
        <f>IFERROR(INDEX('BD Rendimientos'!G:G,MATCH("13.01.02|Escobas Plastico Suave|Uni.|materiales",'BD Rendimientos'!L:L,0)),"")</f>
        <v>4.1834319526627217</v>
      </c>
      <c r="E901" s="159">
        <f>IFERROR(INDEX('BD Materiales'!D:D,MATCH("Escobas Plastico Suave",'BD Materiales'!B:B,0)),"")</f>
        <v>1.9466666666666665</v>
      </c>
      <c r="F901" s="168">
        <f>IFERROR(D901*E901,"")</f>
        <v>8.1437475345167645</v>
      </c>
      <c r="G901" s="118">
        <v>5</v>
      </c>
      <c r="H901" s="106">
        <v>1.57</v>
      </c>
      <c r="I901" s="118">
        <v>4</v>
      </c>
      <c r="J901" s="106">
        <v>2.13</v>
      </c>
      <c r="K901" s="118">
        <v>6</v>
      </c>
      <c r="L901" s="106">
        <v>2.14</v>
      </c>
    </row>
    <row r="902" spans="1:13" x14ac:dyDescent="0.25">
      <c r="A902" s="101"/>
      <c r="B902" s="101" t="s">
        <v>870</v>
      </c>
      <c r="C902" s="101" t="s">
        <v>15</v>
      </c>
      <c r="D902" s="152">
        <f>IFERROR(INDEX('BD Rendimientos'!G:G,MATCH("13.01.02|Espatula stanley 3''|Uni.|materiales",'BD Rendimientos'!L:L,0)),"")</f>
        <v>1.1834319526627219</v>
      </c>
      <c r="E902" s="161">
        <f>IFERROR(INDEX('BD Materiales'!D:D,MATCH("Espatula stanley 3''",'BD Materiales'!B:B,0)),"")</f>
        <v>1.67</v>
      </c>
      <c r="F902" s="170">
        <f>IFERROR(D902*E902,"")</f>
        <v>1.9763313609467457</v>
      </c>
      <c r="G902" s="120"/>
      <c r="H902" s="108"/>
      <c r="I902" s="120"/>
      <c r="J902" s="108"/>
      <c r="K902" s="120">
        <v>2</v>
      </c>
      <c r="L902" s="108">
        <v>1.67</v>
      </c>
      <c r="M902" s="101" t="s">
        <v>647</v>
      </c>
    </row>
    <row r="903" spans="1:13" x14ac:dyDescent="0.25">
      <c r="A903" s="101"/>
      <c r="B903" s="101" t="s">
        <v>872</v>
      </c>
      <c r="C903" s="101" t="s">
        <v>15</v>
      </c>
      <c r="D903" s="152">
        <f>IFERROR(INDEX('BD Rendimientos'!G:G,MATCH("13.01.02|Franela|Uni.|materiales",'BD Rendimientos'!L:L,0)),"")</f>
        <v>1.7751479289940828</v>
      </c>
      <c r="E903" s="161">
        <f>IFERROR(INDEX('BD Materiales'!D:D,MATCH("Franela",'BD Materiales'!B:B,0)),"")</f>
        <v>1.18</v>
      </c>
      <c r="F903" s="170">
        <f>IFERROR(D903*E903,"")</f>
        <v>2.0946745562130178</v>
      </c>
      <c r="G903" s="120"/>
      <c r="H903" s="108"/>
      <c r="I903" s="120"/>
      <c r="J903" s="108"/>
      <c r="K903" s="120">
        <v>3</v>
      </c>
      <c r="L903" s="108">
        <v>1.18</v>
      </c>
      <c r="M903" s="101" t="s">
        <v>647</v>
      </c>
    </row>
    <row r="904" spans="1:13" x14ac:dyDescent="0.25">
      <c r="B904" t="s">
        <v>874</v>
      </c>
      <c r="C904" t="s">
        <v>15</v>
      </c>
      <c r="D904" s="150">
        <f>IFERROR(INDEX('BD Rendimientos'!G:G,MATCH("13.01.02|Fundas de Basura|Uni.|materiales",'BD Rendimientos'!L:L,0)),"")</f>
        <v>14</v>
      </c>
      <c r="E904" s="159">
        <f>IFERROR(INDEX('BD Materiales'!D:D,MATCH("Fundas de Basura",'BD Materiales'!B:B,0)),"")</f>
        <v>0.47</v>
      </c>
      <c r="F904" s="168">
        <f>IFERROR(D904*E904,"")</f>
        <v>6.58</v>
      </c>
      <c r="G904" s="118">
        <v>14</v>
      </c>
      <c r="H904" s="106">
        <v>0.48</v>
      </c>
      <c r="I904" s="118">
        <v>14</v>
      </c>
      <c r="J904" s="106">
        <v>0.46</v>
      </c>
      <c r="K904" s="118"/>
      <c r="L904" s="106"/>
    </row>
    <row r="905" spans="1:13" x14ac:dyDescent="0.25">
      <c r="B905" t="s">
        <v>881</v>
      </c>
      <c r="C905" t="s">
        <v>130</v>
      </c>
      <c r="D905" s="150">
        <f>IFERROR(INDEX('BD Rendimientos'!G:G,MATCH("13.01.02|Guaipe|m2|materiales",'BD Rendimientos'!L:L,0)),"")</f>
        <v>15.846153846153847</v>
      </c>
      <c r="E905" s="159">
        <f>IFERROR(INDEX('BD Materiales'!D:D,MATCH("Guaipe",'BD Materiales'!B:B,0)),"")</f>
        <v>0.17</v>
      </c>
      <c r="F905" s="168">
        <f>IFERROR(D905*E905,"")</f>
        <v>2.6938461538461542</v>
      </c>
      <c r="G905" s="118"/>
      <c r="H905" s="106"/>
      <c r="I905" s="118">
        <v>24</v>
      </c>
      <c r="J905" s="106">
        <v>0.17</v>
      </c>
      <c r="K905" s="118">
        <v>13</v>
      </c>
      <c r="L905" s="106">
        <v>0.17</v>
      </c>
      <c r="M905" t="s">
        <v>1920</v>
      </c>
    </row>
    <row r="906" spans="1:13" x14ac:dyDescent="0.25">
      <c r="A906" s="101"/>
      <c r="B906" s="101" t="s">
        <v>893</v>
      </c>
      <c r="C906" s="101" t="s">
        <v>23</v>
      </c>
      <c r="D906" s="152">
        <f>IFERROR(INDEX('BD Rendimientos'!G:G,MATCH("13.01.02|Lavador 100|gal|materiales",'BD Rendimientos'!L:L,0)),"")</f>
        <v>0.59171597633136097</v>
      </c>
      <c r="E906" s="161">
        <f>IFERROR(INDEX('BD Materiales'!D:D,MATCH("Lavador 100",'BD Materiales'!B:B,0)),"")</f>
        <v>8.86</v>
      </c>
      <c r="F906" s="170">
        <f>IFERROR(D906*E906,"")</f>
        <v>5.2426035502958577</v>
      </c>
      <c r="G906" s="120"/>
      <c r="H906" s="108"/>
      <c r="I906" s="120"/>
      <c r="J906" s="108"/>
      <c r="K906" s="120">
        <v>1</v>
      </c>
      <c r="L906" s="108">
        <v>8.86</v>
      </c>
      <c r="M906" s="101" t="s">
        <v>647</v>
      </c>
    </row>
    <row r="907" spans="1:13" x14ac:dyDescent="0.25">
      <c r="A907" s="101"/>
      <c r="B907" s="101" t="s">
        <v>895</v>
      </c>
      <c r="C907" s="101" t="s">
        <v>15</v>
      </c>
      <c r="D907" s="152">
        <f>IFERROR(INDEX('BD Rendimientos'!G:G,MATCH("13.01.02|Lustre Nº 4|Uni.|materiales",'BD Rendimientos'!L:L,0)),"")</f>
        <v>5.0917159763313613</v>
      </c>
      <c r="E907" s="161">
        <f>IFERROR(INDEX('BD Materiales'!D:D,MATCH("Lustre Nº 4",'BD Materiales'!B:B,0)),"")</f>
        <v>0.17</v>
      </c>
      <c r="F907" s="170">
        <f>IFERROR(D907*E907,"")</f>
        <v>0.86559171597633144</v>
      </c>
      <c r="G907" s="120"/>
      <c r="H907" s="108"/>
      <c r="I907" s="120">
        <v>9</v>
      </c>
      <c r="J907" s="108">
        <v>0.17</v>
      </c>
      <c r="K907" s="120">
        <v>2</v>
      </c>
      <c r="L907" s="108"/>
      <c r="M907" s="101" t="s">
        <v>658</v>
      </c>
    </row>
    <row r="908" spans="1:13" x14ac:dyDescent="0.25">
      <c r="B908" t="s">
        <v>128</v>
      </c>
      <c r="C908" t="s">
        <v>15</v>
      </c>
      <c r="D908" s="150">
        <f>IFERROR(INDEX('BD Rendimientos'!G:G,MATCH("13.01.02|Pala Plastica (Pala Plastica de Basura)|Uni.|materiales",'BD Rendimientos'!L:L,0)),"")</f>
        <v>1.5917159763313609</v>
      </c>
      <c r="E908" s="159">
        <f>IFERROR(INDEX('BD Materiales'!D:D,MATCH("Pala Plastica (Pala Plastica de Basura)",'BD Materiales'!B:B,0)),"")</f>
        <v>1.8199999999999998</v>
      </c>
      <c r="F908" s="168">
        <f>IFERROR(D908*E908,"")</f>
        <v>2.8969230769230765</v>
      </c>
      <c r="G908" s="118"/>
      <c r="H908" s="106"/>
      <c r="I908" s="118">
        <v>2</v>
      </c>
      <c r="J908" s="106">
        <v>1.75</v>
      </c>
      <c r="K908" s="118">
        <v>2</v>
      </c>
      <c r="L908" s="106">
        <v>1.89</v>
      </c>
    </row>
    <row r="909" spans="1:13" x14ac:dyDescent="0.25">
      <c r="B909" t="s">
        <v>935</v>
      </c>
      <c r="C909" t="s">
        <v>15</v>
      </c>
      <c r="D909" s="150">
        <f>IFERROR(INDEX('BD Rendimientos'!G:G,MATCH("13.01.02|Paño Multiusos|Uni.|materiales",'BD Rendimientos'!L:L,0)),"")</f>
        <v>5.6627218934911241</v>
      </c>
      <c r="E909" s="159">
        <f>IFERROR(INDEX('BD Materiales'!D:D,MATCH("Paño Multiusos",'BD Materiales'!B:B,0)),"")</f>
        <v>1.38</v>
      </c>
      <c r="F909" s="168">
        <f>IFERROR(D909*E909,"")</f>
        <v>7.8145562130177506</v>
      </c>
      <c r="G909" s="118"/>
      <c r="H909" s="106"/>
      <c r="I909" s="118">
        <v>6</v>
      </c>
      <c r="J909" s="106">
        <v>1.38</v>
      </c>
      <c r="K909" s="118">
        <v>9</v>
      </c>
      <c r="L909" s="106">
        <v>1.38</v>
      </c>
    </row>
    <row r="910" spans="1:13" x14ac:dyDescent="0.25">
      <c r="A910" s="101"/>
      <c r="B910" s="101" t="s">
        <v>1025</v>
      </c>
      <c r="C910" s="101" t="s">
        <v>15</v>
      </c>
      <c r="D910" s="152">
        <f>IFERROR(INDEX('BD Rendimientos'!G:G,MATCH("13.01.02|Thinner Laca|Uni.|materiales",'BD Rendimientos'!L:L,0)),"")</f>
        <v>0.59171597633136097</v>
      </c>
      <c r="E910" s="161">
        <f>IFERROR(INDEX('BD Materiales'!D:D,MATCH("Thinner Laca",'BD Materiales'!B:B,0)),"")</f>
        <v>1.63</v>
      </c>
      <c r="F910" s="170">
        <f>IFERROR(D910*E910,"")</f>
        <v>0.96449704142011827</v>
      </c>
      <c r="G910" s="120"/>
      <c r="H910" s="108"/>
      <c r="I910" s="120"/>
      <c r="J910" s="108"/>
      <c r="K910" s="120">
        <v>1</v>
      </c>
      <c r="L910" s="108">
        <v>1.63</v>
      </c>
      <c r="M910" s="101" t="s">
        <v>647</v>
      </c>
    </row>
    <row r="911" spans="1:13" x14ac:dyDescent="0.25">
      <c r="B911" t="s">
        <v>1033</v>
      </c>
      <c r="C911" t="s">
        <v>15</v>
      </c>
      <c r="D911" s="150">
        <f>IFERROR(INDEX('BD Rendimientos'!G:G,MATCH("13.01.02|Trapeador|Uni.|materiales",'BD Rendimientos'!L:L,0)),"")</f>
        <v>1.2958579881656804</v>
      </c>
      <c r="E911" s="159">
        <f>IFERROR(INDEX('BD Materiales'!D:D,MATCH("Trapeador",'BD Materiales'!B:B,0)),"")</f>
        <v>2.06</v>
      </c>
      <c r="F911" s="168">
        <f>IFERROR(D911*E911,"")</f>
        <v>2.6694674556213016</v>
      </c>
      <c r="G911" s="118"/>
      <c r="H911" s="106"/>
      <c r="I911" s="118">
        <v>2</v>
      </c>
      <c r="J911" s="106">
        <v>1.74</v>
      </c>
      <c r="K911" s="118">
        <v>1</v>
      </c>
      <c r="L911" s="106">
        <v>2.2200000000000002</v>
      </c>
      <c r="M911" t="s">
        <v>1920</v>
      </c>
    </row>
    <row r="912" spans="1:13" x14ac:dyDescent="0.25">
      <c r="A912" s="99" t="s">
        <v>5</v>
      </c>
      <c r="B912" s="99"/>
      <c r="C912" s="99"/>
      <c r="D912" s="149"/>
      <c r="E912" s="158"/>
      <c r="F912" s="167"/>
      <c r="G912" s="117"/>
      <c r="H912" s="105"/>
      <c r="I912" s="117"/>
      <c r="J912" s="105"/>
      <c r="K912" s="117"/>
      <c r="L912" s="105"/>
      <c r="M912" s="99"/>
    </row>
    <row r="913" spans="1:13" x14ac:dyDescent="0.25">
      <c r="A913" s="102"/>
      <c r="B913" s="102" t="s">
        <v>125</v>
      </c>
      <c r="C913" s="102" t="s">
        <v>88</v>
      </c>
      <c r="D913" s="153">
        <f>IFERROR(INDEX('BD Rendimientos'!G:G,MATCH("13.01.02|M. Limpieza Provisional (Durante la obra Material Y Personal)|Glb|mano_obra",'BD Rendimientos'!L:L,0)),"")</f>
        <v>1</v>
      </c>
      <c r="E913" s="162">
        <f>IFERROR(INDEX('BD Mano de Obra'!D:D,MATCH("M. Limpieza Provisional (Durante la obra Material Y Personal)",'BD Mano de Obra'!B:B,0)),"")</f>
        <v>880</v>
      </c>
      <c r="F913" s="171">
        <f>IFERROR(D913*E913,"")</f>
        <v>880</v>
      </c>
      <c r="G913" s="121">
        <v>1</v>
      </c>
      <c r="H913" s="109">
        <v>202.61</v>
      </c>
      <c r="I913" s="121">
        <v>1</v>
      </c>
      <c r="J913" s="109">
        <v>1026.32</v>
      </c>
      <c r="K913" s="121">
        <v>1.69</v>
      </c>
      <c r="L913" s="109">
        <v>880</v>
      </c>
      <c r="M913" s="102" t="s">
        <v>660</v>
      </c>
    </row>
    <row r="914" spans="1:13" x14ac:dyDescent="0.25">
      <c r="A914" s="99" t="s">
        <v>2</v>
      </c>
      <c r="B914" s="99"/>
      <c r="C914" s="99"/>
      <c r="D914" s="149"/>
      <c r="E914" s="158"/>
      <c r="F914" s="167"/>
      <c r="G914" s="117"/>
      <c r="H914" s="105"/>
      <c r="I914" s="117"/>
      <c r="J914" s="105"/>
      <c r="K914" s="117"/>
      <c r="L914" s="105"/>
      <c r="M914" s="99"/>
    </row>
    <row r="915" spans="1:13" x14ac:dyDescent="0.25">
      <c r="A915" s="101"/>
      <c r="B915" s="101" t="s">
        <v>328</v>
      </c>
      <c r="C915" s="101" t="s">
        <v>78</v>
      </c>
      <c r="D915" s="152">
        <f>IFERROR(INDEX('BD Rendimientos'!G:G,MATCH("13.01.02|Alquiler de Maquinaria (retroex (Alquiler de Maquinaria (retroexcavadora))|Hr.|equipo",'BD Rendimientos'!L:L,0)),"")</f>
        <v>5.3254437869822491</v>
      </c>
      <c r="E915" s="161">
        <f>IFERROR(INDEX('BD Equipo'!D:D,MATCH("Alquiler de Maquinaria (retroex (Alquiler de Maquinaria (retroexcavadora))",'BD Equipo'!B:B,0)),"")</f>
        <v>22</v>
      </c>
      <c r="F915" s="170">
        <f>IFERROR(D915*E915,"")</f>
        <v>117.15976331360947</v>
      </c>
      <c r="G915" s="120"/>
      <c r="H915" s="108"/>
      <c r="I915" s="120"/>
      <c r="J915" s="108"/>
      <c r="K915" s="120">
        <v>9</v>
      </c>
      <c r="L915" s="108">
        <v>22</v>
      </c>
      <c r="M915" s="101" t="s">
        <v>647</v>
      </c>
    </row>
    <row r="916" spans="1:13" x14ac:dyDescent="0.25">
      <c r="A916" s="101"/>
      <c r="B916" s="101" t="s">
        <v>563</v>
      </c>
      <c r="C916" s="101" t="s">
        <v>564</v>
      </c>
      <c r="D916" s="152">
        <f>IFERROR(INDEX('BD Rendimientos'!G:G,MATCH("13.01.02|Trans. Desalojo-Escombro Botade (Trans. Desalojo-Escombro Botadero fuera de obra)|viaje|equipo",'BD Rendimientos'!L:L,0)),"")</f>
        <v>1.1834319526627219</v>
      </c>
      <c r="E916" s="161">
        <f>IFERROR(INDEX('BD Equipo'!D:D,MATCH("Trans. Desalojo-Escombro Botade (Trans. Desalojo-Escombro Botadero fuera de obra)",'BD Equipo'!B:B,0)),"")</f>
        <v>35</v>
      </c>
      <c r="F916" s="170">
        <f>IFERROR(D916*E916,"")</f>
        <v>41.42011834319527</v>
      </c>
      <c r="G916" s="120"/>
      <c r="H916" s="108"/>
      <c r="I916" s="120"/>
      <c r="J916" s="108"/>
      <c r="K916" s="120">
        <v>2</v>
      </c>
      <c r="L916" s="108">
        <v>35</v>
      </c>
      <c r="M916" s="101" t="s">
        <v>647</v>
      </c>
    </row>
    <row r="917" spans="1:13" ht="16.5" thickBot="1" x14ac:dyDescent="0.3">
      <c r="A917" s="100"/>
      <c r="B917" s="100" t="s">
        <v>645</v>
      </c>
      <c r="C917" s="100" t="s">
        <v>88</v>
      </c>
      <c r="D917" s="151"/>
      <c r="E917" s="160"/>
      <c r="F917" s="169">
        <f>SUM(F889,F890,F891,F892,F893,F894,F895,F896,F897,F898,F899,F900,F901,F902,F903,F904,F905,F906,F907,F908,F909,F910,F911,F913,F915,F916)</f>
        <v>1152.1418811637081</v>
      </c>
      <c r="G917" s="119"/>
      <c r="H917" s="107">
        <v>250.29499999999999</v>
      </c>
      <c r="I917" s="119"/>
      <c r="J917" s="107">
        <v>1092.47</v>
      </c>
      <c r="K917" s="119"/>
      <c r="L917" s="107">
        <v>1123.00591715976</v>
      </c>
      <c r="M917" s="100" t="s">
        <v>646</v>
      </c>
    </row>
    <row r="918" spans="1:13" ht="16.5" thickTop="1" thickBot="1" x14ac:dyDescent="0.3">
      <c r="D918" s="150"/>
      <c r="E918" s="159"/>
      <c r="F918" s="168"/>
      <c r="G918" s="118"/>
      <c r="H918" s="106"/>
      <c r="I918" s="118"/>
      <c r="J918" s="106"/>
      <c r="K918" s="118"/>
      <c r="L918" s="106"/>
    </row>
    <row r="919" spans="1:13" ht="15.75" thickTop="1" x14ac:dyDescent="0.25">
      <c r="A919" s="97" t="s">
        <v>124</v>
      </c>
      <c r="B919" s="97" t="s">
        <v>123</v>
      </c>
      <c r="C919" s="97" t="s">
        <v>122</v>
      </c>
      <c r="D919" s="148" t="s">
        <v>635</v>
      </c>
      <c r="E919" s="157" t="s">
        <v>636</v>
      </c>
      <c r="F919" s="166" t="s">
        <v>637</v>
      </c>
      <c r="G919" s="116" t="s">
        <v>638</v>
      </c>
      <c r="H919" s="104" t="s">
        <v>639</v>
      </c>
      <c r="I919" s="116" t="s">
        <v>640</v>
      </c>
      <c r="J919" s="104" t="s">
        <v>641</v>
      </c>
      <c r="K919" s="116" t="s">
        <v>642</v>
      </c>
      <c r="L919" s="104" t="s">
        <v>643</v>
      </c>
      <c r="M919" s="97" t="s">
        <v>644</v>
      </c>
    </row>
    <row r="920" spans="1:13" x14ac:dyDescent="0.25">
      <c r="A920" s="99" t="s">
        <v>11</v>
      </c>
      <c r="B920" s="99"/>
      <c r="C920" s="99"/>
      <c r="D920" s="149"/>
      <c r="E920" s="158"/>
      <c r="F920" s="167"/>
      <c r="G920" s="117"/>
      <c r="H920" s="105"/>
      <c r="I920" s="117"/>
      <c r="J920" s="105"/>
      <c r="K920" s="117"/>
      <c r="L920" s="105"/>
      <c r="M920" s="99"/>
    </row>
    <row r="921" spans="1:13" x14ac:dyDescent="0.25">
      <c r="A921" s="101"/>
      <c r="B921" s="101" t="s">
        <v>832</v>
      </c>
      <c r="C921" s="101" t="s">
        <v>15</v>
      </c>
      <c r="D921" s="152">
        <f>IFERROR(INDEX('BD Rendimientos'!G:G,MATCH("13.01.03|Costales o saquillos|Uni.|materiales",'BD Rendimientos'!L:L,0)),"")</f>
        <v>0.93989611674499129</v>
      </c>
      <c r="E921" s="161">
        <f>IFERROR(INDEX('BD Materiales'!D:D,MATCH("Costales o saquillos",'BD Materiales'!B:B,0)),"")</f>
        <v>0.3</v>
      </c>
      <c r="F921" s="170">
        <f>IFERROR(D921*E921,"")</f>
        <v>0.2819688350234974</v>
      </c>
      <c r="G921" s="120"/>
      <c r="H921" s="108"/>
      <c r="I921" s="120"/>
      <c r="J921" s="108"/>
      <c r="K921" s="120">
        <v>38</v>
      </c>
      <c r="L921" s="108">
        <v>0.3</v>
      </c>
      <c r="M921" s="101" t="s">
        <v>647</v>
      </c>
    </row>
    <row r="922" spans="1:13" x14ac:dyDescent="0.25">
      <c r="A922" s="99" t="s">
        <v>2</v>
      </c>
      <c r="B922" s="99"/>
      <c r="C922" s="99"/>
      <c r="D922" s="149"/>
      <c r="E922" s="158"/>
      <c r="F922" s="167"/>
      <c r="G922" s="117"/>
      <c r="H922" s="105"/>
      <c r="I922" s="117"/>
      <c r="J922" s="105"/>
      <c r="K922" s="117"/>
      <c r="L922" s="105"/>
      <c r="M922" s="99"/>
    </row>
    <row r="923" spans="1:13" x14ac:dyDescent="0.25">
      <c r="B923" t="s">
        <v>523</v>
      </c>
      <c r="C923" t="s">
        <v>122</v>
      </c>
      <c r="D923" s="150">
        <f>IFERROR(INDEX('BD Rendimientos'!G:G,MATCH("13.01.03|Transporte Limpieza Y Desalojo De Escombros + tickets emgirs|Viaje|equipo",'BD Rendimientos'!L:L,0)),"")</f>
        <v>1</v>
      </c>
      <c r="E923" s="159">
        <f>IFERROR(INDEX('BD Equipo'!D:D,MATCH("Transporte Limpieza Y Desalojo De Escombros + tickets emgirs",'BD Equipo'!B:B,0)),"")</f>
        <v>36.43</v>
      </c>
      <c r="F923" s="168">
        <f>IFERROR(D923*E923,"")</f>
        <v>36.43</v>
      </c>
      <c r="G923" s="118">
        <v>14</v>
      </c>
      <c r="H923" s="106">
        <v>39.29</v>
      </c>
      <c r="I923" s="118">
        <v>21</v>
      </c>
      <c r="J923" s="106">
        <v>35</v>
      </c>
      <c r="K923" s="118">
        <v>40.43</v>
      </c>
      <c r="L923" s="106">
        <v>35</v>
      </c>
    </row>
    <row r="924" spans="1:13" x14ac:dyDescent="0.25">
      <c r="B924" t="s">
        <v>1219</v>
      </c>
      <c r="C924" t="s">
        <v>78</v>
      </c>
      <c r="D924" s="150">
        <f>IFERROR(INDEX('BD Rendimientos'!G:G,MATCH("13.01.03|Horas Maquinas Retroexcavadora|Hr.|equipo",'BD Rendimientos'!L:L,0)),"")</f>
        <v>0.82018303240168189</v>
      </c>
      <c r="E924" s="159">
        <f>IFERROR(INDEX('BD Equipo'!D:D,MATCH("Horas Maquinas Retroexcavadora",'BD Equipo'!B:B,0)),"")</f>
        <v>22.428750000000001</v>
      </c>
      <c r="F924" s="168">
        <f>IFERROR(D924*E924,"")</f>
        <v>18.395680187979224</v>
      </c>
      <c r="G924" s="118">
        <v>7</v>
      </c>
      <c r="H924" s="106">
        <v>22.43</v>
      </c>
      <c r="I924" s="118">
        <v>38</v>
      </c>
      <c r="J924" s="106">
        <v>22</v>
      </c>
      <c r="K924" s="118">
        <v>33.159999999999997</v>
      </c>
      <c r="L924" s="106">
        <v>22</v>
      </c>
      <c r="M924" t="s">
        <v>1920</v>
      </c>
    </row>
    <row r="925" spans="1:13" ht="16.5" thickBot="1" x14ac:dyDescent="0.3">
      <c r="A925" s="100"/>
      <c r="B925" s="100" t="s">
        <v>645</v>
      </c>
      <c r="C925" s="100" t="s">
        <v>122</v>
      </c>
      <c r="D925" s="151"/>
      <c r="E925" s="160"/>
      <c r="F925" s="169">
        <f>SUM(F921,F923,F924)</f>
        <v>55.107649023002722</v>
      </c>
      <c r="G925" s="119"/>
      <c r="H925" s="107">
        <v>50.505000000000003</v>
      </c>
      <c r="I925" s="119"/>
      <c r="J925" s="107">
        <v>74.809523809523796</v>
      </c>
      <c r="K925" s="119"/>
      <c r="L925" s="107">
        <v>53.325995547860501</v>
      </c>
      <c r="M925" s="100" t="s">
        <v>646</v>
      </c>
    </row>
    <row r="926" spans="1:13" ht="16.5" thickTop="1" thickBot="1" x14ac:dyDescent="0.3">
      <c r="D926" s="150"/>
      <c r="E926" s="159"/>
      <c r="F926" s="168"/>
      <c r="G926" s="118"/>
      <c r="H926" s="106"/>
      <c r="I926" s="118"/>
      <c r="J926" s="106"/>
      <c r="K926" s="118"/>
      <c r="L926" s="106"/>
    </row>
    <row r="927" spans="1:13" ht="15.75" thickTop="1" x14ac:dyDescent="0.25">
      <c r="A927" s="177" t="s">
        <v>524</v>
      </c>
      <c r="B927" s="177" t="s">
        <v>525</v>
      </c>
      <c r="C927" s="177" t="s">
        <v>130</v>
      </c>
      <c r="D927" s="178" t="s">
        <v>635</v>
      </c>
      <c r="E927" s="179" t="s">
        <v>636</v>
      </c>
      <c r="F927" s="180" t="s">
        <v>637</v>
      </c>
      <c r="G927" s="181" t="s">
        <v>638</v>
      </c>
      <c r="H927" s="182" t="s">
        <v>639</v>
      </c>
      <c r="I927" s="181" t="s">
        <v>640</v>
      </c>
      <c r="J927" s="182" t="s">
        <v>641</v>
      </c>
      <c r="K927" s="181" t="s">
        <v>642</v>
      </c>
      <c r="L927" s="182" t="s">
        <v>643</v>
      </c>
      <c r="M927" s="177" t="s">
        <v>1932</v>
      </c>
    </row>
    <row r="928" spans="1:13" x14ac:dyDescent="0.25">
      <c r="A928" s="99" t="s">
        <v>11</v>
      </c>
      <c r="B928" s="99"/>
      <c r="C928" s="99"/>
      <c r="D928" s="149"/>
      <c r="E928" s="158"/>
      <c r="F928" s="167"/>
      <c r="G928" s="117"/>
      <c r="H928" s="105"/>
      <c r="I928" s="117"/>
      <c r="J928" s="105"/>
      <c r="K928" s="117"/>
      <c r="L928" s="105"/>
      <c r="M928" s="99"/>
    </row>
    <row r="929" spans="1:13" x14ac:dyDescent="0.25">
      <c r="A929" s="101"/>
      <c r="B929" s="101" t="s">
        <v>713</v>
      </c>
      <c r="C929" s="101" t="s">
        <v>130</v>
      </c>
      <c r="D929" s="152">
        <f>IFERROR(INDEX('BD Rendimientos'!G:G,MATCH("13.01.04|Alfombra atrapamugre|m2|materiales",'BD Rendimientos'!L:L,0)),"")</f>
        <v>0</v>
      </c>
      <c r="E929" s="161">
        <f>IFERROR(INDEX('BD Materiales'!D:D,MATCH("Alfombra atrapamugre",'BD Materiales'!B:B,0)),"")</f>
        <v>17.32</v>
      </c>
      <c r="F929" s="170">
        <f>IFERROR(D929*E929,"")</f>
        <v>0</v>
      </c>
      <c r="G929" s="120"/>
      <c r="H929" s="108"/>
      <c r="I929" s="120"/>
      <c r="J929" s="108"/>
      <c r="K929" s="120">
        <v>5</v>
      </c>
      <c r="L929" s="108">
        <v>17.32</v>
      </c>
      <c r="M929" s="101" t="s">
        <v>647</v>
      </c>
    </row>
    <row r="930" spans="1:13" x14ac:dyDescent="0.25">
      <c r="A930" s="101"/>
      <c r="B930" s="101" t="s">
        <v>526</v>
      </c>
      <c r="C930" s="101" t="s">
        <v>15</v>
      </c>
      <c r="D930" s="152">
        <f>IFERROR(INDEX('BD Rendimientos'!G:G,MATCH("13.01.04|Brocha 3""|Uni.|materiales",'BD Rendimientos'!L:L,0)),"")</f>
        <v>0</v>
      </c>
      <c r="E930" s="161">
        <f>IFERROR(INDEX('BD Materiales'!D:D,MATCH("Brocha 3""",'BD Materiales'!B:B,0)),"")</f>
        <v>1.07</v>
      </c>
      <c r="F930" s="170">
        <f>IFERROR(D930*E930,"")</f>
        <v>0</v>
      </c>
      <c r="G930" s="120"/>
      <c r="H930" s="108"/>
      <c r="I930" s="120">
        <v>1</v>
      </c>
      <c r="J930" s="108">
        <v>2.0099999999999998</v>
      </c>
      <c r="K930" s="120"/>
      <c r="L930" s="108"/>
      <c r="M930" s="101" t="s">
        <v>647</v>
      </c>
    </row>
    <row r="931" spans="1:13" x14ac:dyDescent="0.25">
      <c r="A931" s="101"/>
      <c r="B931" s="101" t="s">
        <v>881</v>
      </c>
      <c r="C931" s="101" t="s">
        <v>15</v>
      </c>
      <c r="D931" s="152">
        <f>IFERROR(INDEX('BD Rendimientos'!G:G,MATCH("13.01.04|Guaipe|Uni.|materiales",'BD Rendimientos'!L:L,0)),"")</f>
        <v>0</v>
      </c>
      <c r="E931" s="161">
        <f>IFERROR(INDEX('BD Materiales'!D:D,MATCH("Guaipe",'BD Materiales'!B:B,0)),"")</f>
        <v>0.17</v>
      </c>
      <c r="F931" s="170">
        <f>IFERROR(D931*E931,"")</f>
        <v>0</v>
      </c>
      <c r="G931" s="120"/>
      <c r="H931" s="108"/>
      <c r="I931" s="120"/>
      <c r="J931" s="108"/>
      <c r="K931" s="120">
        <v>7</v>
      </c>
      <c r="L931" s="108">
        <v>0.17</v>
      </c>
      <c r="M931" s="101" t="s">
        <v>647</v>
      </c>
    </row>
    <row r="932" spans="1:13" x14ac:dyDescent="0.25">
      <c r="A932" s="101"/>
      <c r="B932" s="101" t="s">
        <v>1033</v>
      </c>
      <c r="C932" s="101" t="s">
        <v>15</v>
      </c>
      <c r="D932" s="152">
        <f>IFERROR(INDEX('BD Rendimientos'!G:G,MATCH("13.01.04|Trapeador|Uni.|materiales",'BD Rendimientos'!L:L,0)),"")</f>
        <v>0</v>
      </c>
      <c r="E932" s="161">
        <f>IFERROR(INDEX('BD Materiales'!D:D,MATCH("Trapeador",'BD Materiales'!B:B,0)),"")</f>
        <v>2.06</v>
      </c>
      <c r="F932" s="170">
        <f>IFERROR(D932*E932,"")</f>
        <v>0</v>
      </c>
      <c r="G932" s="120"/>
      <c r="H932" s="108"/>
      <c r="I932" s="120"/>
      <c r="J932" s="108"/>
      <c r="K932" s="120">
        <v>1</v>
      </c>
      <c r="L932" s="108">
        <v>2.2200000000000002</v>
      </c>
      <c r="M932" s="101" t="s">
        <v>647</v>
      </c>
    </row>
    <row r="933" spans="1:13" x14ac:dyDescent="0.25">
      <c r="A933" s="99" t="s">
        <v>2</v>
      </c>
      <c r="B933" s="99"/>
      <c r="C933" s="99"/>
      <c r="D933" s="149"/>
      <c r="E933" s="158"/>
      <c r="F933" s="167"/>
      <c r="G933" s="117"/>
      <c r="H933" s="105"/>
      <c r="I933" s="117"/>
      <c r="J933" s="105"/>
      <c r="K933" s="117"/>
      <c r="L933" s="105"/>
      <c r="M933" s="99"/>
    </row>
    <row r="934" spans="1:13" x14ac:dyDescent="0.25">
      <c r="A934" s="101"/>
      <c r="B934" s="101" t="s">
        <v>1176</v>
      </c>
      <c r="C934" s="101" t="s">
        <v>15</v>
      </c>
      <c r="D934" s="152">
        <f>IFERROR(INDEX('BD Rendimientos'!G:G,MATCH("13.01.04|Alquiler Andamio|Uni.|equipo",'BD Rendimientos'!L:L,0)),"")</f>
        <v>0</v>
      </c>
      <c r="E934" s="161">
        <f>IFERROR(INDEX('BD Equipo'!D:D,MATCH("Alquiler Andamio",'BD Equipo'!B:B,0)),"")</f>
        <v>0.35957142857142865</v>
      </c>
      <c r="F934" s="170">
        <f>IFERROR(D934*E934,"")</f>
        <v>0</v>
      </c>
      <c r="G934" s="120"/>
      <c r="H934" s="108"/>
      <c r="I934" s="120">
        <v>180</v>
      </c>
      <c r="J934" s="108">
        <v>0.36</v>
      </c>
      <c r="K934" s="120"/>
      <c r="L934" s="108"/>
      <c r="M934" s="101" t="s">
        <v>647</v>
      </c>
    </row>
    <row r="935" spans="1:13" x14ac:dyDescent="0.25">
      <c r="A935" s="101"/>
      <c r="B935" s="101" t="s">
        <v>1198</v>
      </c>
      <c r="C935" s="101" t="s">
        <v>15</v>
      </c>
      <c r="D935" s="152">
        <f>IFERROR(INDEX('BD Rendimientos'!G:G,MATCH("13.01.04|Alquiler de Tablones|Uni.|equipo",'BD Rendimientos'!L:L,0)),"")</f>
        <v>0</v>
      </c>
      <c r="E935" s="161">
        <f>IFERROR(INDEX('BD Equipo'!D:D,MATCH("Alquiler de Tablones",'BD Equipo'!B:B,0)),"")</f>
        <v>8.9948260869565241E-2</v>
      </c>
      <c r="F935" s="170">
        <f>IFERROR(D935*E935,"")</f>
        <v>0</v>
      </c>
      <c r="G935" s="120"/>
      <c r="H935" s="108"/>
      <c r="I935" s="120">
        <v>180</v>
      </c>
      <c r="J935" s="108">
        <v>0.09</v>
      </c>
      <c r="K935" s="120"/>
      <c r="L935" s="108"/>
      <c r="M935" s="101" t="s">
        <v>647</v>
      </c>
    </row>
    <row r="936" spans="1:13" ht="16.5" thickBot="1" x14ac:dyDescent="0.3">
      <c r="A936" s="183"/>
      <c r="B936" s="183" t="s">
        <v>645</v>
      </c>
      <c r="C936" s="183" t="s">
        <v>130</v>
      </c>
      <c r="D936" s="184"/>
      <c r="E936" s="185"/>
      <c r="F936" s="186">
        <f>SUM(F929,F930,F931,F932,F934,F935)</f>
        <v>0</v>
      </c>
      <c r="G936" s="187"/>
      <c r="H936" s="188"/>
      <c r="I936" s="187"/>
      <c r="J936" s="188"/>
      <c r="K936" s="187"/>
      <c r="L936" s="188"/>
      <c r="M936" s="183" t="s">
        <v>646</v>
      </c>
    </row>
    <row r="937" spans="1:13" ht="16.5" thickTop="1" thickBot="1" x14ac:dyDescent="0.3">
      <c r="D937" s="150"/>
      <c r="E937" s="159"/>
      <c r="F937" s="168"/>
      <c r="G937" s="118"/>
      <c r="H937" s="106"/>
      <c r="I937" s="118"/>
      <c r="J937" s="106"/>
      <c r="K937" s="118"/>
      <c r="L937" s="106"/>
    </row>
    <row r="938" spans="1:13" ht="15.75" thickTop="1" x14ac:dyDescent="0.25">
      <c r="A938" s="177" t="s">
        <v>121</v>
      </c>
      <c r="B938" s="177" t="s">
        <v>120</v>
      </c>
      <c r="C938" s="177" t="s">
        <v>88</v>
      </c>
      <c r="D938" s="178" t="s">
        <v>635</v>
      </c>
      <c r="E938" s="179" t="s">
        <v>636</v>
      </c>
      <c r="F938" s="180" t="s">
        <v>637</v>
      </c>
      <c r="G938" s="181" t="s">
        <v>638</v>
      </c>
      <c r="H938" s="182" t="s">
        <v>639</v>
      </c>
      <c r="I938" s="181" t="s">
        <v>640</v>
      </c>
      <c r="J938" s="182" t="s">
        <v>641</v>
      </c>
      <c r="K938" s="181" t="s">
        <v>642</v>
      </c>
      <c r="L938" s="182" t="s">
        <v>643</v>
      </c>
      <c r="M938" s="177" t="s">
        <v>1932</v>
      </c>
    </row>
    <row r="939" spans="1:13" x14ac:dyDescent="0.25">
      <c r="A939" s="99" t="s">
        <v>2</v>
      </c>
      <c r="B939" s="99"/>
      <c r="C939" s="99"/>
      <c r="D939" s="149"/>
      <c r="E939" s="158"/>
      <c r="F939" s="167"/>
      <c r="G939" s="117"/>
      <c r="H939" s="105"/>
      <c r="I939" s="117"/>
      <c r="J939" s="105"/>
      <c r="K939" s="117"/>
      <c r="L939" s="105"/>
      <c r="M939" s="99"/>
    </row>
    <row r="940" spans="1:13" x14ac:dyDescent="0.25">
      <c r="A940" s="101"/>
      <c r="B940" s="101" t="s">
        <v>566</v>
      </c>
      <c r="C940" s="101" t="s">
        <v>15</v>
      </c>
      <c r="D940" s="152">
        <f>IFERROR(INDEX('BD Rendimientos'!G:G,MATCH("13.01.05|Arnes de Seguridad + cuerda 3P. (Arnes de Seguridad + 3P Fijacion total)|Uni.|equipo",'BD Rendimientos'!L:L,0)),"")</f>
        <v>0</v>
      </c>
      <c r="E940" s="161">
        <f>IFERROR(INDEX('BD Equipo'!D:D,MATCH("Arnes de Seguridad + cuerda 3P. (Arnes de Seguridad + 3P Fijacion total)",'BD Equipo'!B:B,0)),"")</f>
        <v>49.88</v>
      </c>
      <c r="F940" s="170">
        <f>IFERROR(D940*E940,"")</f>
        <v>0</v>
      </c>
      <c r="G940" s="120"/>
      <c r="H940" s="108"/>
      <c r="I940" s="120"/>
      <c r="J940" s="108"/>
      <c r="K940" s="120">
        <v>4</v>
      </c>
      <c r="L940" s="108">
        <v>49.88</v>
      </c>
      <c r="M940" s="101" t="s">
        <v>647</v>
      </c>
    </row>
    <row r="941" spans="1:13" x14ac:dyDescent="0.25">
      <c r="A941" s="102"/>
      <c r="B941" s="102" t="s">
        <v>1205</v>
      </c>
      <c r="C941" s="102" t="s">
        <v>15</v>
      </c>
      <c r="D941" s="153">
        <f>IFERROR(INDEX('BD Rendimientos'!G:G,MATCH("13.01.05|Casco|Uni.|equipo",'BD Rendimientos'!L:L,0)),"")</f>
        <v>0</v>
      </c>
      <c r="E941" s="162">
        <f>IFERROR(INDEX('BD Equipo'!D:D,MATCH("Casco",'BD Equipo'!B:B,0)),"")</f>
        <v>4.13</v>
      </c>
      <c r="F941" s="171">
        <f>IFERROR(D941*E941,"")</f>
        <v>0</v>
      </c>
      <c r="G941" s="121">
        <v>2</v>
      </c>
      <c r="H941" s="109">
        <v>9.52</v>
      </c>
      <c r="I941" s="121">
        <v>1</v>
      </c>
      <c r="J941" s="109">
        <v>4.13</v>
      </c>
      <c r="K941" s="121">
        <v>4</v>
      </c>
      <c r="L941" s="109">
        <v>4.12</v>
      </c>
      <c r="M941" s="102" t="s">
        <v>661</v>
      </c>
    </row>
    <row r="942" spans="1:13" x14ac:dyDescent="0.25">
      <c r="B942" t="s">
        <v>1208</v>
      </c>
      <c r="C942" t="s">
        <v>102</v>
      </c>
      <c r="D942" s="150">
        <f>IFERROR(INDEX('BD Rendimientos'!G:G,MATCH("13.01.05|Cinta amarilla Precaución 200MT|mts.|equipo",'BD Rendimientos'!L:L,0)),"")</f>
        <v>0</v>
      </c>
      <c r="E942" s="159">
        <f>IFERROR(INDEX('BD Equipo'!D:D,MATCH("Cinta amarilla Precaución 200MT",'BD Equipo'!B:B,0)),"")</f>
        <v>2.1700000000000001E-2</v>
      </c>
      <c r="F942" s="168">
        <f>IFERROR(D942*E942,"")</f>
        <v>0</v>
      </c>
      <c r="G942" s="118">
        <v>250</v>
      </c>
      <c r="H942" s="106">
        <v>1.6400000000000001E-2</v>
      </c>
      <c r="I942" s="118">
        <v>200</v>
      </c>
      <c r="J942" s="106">
        <v>2.2200000000000001E-2</v>
      </c>
      <c r="K942" s="118">
        <v>760</v>
      </c>
      <c r="L942" s="106">
        <v>2.6499999999999999E-2</v>
      </c>
    </row>
    <row r="943" spans="1:13" x14ac:dyDescent="0.25">
      <c r="A943" s="102"/>
      <c r="B943" s="102" t="s">
        <v>1210</v>
      </c>
      <c r="C943" s="102" t="s">
        <v>15</v>
      </c>
      <c r="D943" s="153">
        <f>IFERROR(INDEX('BD Rendimientos'!G:G,MATCH("13.01.05|Gafa Transparente Reforzada|Uni.|equipo",'BD Rendimientos'!L:L,0)),"")</f>
        <v>0</v>
      </c>
      <c r="E943" s="162">
        <f>IFERROR(INDEX('BD Equipo'!D:D,MATCH("Gafa Transparente Reforzada",'BD Equipo'!B:B,0)),"")</f>
        <v>1.1499999999999999</v>
      </c>
      <c r="F943" s="171">
        <f>IFERROR(D943*E943,"")</f>
        <v>0</v>
      </c>
      <c r="G943" s="121"/>
      <c r="H943" s="109"/>
      <c r="I943" s="121">
        <v>3</v>
      </c>
      <c r="J943" s="109">
        <v>1.82</v>
      </c>
      <c r="K943" s="121">
        <v>6</v>
      </c>
      <c r="L943" s="109">
        <v>0.48</v>
      </c>
      <c r="M943" s="102" t="s">
        <v>662</v>
      </c>
    </row>
    <row r="944" spans="1:13" x14ac:dyDescent="0.25">
      <c r="B944" t="s">
        <v>1215</v>
      </c>
      <c r="C944" t="s">
        <v>114</v>
      </c>
      <c r="D944" s="150">
        <f>IFERROR(INDEX('BD Rendimientos'!G:G,MATCH("13.01.05|Guantes de Caucho|pr|equipo",'BD Rendimientos'!L:L,0)),"")</f>
        <v>0</v>
      </c>
      <c r="E944" s="159">
        <f>IFERROR(INDEX('BD Equipo'!D:D,MATCH("Guantes de Caucho",'BD Equipo'!B:B,0)),"")</f>
        <v>1.22</v>
      </c>
      <c r="F944" s="168">
        <f>IFERROR(D944*E944,"")</f>
        <v>0</v>
      </c>
      <c r="G944" s="118"/>
      <c r="H944" s="106"/>
      <c r="I944" s="118">
        <v>29</v>
      </c>
      <c r="J944" s="106">
        <v>1.1599999999999999</v>
      </c>
      <c r="K944" s="118">
        <v>27</v>
      </c>
      <c r="L944" s="106">
        <v>1.28</v>
      </c>
    </row>
    <row r="945" spans="1:13" x14ac:dyDescent="0.25">
      <c r="B945" t="s">
        <v>1213</v>
      </c>
      <c r="C945" t="s">
        <v>15</v>
      </c>
      <c r="D945" s="150">
        <f>IFERROR(INDEX('BD Rendimientos'!G:G,MATCH("13.01.05|Guante de Cuero Operador|Uni.|equipo",'BD Rendimientos'!L:L,0)),"")</f>
        <v>0</v>
      </c>
      <c r="E945" s="159">
        <f>IFERROR(INDEX('BD Equipo'!D:D,MATCH("Guante de Cuero Operador",'BD Equipo'!B:B,0)),"")</f>
        <v>1.4566666666666668</v>
      </c>
      <c r="F945" s="168">
        <f>IFERROR(D945*E945,"")</f>
        <v>0</v>
      </c>
      <c r="G945" s="118">
        <v>15</v>
      </c>
      <c r="H945" s="106">
        <v>1.43</v>
      </c>
      <c r="I945" s="118">
        <v>40</v>
      </c>
      <c r="J945" s="106">
        <v>1.47</v>
      </c>
      <c r="K945" s="118">
        <v>102</v>
      </c>
      <c r="L945" s="106">
        <v>1.47</v>
      </c>
    </row>
    <row r="946" spans="1:13" x14ac:dyDescent="0.25">
      <c r="A946" s="101"/>
      <c r="B946" s="101" t="s">
        <v>113</v>
      </c>
      <c r="C946" s="101" t="s">
        <v>15</v>
      </c>
      <c r="D946" s="152">
        <f>IFERROR(INDEX('BD Rendimientos'!G:G,MATCH("13.01.05|Mascara Para Esmerilar Reforzad (ascara Para Esmerilar Reforzada)|Uni.|equipo",'BD Rendimientos'!L:L,0)),"")</f>
        <v>0</v>
      </c>
      <c r="E946" s="161">
        <f>IFERROR(INDEX('BD Equipo'!D:D,MATCH("Mascara Para Esmerilar Reforzad (ascara Para Esmerilar Reforzada)",'BD Equipo'!B:B,0)),"")</f>
        <v>4.13</v>
      </c>
      <c r="F946" s="170">
        <f>IFERROR(D946*E946,"")</f>
        <v>0</v>
      </c>
      <c r="G946" s="120"/>
      <c r="H946" s="108"/>
      <c r="I946" s="120">
        <v>1</v>
      </c>
      <c r="J946" s="108">
        <v>4.13</v>
      </c>
      <c r="K946" s="120"/>
      <c r="L946" s="108"/>
      <c r="M946" s="101" t="s">
        <v>647</v>
      </c>
    </row>
    <row r="947" spans="1:13" ht="16.5" thickBot="1" x14ac:dyDescent="0.3">
      <c r="A947" s="183"/>
      <c r="B947" s="183" t="s">
        <v>645</v>
      </c>
      <c r="C947" s="183" t="s">
        <v>88</v>
      </c>
      <c r="D947" s="184"/>
      <c r="E947" s="185"/>
      <c r="F947" s="186">
        <f>SUM(F940,F941,F942,F943,F944,F945,F946)</f>
        <v>0</v>
      </c>
      <c r="G947" s="187"/>
      <c r="H947" s="188"/>
      <c r="I947" s="187"/>
      <c r="J947" s="188"/>
      <c r="K947" s="187"/>
      <c r="L947" s="188"/>
      <c r="M947" s="183" t="s">
        <v>646</v>
      </c>
    </row>
    <row r="948" spans="1:13" ht="16.5" thickTop="1" thickBot="1" x14ac:dyDescent="0.3">
      <c r="D948" s="150"/>
      <c r="E948" s="159"/>
      <c r="F948" s="168"/>
      <c r="G948" s="118"/>
      <c r="H948" s="106"/>
      <c r="I948" s="118"/>
      <c r="J948" s="106"/>
      <c r="K948" s="118"/>
      <c r="L948" s="106"/>
    </row>
    <row r="949" spans="1:13" ht="15.75" thickTop="1" x14ac:dyDescent="0.25">
      <c r="A949" s="97" t="s">
        <v>112</v>
      </c>
      <c r="B949" s="97" t="s">
        <v>111</v>
      </c>
      <c r="C949" s="97" t="s">
        <v>88</v>
      </c>
      <c r="D949" s="148" t="s">
        <v>635</v>
      </c>
      <c r="E949" s="157" t="s">
        <v>636</v>
      </c>
      <c r="F949" s="166" t="s">
        <v>637</v>
      </c>
      <c r="G949" s="116" t="s">
        <v>638</v>
      </c>
      <c r="H949" s="104" t="s">
        <v>639</v>
      </c>
      <c r="I949" s="116" t="s">
        <v>640</v>
      </c>
      <c r="J949" s="104" t="s">
        <v>641</v>
      </c>
      <c r="K949" s="116" t="s">
        <v>642</v>
      </c>
      <c r="L949" s="104" t="s">
        <v>643</v>
      </c>
      <c r="M949" s="97" t="s">
        <v>644</v>
      </c>
    </row>
    <row r="950" spans="1:13" x14ac:dyDescent="0.25">
      <c r="A950" s="99" t="s">
        <v>11</v>
      </c>
      <c r="B950" s="99"/>
      <c r="C950" s="99"/>
      <c r="D950" s="149"/>
      <c r="E950" s="158"/>
      <c r="F950" s="167"/>
      <c r="G950" s="117"/>
      <c r="H950" s="105"/>
      <c r="I950" s="117"/>
      <c r="J950" s="105"/>
      <c r="K950" s="117"/>
      <c r="L950" s="105"/>
      <c r="M950" s="99"/>
    </row>
    <row r="951" spans="1:13" x14ac:dyDescent="0.25">
      <c r="A951" s="101"/>
      <c r="B951" s="101" t="s">
        <v>693</v>
      </c>
      <c r="C951" s="101" t="s">
        <v>15</v>
      </c>
      <c r="D951" s="152">
        <f>IFERROR(INDEX('BD Rendimientos'!G:G,MATCH("13.01.09|Aceite Multiuso 3 en 1|Uni.|materiales",'BD Rendimientos'!L:L,0)),"")</f>
        <v>0.5</v>
      </c>
      <c r="E951" s="161">
        <f>IFERROR(INDEX('BD Materiales'!D:D,MATCH("Aceite Multiuso 3 en 1",'BD Materiales'!B:B,0)),"")</f>
        <v>1.18</v>
      </c>
      <c r="F951" s="170">
        <f>IFERROR(D951*E951,"")</f>
        <v>0.59</v>
      </c>
      <c r="G951" s="120"/>
      <c r="H951" s="108"/>
      <c r="I951" s="120"/>
      <c r="J951" s="108"/>
      <c r="K951" s="120">
        <v>1</v>
      </c>
      <c r="L951" s="108">
        <v>1.18</v>
      </c>
      <c r="M951" s="101" t="s">
        <v>647</v>
      </c>
    </row>
    <row r="952" spans="1:13" x14ac:dyDescent="0.25">
      <c r="B952" t="s">
        <v>715</v>
      </c>
      <c r="C952" t="s">
        <v>15</v>
      </c>
      <c r="D952" s="150">
        <f>IFERROR(INDEX('BD Rendimientos'!G:G,MATCH("13.01.09|Amoladora 9"" DWE496-B3 Dewalt|Uni.|materiales",'BD Rendimientos'!L:L,0)),"")</f>
        <v>1</v>
      </c>
      <c r="E952" s="159">
        <f>IFERROR(INDEX('BD Materiales'!D:D,MATCH("Amoladora 9"" DWE496-B3 Dewalt",'BD Materiales'!B:B,0)),"")</f>
        <v>137.95499999999998</v>
      </c>
      <c r="F952" s="168">
        <f>IFERROR(D952*E952,"")</f>
        <v>137.95499999999998</v>
      </c>
      <c r="G952" s="118"/>
      <c r="H952" s="106"/>
      <c r="I952" s="118">
        <v>2</v>
      </c>
      <c r="J952" s="106">
        <v>134.16</v>
      </c>
      <c r="K952" s="118">
        <v>2</v>
      </c>
      <c r="L952" s="106">
        <v>141.75</v>
      </c>
      <c r="M952" t="s">
        <v>1921</v>
      </c>
    </row>
    <row r="953" spans="1:13" x14ac:dyDescent="0.25">
      <c r="B953" t="s">
        <v>723</v>
      </c>
      <c r="C953" t="s">
        <v>15</v>
      </c>
      <c r="D953" s="150">
        <f>IFERROR(INDEX('BD Rendimientos'!G:G,MATCH("13.01.09|Balde de construccion caucho|Uni.|materiales",'BD Rendimientos'!L:L,0)),"")</f>
        <v>6.1590063687087868</v>
      </c>
      <c r="E953" s="159">
        <f>IFERROR(INDEX('BD Materiales'!D:D,MATCH("Balde de construccion caucho",'BD Materiales'!B:B,0)),"")</f>
        <v>1.5633333333333332</v>
      </c>
      <c r="F953" s="168">
        <f>IFERROR(D953*E953,"")</f>
        <v>9.6285799564147361</v>
      </c>
      <c r="G953" s="118">
        <v>5</v>
      </c>
      <c r="H953" s="106">
        <v>1.38</v>
      </c>
      <c r="I953" s="118">
        <v>8</v>
      </c>
      <c r="J953" s="106">
        <v>1.39</v>
      </c>
      <c r="K953" s="118">
        <v>19</v>
      </c>
      <c r="L953" s="106">
        <v>1.92</v>
      </c>
      <c r="M953" t="s">
        <v>1920</v>
      </c>
    </row>
    <row r="954" spans="1:13" x14ac:dyDescent="0.25">
      <c r="B954" t="s">
        <v>725</v>
      </c>
      <c r="C954" t="s">
        <v>15</v>
      </c>
      <c r="D954" s="150">
        <f>IFERROR(INDEX('BD Rendimientos'!G:G,MATCH("13.01.09|Barra agricola de 14 libras|Uni.|materiales",'BD Rendimientos'!L:L,0)),"")</f>
        <v>1</v>
      </c>
      <c r="E954" s="159">
        <f>IFERROR(INDEX('BD Materiales'!D:D,MATCH("Barra agricola de 14 libras",'BD Materiales'!B:B,0)),"")</f>
        <v>17.085000000000001</v>
      </c>
      <c r="F954" s="168">
        <f>IFERROR(D954*E954,"")</f>
        <v>17.085000000000001</v>
      </c>
      <c r="G954" s="118"/>
      <c r="H954" s="106"/>
      <c r="I954" s="118">
        <v>2</v>
      </c>
      <c r="J954" s="106">
        <v>16.95</v>
      </c>
      <c r="K954" s="118">
        <v>2</v>
      </c>
      <c r="L954" s="106">
        <v>17.22</v>
      </c>
      <c r="M954" t="s">
        <v>1921</v>
      </c>
    </row>
    <row r="955" spans="1:13" x14ac:dyDescent="0.25">
      <c r="A955" s="102"/>
      <c r="B955" s="102" t="s">
        <v>762</v>
      </c>
      <c r="C955" s="102" t="s">
        <v>149</v>
      </c>
      <c r="D955" s="153">
        <f>IFERROR(INDEX('BD Rendimientos'!G:G,MATCH("13.01.09|Cable Gemelo Blanco 2X10|Rollo|materiales",'BD Rendimientos'!L:L,0)),"")</f>
        <v>100</v>
      </c>
      <c r="E955" s="162">
        <f>IFERROR(INDEX('BD Materiales'!D:D,MATCH("Cable Gemelo Blanco 2X10",'BD Materiales'!B:B,0)),"")</f>
        <v>50.155000000000001</v>
      </c>
      <c r="F955" s="171">
        <f>IFERROR(D955*E955,"")</f>
        <v>5015.5</v>
      </c>
      <c r="G955" s="121"/>
      <c r="H955" s="109"/>
      <c r="I955" s="121">
        <v>1</v>
      </c>
      <c r="J955" s="109">
        <v>99.11</v>
      </c>
      <c r="K955" s="121">
        <v>200</v>
      </c>
      <c r="L955" s="109">
        <v>1.2</v>
      </c>
      <c r="M955" s="102" t="s">
        <v>663</v>
      </c>
    </row>
    <row r="956" spans="1:13" x14ac:dyDescent="0.25">
      <c r="B956" t="s">
        <v>103</v>
      </c>
      <c r="C956" t="s">
        <v>102</v>
      </c>
      <c r="D956" s="150">
        <f>IFERROR(INDEX('BD Rendimientos'!G:G,MATCH("13.01.09|Cabo1/2 (Cabo 1/2)|mts.|materiales",'BD Rendimientos'!L:L,0)),"")</f>
        <v>15</v>
      </c>
      <c r="E956" s="159">
        <f>IFERROR(INDEX('BD Materiales'!D:D,MATCH("Cabo1/2 (Cabo 1/2)",'BD Materiales'!B:B,0)),"")</f>
        <v>0.28999999999999998</v>
      </c>
      <c r="F956" s="168">
        <f>IFERROR(D956*E956,"")</f>
        <v>4.3499999999999996</v>
      </c>
      <c r="G956" s="118"/>
      <c r="H956" s="106"/>
      <c r="I956" s="118">
        <v>30</v>
      </c>
      <c r="J956" s="106">
        <v>0.28999999999999998</v>
      </c>
      <c r="K956" s="118">
        <v>30</v>
      </c>
      <c r="L956" s="106">
        <v>0.28999999999999998</v>
      </c>
      <c r="M956" t="s">
        <v>1921</v>
      </c>
    </row>
    <row r="957" spans="1:13" x14ac:dyDescent="0.25">
      <c r="A957" s="101"/>
      <c r="B957" s="101" t="s">
        <v>766</v>
      </c>
      <c r="C957" s="101" t="s">
        <v>15</v>
      </c>
      <c r="D957" s="152">
        <f>IFERROR(INDEX('BD Rendimientos'!G:G,MATCH("13.01.09|Cabo Madera Zapapico|Uni.|materiales",'BD Rendimientos'!L:L,0)),"")</f>
        <v>0</v>
      </c>
      <c r="E957" s="161">
        <f>IFERROR(INDEX('BD Materiales'!D:D,MATCH("Cabo Madera Zapapico",'BD Materiales'!B:B,0)),"")</f>
        <v>1.34</v>
      </c>
      <c r="F957" s="170">
        <f>IFERROR(D957*E957,"")</f>
        <v>0</v>
      </c>
      <c r="G957" s="120"/>
      <c r="H957" s="108"/>
      <c r="I957" s="120">
        <v>6</v>
      </c>
      <c r="J957" s="108">
        <v>1.34</v>
      </c>
      <c r="K957" s="120"/>
      <c r="L957" s="108"/>
      <c r="M957" s="101" t="s">
        <v>647</v>
      </c>
    </row>
    <row r="958" spans="1:13" x14ac:dyDescent="0.25">
      <c r="A958" s="101"/>
      <c r="B958" s="101" t="s">
        <v>773</v>
      </c>
      <c r="C958" s="101" t="s">
        <v>15</v>
      </c>
      <c r="D958" s="152">
        <f>IFERROR(INDEX('BD Rendimientos'!G:G,MATCH("13.01.09|Caneca 5GLN|Uni.|materiales",'BD Rendimientos'!L:L,0)),"")</f>
        <v>1</v>
      </c>
      <c r="E958" s="161">
        <f>IFERROR(INDEX('BD Materiales'!D:D,MATCH("Caneca 5GLN",'BD Materiales'!B:B,0)),"")</f>
        <v>3.6</v>
      </c>
      <c r="F958" s="170">
        <f>IFERROR(D958*E958,"")</f>
        <v>3.6</v>
      </c>
      <c r="G958" s="120"/>
      <c r="H958" s="108"/>
      <c r="I958" s="120"/>
      <c r="J958" s="108"/>
      <c r="K958" s="120">
        <v>2</v>
      </c>
      <c r="L958" s="108">
        <v>3.6</v>
      </c>
      <c r="M958" s="101" t="s">
        <v>647</v>
      </c>
    </row>
    <row r="959" spans="1:13" x14ac:dyDescent="0.25">
      <c r="B959" t="s">
        <v>781</v>
      </c>
      <c r="C959" t="s">
        <v>15</v>
      </c>
      <c r="D959" s="150">
        <f>IFERROR(INDEX('BD Rendimientos'!G:G,MATCH("13.01.09|Carretilla Truper 220kl tomate|Uni.|materiales",'BD Rendimientos'!L:L,0)),"")</f>
        <v>1</v>
      </c>
      <c r="E959" s="159">
        <f>IFERROR(INDEX('BD Materiales'!D:D,MATCH("Carretilla Truper 220kl tomate",'BD Materiales'!B:B,0)),"")</f>
        <v>60.465000000000003</v>
      </c>
      <c r="F959" s="168">
        <f>IFERROR(D959*E959,"")</f>
        <v>60.465000000000003</v>
      </c>
      <c r="G959" s="118"/>
      <c r="H959" s="106"/>
      <c r="I959" s="118">
        <v>2</v>
      </c>
      <c r="J959" s="106">
        <v>61.86</v>
      </c>
      <c r="K959" s="118">
        <v>2</v>
      </c>
      <c r="L959" s="106">
        <v>59.07</v>
      </c>
      <c r="M959" t="s">
        <v>1921</v>
      </c>
    </row>
    <row r="960" spans="1:13" x14ac:dyDescent="0.25">
      <c r="A960" s="101"/>
      <c r="B960" s="101" t="s">
        <v>830</v>
      </c>
      <c r="C960" s="101" t="s">
        <v>15</v>
      </c>
      <c r="D960" s="152">
        <f>IFERROR(INDEX('BD Rendimientos'!G:G,MATCH("13.01.09|Codal de Aluminio|Uni.|materiales",'BD Rendimientos'!L:L,0)),"")</f>
        <v>0</v>
      </c>
      <c r="E960" s="161">
        <f>IFERROR(INDEX('BD Materiales'!D:D,MATCH("Codal de Aluminio",'BD Materiales'!B:B,0)),"")</f>
        <v>40.57</v>
      </c>
      <c r="F960" s="170">
        <f>IFERROR(D960*E960,"")</f>
        <v>0</v>
      </c>
      <c r="G960" s="120"/>
      <c r="H960" s="108"/>
      <c r="I960" s="120">
        <v>1</v>
      </c>
      <c r="J960" s="108">
        <v>40.57</v>
      </c>
      <c r="K960" s="120"/>
      <c r="L960" s="108"/>
      <c r="M960" s="101" t="s">
        <v>647</v>
      </c>
    </row>
    <row r="961" spans="1:13" x14ac:dyDescent="0.25">
      <c r="A961" s="101"/>
      <c r="B961" s="101" t="s">
        <v>840</v>
      </c>
      <c r="C961" s="101" t="s">
        <v>15</v>
      </c>
      <c r="D961" s="152">
        <f>IFERROR(INDEX('BD Rendimientos'!G:G,MATCH("13.01.09|Destornillador Estrella 1/4""x5""|Uni.|materiales",'BD Rendimientos'!L:L,0)),"")</f>
        <v>0.5</v>
      </c>
      <c r="E961" s="161">
        <f>IFERROR(INDEX('BD Materiales'!D:D,MATCH("Destornillador Estrella 1/4""x5""",'BD Materiales'!B:B,0)),"")</f>
        <v>1.86</v>
      </c>
      <c r="F961" s="170">
        <f>IFERROR(D961*E961,"")</f>
        <v>0.93</v>
      </c>
      <c r="G961" s="120"/>
      <c r="H961" s="108"/>
      <c r="I961" s="120"/>
      <c r="J961" s="108"/>
      <c r="K961" s="120">
        <v>1</v>
      </c>
      <c r="L961" s="108">
        <v>1.86</v>
      </c>
      <c r="M961" s="101" t="s">
        <v>647</v>
      </c>
    </row>
    <row r="962" spans="1:13" x14ac:dyDescent="0.25">
      <c r="A962" s="101"/>
      <c r="B962" s="101" t="s">
        <v>859</v>
      </c>
      <c r="C962" s="101" t="s">
        <v>15</v>
      </c>
      <c r="D962" s="152">
        <f>IFERROR(INDEX('BD Rendimientos'!G:G,MATCH("13.01.09|Enchufe blindado 3 patas|Uni.|materiales",'BD Rendimientos'!L:L,0)),"")</f>
        <v>7</v>
      </c>
      <c r="E962" s="161">
        <f>IFERROR(INDEX('BD Materiales'!D:D,MATCH("Enchufe blindado 3 patas",'BD Materiales'!B:B,0)),"")</f>
        <v>1.45</v>
      </c>
      <c r="F962" s="170">
        <f>IFERROR(D962*E962,"")</f>
        <v>10.15</v>
      </c>
      <c r="G962" s="120"/>
      <c r="H962" s="108"/>
      <c r="I962" s="120"/>
      <c r="J962" s="108"/>
      <c r="K962" s="120">
        <v>14</v>
      </c>
      <c r="L962" s="108">
        <v>1.45</v>
      </c>
      <c r="M962" s="101" t="s">
        <v>647</v>
      </c>
    </row>
    <row r="963" spans="1:13" x14ac:dyDescent="0.25">
      <c r="A963" s="101"/>
      <c r="B963" s="101" t="s">
        <v>861</v>
      </c>
      <c r="C963" s="101" t="s">
        <v>15</v>
      </c>
      <c r="D963" s="152">
        <f>IFERROR(INDEX('BD Rendimientos'!G:G,MATCH("13.01.09|Escalera Pie de Gallo|Uni.|materiales",'BD Rendimientos'!L:L,0)),"")</f>
        <v>0.5</v>
      </c>
      <c r="E963" s="161">
        <f>IFERROR(INDEX('BD Materiales'!D:D,MATCH("Escalera Pie de Gallo",'BD Materiales'!B:B,0)),"")</f>
        <v>74.81</v>
      </c>
      <c r="F963" s="170">
        <f>IFERROR(D963*E963,"")</f>
        <v>37.405000000000001</v>
      </c>
      <c r="G963" s="120"/>
      <c r="H963" s="108"/>
      <c r="I963" s="120"/>
      <c r="J963" s="108"/>
      <c r="K963" s="120">
        <v>1</v>
      </c>
      <c r="L963" s="108">
        <v>74.81</v>
      </c>
      <c r="M963" s="101" t="s">
        <v>647</v>
      </c>
    </row>
    <row r="964" spans="1:13" x14ac:dyDescent="0.25">
      <c r="B964" t="s">
        <v>899</v>
      </c>
      <c r="C964" t="s">
        <v>15</v>
      </c>
      <c r="D964" s="150">
        <f>IFERROR(INDEX('BD Rendimientos'!G:G,MATCH("13.01.09|Machete|Uni.|materiales",'BD Rendimientos'!L:L,0)),"")</f>
        <v>0.5</v>
      </c>
      <c r="E964" s="159">
        <f>IFERROR(INDEX('BD Materiales'!D:D,MATCH("Machete",'BD Materiales'!B:B,0)),"")</f>
        <v>4.1749999999999998</v>
      </c>
      <c r="F964" s="168">
        <f>IFERROR(D964*E964,"")</f>
        <v>2.0874999999999999</v>
      </c>
      <c r="G964" s="118"/>
      <c r="H964" s="106"/>
      <c r="I964" s="118">
        <v>1</v>
      </c>
      <c r="J964" s="106">
        <v>4.0599999999999996</v>
      </c>
      <c r="K964" s="118">
        <v>1</v>
      </c>
      <c r="L964" s="106">
        <v>4.29</v>
      </c>
      <c r="M964" t="s">
        <v>1921</v>
      </c>
    </row>
    <row r="965" spans="1:13" x14ac:dyDescent="0.25">
      <c r="A965" s="102"/>
      <c r="B965" s="102" t="s">
        <v>98</v>
      </c>
      <c r="C965" s="102" t="s">
        <v>3</v>
      </c>
      <c r="D965" s="153">
        <f>IFERROR(INDEX('BD Rendimientos'!G:G,MATCH("13.01.09|Manguera de Jardin con Acce (Manguera de Jardin con Accesorios)|ml|materiales",'BD Rendimientos'!L:L,0)),"")</f>
        <v>62.5</v>
      </c>
      <c r="E965" s="162">
        <f>IFERROR(INDEX('BD Materiales'!D:D,MATCH("Manguera de Jardin con Acce (Manguera de Jardin con Accesorios)",'BD Materiales'!B:B,0)),"")</f>
        <v>0.72499999999999998</v>
      </c>
      <c r="F965" s="171">
        <f>IFERROR(D965*E965,"")</f>
        <v>45.3125</v>
      </c>
      <c r="G965" s="121"/>
      <c r="H965" s="109"/>
      <c r="I965" s="121">
        <v>100</v>
      </c>
      <c r="J965" s="109">
        <v>0.31</v>
      </c>
      <c r="K965" s="121">
        <v>125</v>
      </c>
      <c r="L965" s="109">
        <v>1.1399999999999999</v>
      </c>
      <c r="M965" s="102" t="s">
        <v>664</v>
      </c>
    </row>
    <row r="966" spans="1:13" x14ac:dyDescent="0.25">
      <c r="B966" t="s">
        <v>932</v>
      </c>
      <c r="C966" t="s">
        <v>15</v>
      </c>
      <c r="D966" s="150">
        <f>IFERROR(INDEX('BD Rendimientos'!G:G,MATCH("13.01.09|Pala Cuadrada|Uni.|materiales",'BD Rendimientos'!L:L,0)),"")</f>
        <v>4</v>
      </c>
      <c r="E966" s="159">
        <f>IFERROR(INDEX('BD Materiales'!D:D,MATCH("Pala Cuadrada",'BD Materiales'!B:B,0)),"")</f>
        <v>6.9649999999999999</v>
      </c>
      <c r="F966" s="168">
        <f>IFERROR(D966*E966,"")</f>
        <v>27.86</v>
      </c>
      <c r="G966" s="118"/>
      <c r="H966" s="106"/>
      <c r="I966" s="118">
        <v>7</v>
      </c>
      <c r="J966" s="106">
        <v>6.2</v>
      </c>
      <c r="K966" s="118">
        <v>8</v>
      </c>
      <c r="L966" s="106">
        <v>7.73</v>
      </c>
      <c r="M966" t="s">
        <v>1921</v>
      </c>
    </row>
    <row r="967" spans="1:13" x14ac:dyDescent="0.25">
      <c r="A967" s="101"/>
      <c r="B967" s="101" t="s">
        <v>949</v>
      </c>
      <c r="C967" s="101" t="s">
        <v>15</v>
      </c>
      <c r="D967" s="152">
        <f>IFERROR(INDEX('BD Rendimientos'!G:G,MATCH("13.01.09|Pistola Calefateo Truper Refz.|Uni.|materiales",'BD Rendimientos'!L:L,0)),"")</f>
        <v>0</v>
      </c>
      <c r="E967" s="161">
        <f>IFERROR(INDEX('BD Materiales'!D:D,MATCH("Pistola Calefateo Truper Refz.",'BD Materiales'!B:B,0)),"")</f>
        <v>7.97</v>
      </c>
      <c r="F967" s="170">
        <f>IFERROR(D967*E967,"")</f>
        <v>0</v>
      </c>
      <c r="G967" s="120"/>
      <c r="H967" s="108"/>
      <c r="I967" s="120">
        <v>1</v>
      </c>
      <c r="J967" s="108">
        <v>7.97</v>
      </c>
      <c r="K967" s="120"/>
      <c r="L967" s="108"/>
      <c r="M967" s="101" t="s">
        <v>647</v>
      </c>
    </row>
    <row r="968" spans="1:13" x14ac:dyDescent="0.25">
      <c r="B968" t="s">
        <v>94</v>
      </c>
      <c r="C968" t="s">
        <v>15</v>
      </c>
      <c r="D968" s="150">
        <f>IFERROR(INDEX('BD Rendimientos'!G:G,MATCH("13.01.09|Rueda Neumatica p/carretilla c/ (Rueda Neumatica p/carretilla c/aro 16X4"")|Uni.|materiales",'BD Rendimientos'!L:L,0)),"")</f>
        <v>0.5</v>
      </c>
      <c r="E968" s="159">
        <f>IFERROR(INDEX('BD Materiales'!D:D,MATCH("Rueda Neumatica p/carretilla c/ (Rueda Neumatica p/carretilla c/aro 16X4"")",'BD Materiales'!B:B,0)),"")</f>
        <v>10.67</v>
      </c>
      <c r="F968" s="168">
        <f>IFERROR(D968*E968,"")</f>
        <v>5.335</v>
      </c>
      <c r="G968" s="118"/>
      <c r="H968" s="106"/>
      <c r="I968" s="118">
        <v>2</v>
      </c>
      <c r="J968" s="106">
        <v>9.5</v>
      </c>
      <c r="K968" s="118">
        <v>1</v>
      </c>
      <c r="L968" s="106">
        <v>11.84</v>
      </c>
      <c r="M968" t="s">
        <v>1921</v>
      </c>
    </row>
    <row r="969" spans="1:13" x14ac:dyDescent="0.25">
      <c r="A969" s="102"/>
      <c r="B969" s="102" t="s">
        <v>93</v>
      </c>
      <c r="C969" s="102" t="s">
        <v>15</v>
      </c>
      <c r="D969" s="153">
        <f>IFERROR(INDEX('BD Rendimientos'!G:G,MATCH("13.01.09|Sierra Circular Dewalt 71/4 180 (Sierra Circular Dewalt 71/4 1800W DWE575-B3)|Uni.|materiales",'BD Rendimientos'!L:L,0)),"")</f>
        <v>0.5</v>
      </c>
      <c r="E969" s="162">
        <f>IFERROR(INDEX('BD Materiales'!D:D,MATCH("Sierra Circular Dewalt 71/4 180 (Sierra Circular Dewalt 71/4 1800W DWE575-B3)",'BD Materiales'!B:B,0)),"")</f>
        <v>198.61500000000001</v>
      </c>
      <c r="F969" s="171">
        <f>IFERROR(D969*E969,"")</f>
        <v>99.307500000000005</v>
      </c>
      <c r="G969" s="121"/>
      <c r="H969" s="109"/>
      <c r="I969" s="121">
        <v>1</v>
      </c>
      <c r="J969" s="109">
        <v>278.69</v>
      </c>
      <c r="K969" s="121">
        <v>1</v>
      </c>
      <c r="L969" s="109">
        <v>118.54</v>
      </c>
      <c r="M969" s="102" t="s">
        <v>665</v>
      </c>
    </row>
    <row r="970" spans="1:13" x14ac:dyDescent="0.25">
      <c r="A970" s="102"/>
      <c r="B970" s="102" t="s">
        <v>1014</v>
      </c>
      <c r="C970" s="102" t="s">
        <v>15</v>
      </c>
      <c r="D970" s="153">
        <f>IFERROR(INDEX('BD Rendimientos'!G:G,MATCH("13.01.09|Taipe 3m 3/4 x2 Negro|Uni.|materiales",'BD Rendimientos'!L:L,0)),"")</f>
        <v>2.0636025474835149</v>
      </c>
      <c r="E970" s="162">
        <f>IFERROR(INDEX('BD Materiales'!D:D,MATCH("Taipe 3m 3/4 x2 Negro",'BD Materiales'!B:B,0)),"")</f>
        <v>0.85</v>
      </c>
      <c r="F970" s="171">
        <f>IFERROR(D970*E970,"")</f>
        <v>1.7540621653609876</v>
      </c>
      <c r="G970" s="121">
        <v>2</v>
      </c>
      <c r="H970" s="109">
        <v>0.90600000000000003</v>
      </c>
      <c r="I970" s="121">
        <v>2</v>
      </c>
      <c r="J970" s="109">
        <v>0.44</v>
      </c>
      <c r="K970" s="121">
        <v>6</v>
      </c>
      <c r="L970" s="109">
        <v>0.85</v>
      </c>
      <c r="M970" s="102" t="s">
        <v>666</v>
      </c>
    </row>
    <row r="971" spans="1:13" x14ac:dyDescent="0.25">
      <c r="A971" s="101"/>
      <c r="B971" s="101" t="s">
        <v>570</v>
      </c>
      <c r="C971" s="101" t="s">
        <v>15</v>
      </c>
      <c r="D971" s="152">
        <f>IFERROR(INDEX('BD Rendimientos'!G:G,MATCH("13.01.09|Taladro Dewalt 1/2"" - 1100W DWD (Taladro Dewalt 1/2"" - 1100W DWD520 DEWALT)|Uni.|materiales",'BD Rendimientos'!L:L,0)),"")</f>
        <v>1</v>
      </c>
      <c r="E971" s="161">
        <f>IFERROR(INDEX('BD Materiales'!D:D,MATCH("Taladro Dewalt 1/2"" - 1100W DWD (Taladro Dewalt 1/2"" - 1100W DWD520 DEWALT)",'BD Materiales'!B:B,0)),"")</f>
        <v>177.44</v>
      </c>
      <c r="F971" s="170">
        <f>IFERROR(D971*E971,"")</f>
        <v>177.44</v>
      </c>
      <c r="G971" s="120"/>
      <c r="H971" s="108"/>
      <c r="I971" s="120"/>
      <c r="J971" s="108"/>
      <c r="K971" s="120">
        <v>2</v>
      </c>
      <c r="L971" s="108">
        <v>177.44</v>
      </c>
      <c r="M971" s="101" t="s">
        <v>647</v>
      </c>
    </row>
    <row r="972" spans="1:13" x14ac:dyDescent="0.25">
      <c r="A972" s="102"/>
      <c r="B972" s="102" t="s">
        <v>92</v>
      </c>
      <c r="C972" s="102" t="s">
        <v>15</v>
      </c>
      <c r="D972" s="153">
        <f>IFERROR(INDEX('BD Rendimientos'!G:G,MATCH("13.01.09|Tanque para combustible 20lts. (Tanque para combustible rojo 20lts.)|Uni.|materiales",'BD Rendimientos'!L:L,0)),"")</f>
        <v>1</v>
      </c>
      <c r="E972" s="162">
        <f>IFERROR(INDEX('BD Materiales'!D:D,MATCH("Tanque para combustible 20lts. (Tanque para combustible rojo 20lts.)",'BD Materiales'!B:B,0)),"")</f>
        <v>12.495000000000001</v>
      </c>
      <c r="F972" s="171">
        <f>IFERROR(D972*E972,"")</f>
        <v>12.495000000000001</v>
      </c>
      <c r="G972" s="121"/>
      <c r="H972" s="109"/>
      <c r="I972" s="121">
        <v>1</v>
      </c>
      <c r="J972" s="109">
        <v>17.48</v>
      </c>
      <c r="K972" s="121">
        <v>2</v>
      </c>
      <c r="L972" s="109">
        <v>7.51</v>
      </c>
      <c r="M972" s="102" t="s">
        <v>667</v>
      </c>
    </row>
    <row r="973" spans="1:13" x14ac:dyDescent="0.25">
      <c r="B973" t="s">
        <v>91</v>
      </c>
      <c r="C973" t="s">
        <v>15</v>
      </c>
      <c r="D973" s="150">
        <f>IFERROR(INDEX('BD Rendimientos'!G:G,MATCH("13.01.09|Tanque Tool Abierto 55 Gln. (Tanque Tool Abierto 55 Gln)|Uni.|materiales",'BD Rendimientos'!L:L,0)),"")</f>
        <v>1.5</v>
      </c>
      <c r="E973" s="159">
        <f>IFERROR(INDEX('BD Materiales'!D:D,MATCH("Tanque Tool Abierto 55 Gln. (Tanque Tool Abierto 55 Gln)",'BD Materiales'!B:B,0)),"")</f>
        <v>7.09</v>
      </c>
      <c r="F973" s="168">
        <f>IFERROR(D973*E973,"")</f>
        <v>10.635</v>
      </c>
      <c r="G973" s="118"/>
      <c r="H973" s="106"/>
      <c r="I973" s="118">
        <v>3</v>
      </c>
      <c r="J973" s="106">
        <v>7.76</v>
      </c>
      <c r="K973" s="118">
        <v>3</v>
      </c>
      <c r="L973" s="106">
        <v>6.42</v>
      </c>
      <c r="M973" t="s">
        <v>1921</v>
      </c>
    </row>
    <row r="974" spans="1:13" x14ac:dyDescent="0.25">
      <c r="A974" s="101"/>
      <c r="B974" s="101" t="s">
        <v>1031</v>
      </c>
      <c r="C974" s="101" t="s">
        <v>15</v>
      </c>
      <c r="D974" s="152">
        <f>IFERROR(INDEX('BD Rendimientos'!G:G,MATCH("13.01.09|Toma sobreponer cooper 125v|Uni.|materiales",'BD Rendimientos'!L:L,0)),"")</f>
        <v>7.5</v>
      </c>
      <c r="E974" s="161">
        <f>IFERROR(INDEX('BD Materiales'!D:D,MATCH("Toma sobreponer cooper 125v",'BD Materiales'!B:B,0)),"")</f>
        <v>2.21</v>
      </c>
      <c r="F974" s="170">
        <f>IFERROR(D974*E974,"")</f>
        <v>16.574999999999999</v>
      </c>
      <c r="G974" s="120"/>
      <c r="H974" s="108"/>
      <c r="I974" s="120"/>
      <c r="J974" s="108"/>
      <c r="K974" s="120">
        <v>15</v>
      </c>
      <c r="L974" s="108">
        <v>2.21</v>
      </c>
      <c r="M974" s="101" t="s">
        <v>647</v>
      </c>
    </row>
    <row r="975" spans="1:13" x14ac:dyDescent="0.25">
      <c r="B975" t="s">
        <v>1040</v>
      </c>
      <c r="C975" t="s">
        <v>15</v>
      </c>
      <c r="D975" s="150">
        <f>IFERROR(INDEX('BD Rendimientos'!G:G,MATCH("13.01.09|Uniones de Manguera|Uni.|materiales",'BD Rendimientos'!L:L,0)),"")</f>
        <v>1.0636025474835147</v>
      </c>
      <c r="E975" s="159">
        <f>IFERROR(INDEX('BD Materiales'!D:D,MATCH("Uniones de Manguera",'BD Materiales'!B:B,0)),"")</f>
        <v>0.68</v>
      </c>
      <c r="F975" s="168">
        <f>IFERROR(D975*E975,"")</f>
        <v>0.72324973228879008</v>
      </c>
      <c r="G975" s="118">
        <v>2</v>
      </c>
      <c r="H975" s="106">
        <v>0.68</v>
      </c>
      <c r="I975" s="118"/>
      <c r="J975" s="106"/>
      <c r="K975" s="118">
        <v>2</v>
      </c>
      <c r="L975" s="106">
        <v>0.68</v>
      </c>
    </row>
    <row r="976" spans="1:13" x14ac:dyDescent="0.25">
      <c r="B976" t="s">
        <v>1059</v>
      </c>
      <c r="C976" t="s">
        <v>15</v>
      </c>
      <c r="D976" s="150">
        <f>IFERROR(INDEX('BD Rendimientos'!G:G,MATCH("13.01.09|Zapapico Herrago 5 lbs|Uni.|materiales",'BD Rendimientos'!L:L,0)),"")</f>
        <v>3</v>
      </c>
      <c r="E976" s="159">
        <f>IFERROR(INDEX('BD Materiales'!D:D,MATCH("Zapapico Herrago 5 lbs",'BD Materiales'!B:B,0)),"")</f>
        <v>9.3350000000000009</v>
      </c>
      <c r="F976" s="168">
        <f>IFERROR(D976*E976,"")</f>
        <v>28.005000000000003</v>
      </c>
      <c r="G976" s="118"/>
      <c r="H976" s="106"/>
      <c r="I976" s="118">
        <v>6</v>
      </c>
      <c r="J976" s="106">
        <v>8.68</v>
      </c>
      <c r="K976" s="118">
        <v>6</v>
      </c>
      <c r="L976" s="106">
        <v>9.99</v>
      </c>
      <c r="M976" t="s">
        <v>1921</v>
      </c>
    </row>
    <row r="977" spans="1:13" x14ac:dyDescent="0.25">
      <c r="A977" s="99" t="s">
        <v>5</v>
      </c>
      <c r="B977" s="99"/>
      <c r="C977" s="99"/>
      <c r="D977" s="149"/>
      <c r="E977" s="158"/>
      <c r="F977" s="167"/>
      <c r="G977" s="117"/>
      <c r="H977" s="105"/>
      <c r="I977" s="117"/>
      <c r="J977" s="105"/>
      <c r="K977" s="117"/>
      <c r="L977" s="105"/>
      <c r="M977" s="99"/>
    </row>
    <row r="978" spans="1:13" x14ac:dyDescent="0.25">
      <c r="A978" s="99" t="s">
        <v>2</v>
      </c>
      <c r="B978" s="99"/>
      <c r="C978" s="99"/>
      <c r="D978" s="149"/>
      <c r="E978" s="158"/>
      <c r="F978" s="167"/>
      <c r="G978" s="117"/>
      <c r="H978" s="105"/>
      <c r="I978" s="117"/>
      <c r="J978" s="105"/>
      <c r="K978" s="117"/>
      <c r="L978" s="105"/>
      <c r="M978" s="99"/>
    </row>
    <row r="979" spans="1:13" x14ac:dyDescent="0.25">
      <c r="B979" t="s">
        <v>1228</v>
      </c>
      <c r="C979" t="s">
        <v>88</v>
      </c>
      <c r="D979" s="150">
        <f>IFERROR(INDEX('BD Rendimientos'!G:G,MATCH("13.01.09|Mantenimiento Herramientas|Glb|equipo",'BD Rendimientos'!L:L,0)),"")</f>
        <v>1</v>
      </c>
      <c r="E979" s="159">
        <f>IFERROR(INDEX('BD Equipo'!D:D,MATCH("Mantenimiento Herramientas",'BD Equipo'!B:B,0)),"")</f>
        <v>28.28</v>
      </c>
      <c r="F979" s="168">
        <f>IFERROR(D979*E979,"")</f>
        <v>28.28</v>
      </c>
      <c r="G979" s="118">
        <v>1.7743</v>
      </c>
      <c r="H979" s="106">
        <v>24.77</v>
      </c>
      <c r="I979" s="118"/>
      <c r="J979" s="106"/>
      <c r="K979" s="118">
        <v>2</v>
      </c>
      <c r="L979" s="106">
        <v>31.79</v>
      </c>
    </row>
    <row r="980" spans="1:13" ht="16.5" thickBot="1" x14ac:dyDescent="0.3">
      <c r="A980" s="100"/>
      <c r="B980" s="100" t="s">
        <v>645</v>
      </c>
      <c r="C980" s="100" t="s">
        <v>88</v>
      </c>
      <c r="D980" s="151"/>
      <c r="E980" s="160"/>
      <c r="F980" s="169">
        <f>SUM(F951,F952,F953,F954,F955,F956,F957,F958,F959,F960,F961,F962,F963,F964,F965,F966,F967,F968,F969,F970,F971,F972,F973,F974,F975,F976,F979)</f>
        <v>5753.4683918540632</v>
      </c>
      <c r="G980" s="119"/>
      <c r="H980" s="107">
        <v>0.166020501551984</v>
      </c>
      <c r="I980" s="119"/>
      <c r="J980" s="107">
        <v>4.3005901007586997</v>
      </c>
      <c r="K980" s="119"/>
      <c r="L980" s="107">
        <v>1.80389416610625</v>
      </c>
      <c r="M980" s="100" t="s">
        <v>646</v>
      </c>
    </row>
    <row r="981" spans="1:13" ht="16.5" thickTop="1" thickBot="1" x14ac:dyDescent="0.3">
      <c r="D981" s="150"/>
      <c r="E981" s="159"/>
      <c r="F981" s="168"/>
      <c r="G981" s="118"/>
      <c r="H981" s="106"/>
      <c r="I981" s="118"/>
      <c r="J981" s="106"/>
      <c r="K981" s="118"/>
      <c r="L981" s="106"/>
    </row>
    <row r="982" spans="1:13" ht="15.75" thickTop="1" x14ac:dyDescent="0.25">
      <c r="A982" s="177" t="s">
        <v>87</v>
      </c>
      <c r="B982" s="177" t="s">
        <v>85</v>
      </c>
      <c r="C982" s="177" t="s">
        <v>86</v>
      </c>
      <c r="D982" s="178" t="s">
        <v>635</v>
      </c>
      <c r="E982" s="179" t="s">
        <v>636</v>
      </c>
      <c r="F982" s="180" t="s">
        <v>637</v>
      </c>
      <c r="G982" s="181" t="s">
        <v>638</v>
      </c>
      <c r="H982" s="182" t="s">
        <v>639</v>
      </c>
      <c r="I982" s="181" t="s">
        <v>640</v>
      </c>
      <c r="J982" s="182" t="s">
        <v>641</v>
      </c>
      <c r="K982" s="181" t="s">
        <v>642</v>
      </c>
      <c r="L982" s="182" t="s">
        <v>643</v>
      </c>
      <c r="M982" s="177" t="s">
        <v>1932</v>
      </c>
    </row>
    <row r="983" spans="1:13" x14ac:dyDescent="0.25">
      <c r="A983" s="99" t="s">
        <v>5</v>
      </c>
      <c r="B983" s="99"/>
      <c r="C983" s="99"/>
      <c r="D983" s="149"/>
      <c r="E983" s="158"/>
      <c r="F983" s="167"/>
      <c r="G983" s="117"/>
      <c r="H983" s="105"/>
      <c r="I983" s="117"/>
      <c r="J983" s="105"/>
      <c r="K983" s="117"/>
      <c r="L983" s="105"/>
      <c r="M983" s="99"/>
    </row>
    <row r="984" spans="1:13" x14ac:dyDescent="0.25">
      <c r="A984" s="101"/>
      <c r="B984" s="101" t="s">
        <v>85</v>
      </c>
      <c r="C984" s="101" t="s">
        <v>84</v>
      </c>
      <c r="D984" s="152">
        <f>IFERROR(INDEX('BD Rendimientos'!G:G,MATCH("13.01.12|Guachimanía de obra|mes|mano_obra",'BD Rendimientos'!L:L,0)),"")</f>
        <v>0</v>
      </c>
      <c r="E984" s="161">
        <f>IFERROR(INDEX('BD Mano de Obra'!D:D,MATCH("Guachimanía de obra",'BD Mano de Obra'!B:B,0)),"")</f>
        <v>172.5</v>
      </c>
      <c r="F984" s="170">
        <f>IFERROR(D984*E984,"")</f>
        <v>0</v>
      </c>
      <c r="G984" s="120">
        <v>1</v>
      </c>
      <c r="H984" s="108">
        <v>172.5</v>
      </c>
      <c r="I984" s="120"/>
      <c r="J984" s="108"/>
      <c r="K984" s="120"/>
      <c r="L984" s="108"/>
      <c r="M984" s="101" t="s">
        <v>647</v>
      </c>
    </row>
    <row r="985" spans="1:13" ht="16.5" thickBot="1" x14ac:dyDescent="0.3">
      <c r="A985" s="183"/>
      <c r="B985" s="183" t="s">
        <v>645</v>
      </c>
      <c r="C985" s="183" t="s">
        <v>86</v>
      </c>
      <c r="D985" s="184"/>
      <c r="E985" s="185"/>
      <c r="F985" s="186">
        <f>SUM(F984)</f>
        <v>0</v>
      </c>
      <c r="G985" s="187"/>
      <c r="H985" s="188">
        <v>172.5</v>
      </c>
      <c r="I985" s="187"/>
      <c r="J985" s="188"/>
      <c r="K985" s="187"/>
      <c r="L985" s="188"/>
      <c r="M985" s="183" t="s">
        <v>646</v>
      </c>
    </row>
    <row r="986" spans="1:13" ht="16.5" thickTop="1" thickBot="1" x14ac:dyDescent="0.3">
      <c r="D986" s="150"/>
      <c r="E986" s="159"/>
      <c r="F986" s="168"/>
      <c r="G986" s="118"/>
      <c r="H986" s="106"/>
      <c r="I986" s="118"/>
      <c r="J986" s="106"/>
      <c r="K986" s="118"/>
      <c r="L986" s="106"/>
    </row>
    <row r="987" spans="1:13" ht="15.75" thickTop="1" x14ac:dyDescent="0.25">
      <c r="A987" s="177" t="s">
        <v>527</v>
      </c>
      <c r="B987" s="177" t="s">
        <v>528</v>
      </c>
      <c r="C987" s="177" t="s">
        <v>210</v>
      </c>
      <c r="D987" s="178" t="s">
        <v>635</v>
      </c>
      <c r="E987" s="179" t="s">
        <v>636</v>
      </c>
      <c r="F987" s="180" t="s">
        <v>637</v>
      </c>
      <c r="G987" s="181" t="s">
        <v>638</v>
      </c>
      <c r="H987" s="182" t="s">
        <v>639</v>
      </c>
      <c r="I987" s="181" t="s">
        <v>640</v>
      </c>
      <c r="J987" s="182" t="s">
        <v>641</v>
      </c>
      <c r="K987" s="181" t="s">
        <v>642</v>
      </c>
      <c r="L987" s="182" t="s">
        <v>643</v>
      </c>
      <c r="M987" s="177" t="s">
        <v>1932</v>
      </c>
    </row>
    <row r="988" spans="1:13" x14ac:dyDescent="0.25">
      <c r="A988" s="99" t="s">
        <v>5</v>
      </c>
      <c r="B988" s="99"/>
      <c r="C988" s="99"/>
      <c r="D988" s="149"/>
      <c r="E988" s="158"/>
      <c r="F988" s="167"/>
      <c r="G988" s="117"/>
      <c r="H988" s="105"/>
      <c r="I988" s="117"/>
      <c r="J988" s="105"/>
      <c r="K988" s="117"/>
      <c r="L988" s="105"/>
      <c r="M988" s="99"/>
    </row>
    <row r="989" spans="1:13" x14ac:dyDescent="0.25">
      <c r="A989" s="101"/>
      <c r="B989" s="101" t="s">
        <v>1159</v>
      </c>
      <c r="C989" s="101" t="s">
        <v>3</v>
      </c>
      <c r="D989" s="152">
        <f>IFERROR(INDEX('BD Rendimientos'!G:G,MATCH("13.01.14|M. Rejilla metálica de 2""|ml|mano_obra",'BD Rendimientos'!L:L,0)),"")</f>
        <v>0</v>
      </c>
      <c r="E989" s="161">
        <f>IFERROR(INDEX('BD Mano de Obra'!D:D,MATCH("M. Rejilla metálica de 2""",'BD Mano de Obra'!B:B,0)),"")</f>
        <v>107.1</v>
      </c>
      <c r="F989" s="170">
        <f>IFERROR(D989*E989,"")</f>
        <v>0</v>
      </c>
      <c r="G989" s="120"/>
      <c r="H989" s="108"/>
      <c r="I989" s="120">
        <v>1.43</v>
      </c>
      <c r="J989" s="108">
        <v>107.1</v>
      </c>
      <c r="K989" s="120"/>
      <c r="L989" s="108"/>
      <c r="M989" s="101" t="s">
        <v>647</v>
      </c>
    </row>
    <row r="990" spans="1:13" ht="16.5" thickBot="1" x14ac:dyDescent="0.3">
      <c r="A990" s="183"/>
      <c r="B990" s="183" t="s">
        <v>645</v>
      </c>
      <c r="C990" s="183" t="s">
        <v>210</v>
      </c>
      <c r="D990" s="184"/>
      <c r="E990" s="185"/>
      <c r="F990" s="186">
        <f>SUM(F989)</f>
        <v>0</v>
      </c>
      <c r="G990" s="187"/>
      <c r="H990" s="188"/>
      <c r="I990" s="187"/>
      <c r="J990" s="188">
        <v>107.1</v>
      </c>
      <c r="K990" s="187"/>
      <c r="L990" s="188"/>
      <c r="M990" s="183" t="s">
        <v>646</v>
      </c>
    </row>
    <row r="991" spans="1:13" ht="16.5" thickTop="1" thickBot="1" x14ac:dyDescent="0.3">
      <c r="D991" s="150"/>
      <c r="E991" s="159"/>
      <c r="F991" s="168"/>
      <c r="G991" s="118"/>
      <c r="H991" s="106"/>
      <c r="I991" s="118"/>
      <c r="J991" s="106"/>
      <c r="K991" s="118"/>
      <c r="L991" s="106"/>
    </row>
    <row r="992" spans="1:13" ht="15.75" thickTop="1" x14ac:dyDescent="0.25">
      <c r="A992" s="177" t="s">
        <v>532</v>
      </c>
      <c r="B992" s="177" t="s">
        <v>530</v>
      </c>
      <c r="C992" s="177" t="s">
        <v>210</v>
      </c>
      <c r="D992" s="178" t="s">
        <v>635</v>
      </c>
      <c r="E992" s="179" t="s">
        <v>636</v>
      </c>
      <c r="F992" s="180" t="s">
        <v>637</v>
      </c>
      <c r="G992" s="181" t="s">
        <v>638</v>
      </c>
      <c r="H992" s="182" t="s">
        <v>639</v>
      </c>
      <c r="I992" s="181" t="s">
        <v>640</v>
      </c>
      <c r="J992" s="182" t="s">
        <v>641</v>
      </c>
      <c r="K992" s="181" t="s">
        <v>642</v>
      </c>
      <c r="L992" s="182" t="s">
        <v>643</v>
      </c>
      <c r="M992" s="177" t="s">
        <v>1932</v>
      </c>
    </row>
    <row r="993" spans="1:13" x14ac:dyDescent="0.25">
      <c r="A993" s="99" t="s">
        <v>5</v>
      </c>
      <c r="B993" s="99"/>
      <c r="C993" s="99"/>
      <c r="D993" s="149"/>
      <c r="E993" s="158"/>
      <c r="F993" s="167"/>
      <c r="G993" s="117"/>
      <c r="H993" s="105"/>
      <c r="I993" s="117"/>
      <c r="J993" s="105"/>
      <c r="K993" s="117"/>
      <c r="L993" s="105"/>
      <c r="M993" s="99"/>
    </row>
    <row r="994" spans="1:13" x14ac:dyDescent="0.25">
      <c r="A994" s="101"/>
      <c r="B994" s="101" t="s">
        <v>1157</v>
      </c>
      <c r="C994" s="101" t="s">
        <v>3</v>
      </c>
      <c r="D994" s="152">
        <f>IFERROR(INDEX('BD Rendimientos'!G:G,MATCH("13.01.18|M. Rejilla con trampa para ducha|ml|mano_obra",'BD Rendimientos'!L:L,0)),"")</f>
        <v>0</v>
      </c>
      <c r="E994" s="161">
        <f>IFERROR(INDEX('BD Mano de Obra'!D:D,MATCH("M. Rejilla con trampa para ducha",'BD Mano de Obra'!B:B,0)),"")</f>
        <v>101.5</v>
      </c>
      <c r="F994" s="170">
        <f>IFERROR(D994*E994,"")</f>
        <v>0</v>
      </c>
      <c r="G994" s="120"/>
      <c r="H994" s="108"/>
      <c r="I994" s="120">
        <v>1.43</v>
      </c>
      <c r="J994" s="108">
        <v>101.5</v>
      </c>
      <c r="K994" s="120"/>
      <c r="L994" s="108"/>
      <c r="M994" s="101" t="s">
        <v>647</v>
      </c>
    </row>
    <row r="995" spans="1:13" ht="16.5" thickBot="1" x14ac:dyDescent="0.3">
      <c r="A995" s="183"/>
      <c r="B995" s="183" t="s">
        <v>645</v>
      </c>
      <c r="C995" s="183" t="s">
        <v>210</v>
      </c>
      <c r="D995" s="184"/>
      <c r="E995" s="185"/>
      <c r="F995" s="186">
        <f>SUM(F994)</f>
        <v>0</v>
      </c>
      <c r="G995" s="187"/>
      <c r="H995" s="188"/>
      <c r="I995" s="187"/>
      <c r="J995" s="188">
        <v>101.5</v>
      </c>
      <c r="K995" s="187"/>
      <c r="L995" s="188"/>
      <c r="M995" s="183" t="s">
        <v>646</v>
      </c>
    </row>
    <row r="996" spans="1:13" ht="15.75" thickTop="1" x14ac:dyDescent="0.25">
      <c r="D996" s="150"/>
      <c r="E996" s="159"/>
      <c r="F996" s="168"/>
      <c r="G996" s="118"/>
      <c r="H996" s="106"/>
      <c r="I996" s="118"/>
      <c r="J996" s="106"/>
      <c r="K996" s="118"/>
      <c r="L996" s="106"/>
    </row>
    <row r="997" spans="1:13" ht="18" thickBot="1" x14ac:dyDescent="0.35">
      <c r="A997" s="95" t="s">
        <v>508</v>
      </c>
      <c r="B997" s="95"/>
      <c r="C997" s="95"/>
      <c r="D997" s="147"/>
      <c r="E997" s="156"/>
      <c r="F997" s="165"/>
      <c r="G997" s="115"/>
      <c r="H997" s="103"/>
      <c r="I997" s="115"/>
      <c r="J997" s="103"/>
      <c r="K997" s="115"/>
      <c r="L997" s="103"/>
      <c r="M997" s="95"/>
    </row>
    <row r="998" spans="1:13" ht="15.75" thickTop="1" x14ac:dyDescent="0.25">
      <c r="A998" s="177" t="s">
        <v>509</v>
      </c>
      <c r="B998" s="177" t="s">
        <v>510</v>
      </c>
      <c r="C998" s="177" t="s">
        <v>84</v>
      </c>
      <c r="D998" s="178" t="s">
        <v>635</v>
      </c>
      <c r="E998" s="179" t="s">
        <v>636</v>
      </c>
      <c r="F998" s="180" t="s">
        <v>637</v>
      </c>
      <c r="G998" s="181" t="s">
        <v>638</v>
      </c>
      <c r="H998" s="182" t="s">
        <v>639</v>
      </c>
      <c r="I998" s="181" t="s">
        <v>640</v>
      </c>
      <c r="J998" s="182" t="s">
        <v>641</v>
      </c>
      <c r="K998" s="181" t="s">
        <v>642</v>
      </c>
      <c r="L998" s="182" t="s">
        <v>643</v>
      </c>
      <c r="M998" s="177" t="s">
        <v>1932</v>
      </c>
    </row>
    <row r="999" spans="1:13" ht="16.5" thickBot="1" x14ac:dyDescent="0.3">
      <c r="A999" s="183"/>
      <c r="B999" s="183" t="s">
        <v>645</v>
      </c>
      <c r="C999" s="183" t="s">
        <v>84</v>
      </c>
      <c r="D999" s="184"/>
      <c r="E999" s="185"/>
      <c r="F999" s="186">
        <v>0</v>
      </c>
      <c r="G999" s="187"/>
      <c r="H999" s="188"/>
      <c r="I999" s="187"/>
      <c r="J999" s="188"/>
      <c r="K999" s="187"/>
      <c r="L999" s="188"/>
      <c r="M999" s="183" t="s">
        <v>646</v>
      </c>
    </row>
    <row r="1000" spans="1:13" ht="16.5" thickTop="1" thickBot="1" x14ac:dyDescent="0.3">
      <c r="D1000" s="150"/>
      <c r="E1000" s="159"/>
      <c r="F1000" s="168"/>
      <c r="G1000" s="118"/>
      <c r="H1000" s="106"/>
      <c r="I1000" s="118"/>
      <c r="J1000" s="106"/>
      <c r="K1000" s="118"/>
      <c r="L1000" s="106"/>
    </row>
    <row r="1001" spans="1:13" ht="15.75" thickTop="1" x14ac:dyDescent="0.25">
      <c r="A1001" s="97" t="s">
        <v>511</v>
      </c>
      <c r="B1001" s="97" t="s">
        <v>512</v>
      </c>
      <c r="C1001" s="97" t="s">
        <v>84</v>
      </c>
      <c r="D1001" s="148" t="s">
        <v>635</v>
      </c>
      <c r="E1001" s="157" t="s">
        <v>636</v>
      </c>
      <c r="F1001" s="166" t="s">
        <v>637</v>
      </c>
      <c r="G1001" s="116" t="s">
        <v>638</v>
      </c>
      <c r="H1001" s="104" t="s">
        <v>639</v>
      </c>
      <c r="I1001" s="116" t="s">
        <v>640</v>
      </c>
      <c r="J1001" s="104" t="s">
        <v>641</v>
      </c>
      <c r="K1001" s="116" t="s">
        <v>642</v>
      </c>
      <c r="L1001" s="104" t="s">
        <v>643</v>
      </c>
      <c r="M1001" s="97" t="s">
        <v>644</v>
      </c>
    </row>
    <row r="1002" spans="1:13" x14ac:dyDescent="0.25">
      <c r="A1002" s="99" t="s">
        <v>11</v>
      </c>
      <c r="B1002" s="99"/>
      <c r="C1002" s="99"/>
      <c r="D1002" s="149"/>
      <c r="E1002" s="158"/>
      <c r="F1002" s="167"/>
      <c r="G1002" s="117"/>
      <c r="H1002" s="105"/>
      <c r="I1002" s="117"/>
      <c r="J1002" s="105"/>
      <c r="K1002" s="117"/>
      <c r="L1002" s="105"/>
      <c r="M1002" s="99"/>
    </row>
    <row r="1003" spans="1:13" x14ac:dyDescent="0.25">
      <c r="A1003" s="101"/>
      <c r="B1003" s="101" t="s">
        <v>689</v>
      </c>
      <c r="C1003" s="101" t="s">
        <v>15</v>
      </c>
      <c r="D1003" s="152">
        <f>IFERROR(INDEX('BD Rendimientos'!G:G,MATCH("14.01.02|Aceite Havoline|Uni.|materiales",'BD Rendimientos'!L:L,0)),"")</f>
        <v>1</v>
      </c>
      <c r="E1003" s="161">
        <f>IFERROR(INDEX('BD Materiales'!D:D,MATCH("Aceite Havoline",'BD Materiales'!B:B,0)),"")</f>
        <v>6.25</v>
      </c>
      <c r="F1003" s="170">
        <f>IFERROR(D1003*E1003,"")</f>
        <v>6.25</v>
      </c>
      <c r="G1003" s="120"/>
      <c r="H1003" s="108"/>
      <c r="I1003" s="120">
        <v>1</v>
      </c>
      <c r="J1003" s="108">
        <v>6.25</v>
      </c>
      <c r="K1003" s="120"/>
      <c r="L1003" s="108"/>
      <c r="M1003" s="101" t="s">
        <v>647</v>
      </c>
    </row>
    <row r="1004" spans="1:13" x14ac:dyDescent="0.25">
      <c r="B1004" t="s">
        <v>876</v>
      </c>
      <c r="C1004" t="s">
        <v>23</v>
      </c>
      <c r="D1004" s="150">
        <f>IFERROR(INDEX('BD Rendimientos'!G:G,MATCH("14.01.02|Gasolina - Extra|gal|materiales",'BD Rendimientos'!L:L,0)),"")</f>
        <v>14.17</v>
      </c>
      <c r="E1004" s="159">
        <f>IFERROR(INDEX('BD Materiales'!D:D,MATCH("Gasolina - Extra",'BD Materiales'!B:B,0)),"")</f>
        <v>2.14</v>
      </c>
      <c r="F1004" s="168">
        <f>IFERROR(D1004*E1004,"")</f>
        <v>30.323800000000002</v>
      </c>
      <c r="G1004" s="118">
        <v>14.17</v>
      </c>
      <c r="H1004" s="106">
        <v>2.0699999999999998</v>
      </c>
      <c r="I1004" s="118">
        <v>66.38</v>
      </c>
      <c r="J1004" s="106">
        <v>2.14</v>
      </c>
      <c r="K1004" s="118">
        <v>2</v>
      </c>
      <c r="L1004" s="106">
        <v>2.14</v>
      </c>
      <c r="M1004" t="s">
        <v>1920</v>
      </c>
    </row>
    <row r="1005" spans="1:13" x14ac:dyDescent="0.25">
      <c r="A1005" s="99" t="s">
        <v>5</v>
      </c>
      <c r="B1005" s="99"/>
      <c r="C1005" s="99"/>
      <c r="D1005" s="149"/>
      <c r="E1005" s="158"/>
      <c r="F1005" s="167"/>
      <c r="G1005" s="117"/>
      <c r="H1005" s="105"/>
      <c r="I1005" s="117"/>
      <c r="J1005" s="105"/>
      <c r="K1005" s="117"/>
      <c r="L1005" s="105"/>
      <c r="M1005" s="99"/>
    </row>
    <row r="1006" spans="1:13" x14ac:dyDescent="0.25">
      <c r="A1006" s="99" t="s">
        <v>2</v>
      </c>
      <c r="B1006" s="99"/>
      <c r="C1006" s="99"/>
      <c r="D1006" s="149"/>
      <c r="E1006" s="158"/>
      <c r="F1006" s="167"/>
      <c r="G1006" s="117"/>
      <c r="H1006" s="105"/>
      <c r="I1006" s="117"/>
      <c r="J1006" s="105"/>
      <c r="K1006" s="117"/>
      <c r="L1006" s="105"/>
      <c r="M1006" s="99"/>
    </row>
    <row r="1007" spans="1:13" x14ac:dyDescent="0.25">
      <c r="A1007" s="101"/>
      <c r="B1007" s="101" t="s">
        <v>1178</v>
      </c>
      <c r="C1007" s="101" t="s">
        <v>410</v>
      </c>
      <c r="D1007" s="152">
        <f>IFERROR(INDEX('BD Rendimientos'!G:G,MATCH("14.01.02|Alquiler Generador|día|equipo",'BD Rendimientos'!L:L,0)),"")</f>
        <v>1</v>
      </c>
      <c r="E1007" s="161">
        <f>IFERROR(INDEX('BD Equipo'!D:D,MATCH("Alquiler Generador",'BD Equipo'!B:B,0)),"")</f>
        <v>44.64</v>
      </c>
      <c r="F1007" s="170">
        <f>IFERROR(D1007*E1007,"")</f>
        <v>44.64</v>
      </c>
      <c r="G1007" s="120"/>
      <c r="H1007" s="108"/>
      <c r="I1007" s="120"/>
      <c r="J1007" s="108"/>
      <c r="K1007" s="120">
        <v>1</v>
      </c>
      <c r="L1007" s="108">
        <v>44.64</v>
      </c>
      <c r="M1007" s="101" t="s">
        <v>647</v>
      </c>
    </row>
    <row r="1008" spans="1:13" ht="16.5" thickBot="1" x14ac:dyDescent="0.3">
      <c r="A1008" s="100"/>
      <c r="B1008" s="100" t="s">
        <v>645</v>
      </c>
      <c r="C1008" s="100" t="s">
        <v>84</v>
      </c>
      <c r="D1008" s="151"/>
      <c r="E1008" s="160"/>
      <c r="F1008" s="169">
        <f>SUM(F1003,F1004,F1007)</f>
        <v>81.213800000000006</v>
      </c>
      <c r="G1008" s="119"/>
      <c r="H1008" s="107">
        <v>29.331900000000001</v>
      </c>
      <c r="I1008" s="119"/>
      <c r="J1008" s="107">
        <v>148.3032</v>
      </c>
      <c r="K1008" s="119"/>
      <c r="L1008" s="107">
        <v>48.92</v>
      </c>
      <c r="M1008" s="100" t="s">
        <v>646</v>
      </c>
    </row>
    <row r="1009" spans="1:13" ht="16.5" thickTop="1" thickBot="1" x14ac:dyDescent="0.3">
      <c r="D1009" s="150"/>
      <c r="E1009" s="159"/>
      <c r="F1009" s="168"/>
      <c r="G1009" s="118"/>
      <c r="H1009" s="106"/>
      <c r="I1009" s="118"/>
      <c r="J1009" s="106"/>
      <c r="K1009" s="118"/>
      <c r="L1009" s="106"/>
    </row>
    <row r="1010" spans="1:13" ht="15.75" thickTop="1" x14ac:dyDescent="0.25">
      <c r="A1010" s="98" t="s">
        <v>513</v>
      </c>
      <c r="B1010" s="98" t="s">
        <v>514</v>
      </c>
      <c r="C1010" s="98" t="s">
        <v>84</v>
      </c>
      <c r="D1010" s="154" t="s">
        <v>635</v>
      </c>
      <c r="E1010" s="163" t="s">
        <v>636</v>
      </c>
      <c r="F1010" s="172" t="s">
        <v>637</v>
      </c>
      <c r="G1010" s="122" t="s">
        <v>638</v>
      </c>
      <c r="H1010" s="110" t="s">
        <v>639</v>
      </c>
      <c r="I1010" s="122" t="s">
        <v>640</v>
      </c>
      <c r="J1010" s="110" t="s">
        <v>641</v>
      </c>
      <c r="K1010" s="122" t="s">
        <v>642</v>
      </c>
      <c r="L1010" s="110" t="s">
        <v>643</v>
      </c>
      <c r="M1010" s="98" t="s">
        <v>668</v>
      </c>
    </row>
    <row r="1011" spans="1:13" x14ac:dyDescent="0.25">
      <c r="A1011" s="99" t="s">
        <v>5</v>
      </c>
      <c r="B1011" s="99"/>
      <c r="C1011" s="99"/>
      <c r="D1011" s="149"/>
      <c r="E1011" s="158"/>
      <c r="F1011" s="167"/>
      <c r="G1011" s="117"/>
      <c r="H1011" s="105"/>
      <c r="I1011" s="117"/>
      <c r="J1011" s="105"/>
      <c r="K1011" s="117"/>
      <c r="L1011" s="105"/>
      <c r="M1011" s="99"/>
    </row>
    <row r="1012" spans="1:13" x14ac:dyDescent="0.25">
      <c r="A1012" s="101"/>
      <c r="B1012" s="101" t="s">
        <v>515</v>
      </c>
      <c r="C1012" s="101" t="s">
        <v>84</v>
      </c>
      <c r="D1012" s="152">
        <f>IFERROR(INDEX('BD Rendimientos'!G:G,MATCH("14.01.03|M. Internet (Servicio de Internet)|mes|mano_obra",'BD Rendimientos'!L:L,0)),"")</f>
        <v>1</v>
      </c>
      <c r="E1012" s="161">
        <f>IFERROR(INDEX('BD Mano de Obra'!D:D,MATCH("M. Internet (Servicio de Internet)",'BD Mano de Obra'!B:B,0)),"")</f>
        <v>35</v>
      </c>
      <c r="F1012" s="170">
        <f>IFERROR(D1012*E1012,"")</f>
        <v>35</v>
      </c>
      <c r="G1012" s="120">
        <v>6</v>
      </c>
      <c r="H1012" s="108">
        <v>35</v>
      </c>
      <c r="I1012" s="120"/>
      <c r="J1012" s="108"/>
      <c r="K1012" s="120"/>
      <c r="L1012" s="108"/>
      <c r="M1012" s="101" t="s">
        <v>647</v>
      </c>
    </row>
    <row r="1013" spans="1:13" ht="16.5" thickBot="1" x14ac:dyDescent="0.3">
      <c r="A1013" s="100"/>
      <c r="B1013" s="100" t="s">
        <v>645</v>
      </c>
      <c r="C1013" s="100" t="s">
        <v>84</v>
      </c>
      <c r="D1013" s="151"/>
      <c r="E1013" s="160"/>
      <c r="F1013" s="169">
        <f>SUM(F1012)</f>
        <v>35</v>
      </c>
      <c r="G1013" s="119"/>
      <c r="H1013" s="107">
        <v>35</v>
      </c>
      <c r="I1013" s="119"/>
      <c r="J1013" s="107"/>
      <c r="K1013" s="119"/>
      <c r="L1013" s="107"/>
      <c r="M1013" s="100" t="s">
        <v>646</v>
      </c>
    </row>
    <row r="1014" spans="1:13" ht="15.75" thickTop="1" x14ac:dyDescent="0.25">
      <c r="D1014" s="150"/>
      <c r="E1014" s="159"/>
      <c r="F1014" s="168"/>
      <c r="G1014" s="118"/>
      <c r="H1014" s="106"/>
      <c r="I1014" s="118"/>
      <c r="J1014" s="106"/>
      <c r="K1014" s="118"/>
      <c r="L1014" s="106"/>
    </row>
    <row r="1015" spans="1:13" ht="18" thickBot="1" x14ac:dyDescent="0.35">
      <c r="A1015" s="95" t="s">
        <v>83</v>
      </c>
      <c r="B1015" s="95"/>
      <c r="C1015" s="95"/>
      <c r="D1015" s="147"/>
      <c r="E1015" s="156"/>
      <c r="F1015" s="165"/>
      <c r="G1015" s="115"/>
      <c r="H1015" s="103"/>
      <c r="I1015" s="115"/>
      <c r="J1015" s="103"/>
      <c r="K1015" s="115"/>
      <c r="L1015" s="103"/>
      <c r="M1015" s="95"/>
    </row>
    <row r="1016" spans="1:13" ht="15.75" thickTop="1" x14ac:dyDescent="0.25">
      <c r="A1016" s="97" t="s">
        <v>82</v>
      </c>
      <c r="B1016" s="97" t="s">
        <v>81</v>
      </c>
      <c r="C1016" s="97" t="s">
        <v>130</v>
      </c>
      <c r="D1016" s="148" t="s">
        <v>635</v>
      </c>
      <c r="E1016" s="157" t="s">
        <v>636</v>
      </c>
      <c r="F1016" s="166" t="s">
        <v>637</v>
      </c>
      <c r="G1016" s="116" t="s">
        <v>638</v>
      </c>
      <c r="H1016" s="104" t="s">
        <v>639</v>
      </c>
      <c r="I1016" s="116" t="s">
        <v>640</v>
      </c>
      <c r="J1016" s="104" t="s">
        <v>641</v>
      </c>
      <c r="K1016" s="116" t="s">
        <v>642</v>
      </c>
      <c r="L1016" s="104" t="s">
        <v>643</v>
      </c>
      <c r="M1016" s="97" t="s">
        <v>644</v>
      </c>
    </row>
    <row r="1017" spans="1:13" x14ac:dyDescent="0.25">
      <c r="A1017" s="99" t="s">
        <v>5</v>
      </c>
      <c r="B1017" s="99"/>
      <c r="C1017" s="99"/>
      <c r="D1017" s="149"/>
      <c r="E1017" s="158"/>
      <c r="F1017" s="167"/>
      <c r="G1017" s="117"/>
      <c r="H1017" s="105"/>
      <c r="I1017" s="117"/>
      <c r="J1017" s="105"/>
      <c r="K1017" s="117"/>
      <c r="L1017" s="105"/>
      <c r="M1017" s="99"/>
    </row>
    <row r="1018" spans="1:13" x14ac:dyDescent="0.25">
      <c r="B1018" t="s">
        <v>1155</v>
      </c>
      <c r="C1018" t="s">
        <v>130</v>
      </c>
      <c r="D1018" s="150">
        <f>IFERROR(INDEX('BD Rendimientos'!G:G,MATCH("15.01.01|M. Rasanteo y conformación de jardines|m2|mano_obra",'BD Rendimientos'!L:L,0)),"")</f>
        <v>1</v>
      </c>
      <c r="E1018" s="159">
        <f>IFERROR(INDEX('BD Mano de Obra'!D:D,MATCH("M. Rasanteo y conformación de jardines",'BD Mano de Obra'!B:B,0)),"")</f>
        <v>0.69999999999999984</v>
      </c>
      <c r="F1018" s="168">
        <f>IFERROR(D1018*E1018,"")</f>
        <v>0.69999999999999984</v>
      </c>
      <c r="G1018" s="118">
        <v>292.86</v>
      </c>
      <c r="H1018" s="106">
        <v>0.7</v>
      </c>
      <c r="I1018" s="118">
        <v>570.24</v>
      </c>
      <c r="J1018" s="106">
        <v>0.7</v>
      </c>
      <c r="K1018" s="118">
        <v>2464.71</v>
      </c>
      <c r="L1018" s="106">
        <v>0.7</v>
      </c>
    </row>
    <row r="1019" spans="1:13" x14ac:dyDescent="0.25">
      <c r="A1019" s="99" t="s">
        <v>2</v>
      </c>
      <c r="B1019" s="99"/>
      <c r="C1019" s="99"/>
      <c r="D1019" s="149"/>
      <c r="E1019" s="158"/>
      <c r="F1019" s="167"/>
      <c r="G1019" s="117"/>
      <c r="H1019" s="105"/>
      <c r="I1019" s="117"/>
      <c r="J1019" s="105"/>
      <c r="K1019" s="117"/>
      <c r="L1019" s="105"/>
      <c r="M1019" s="99"/>
    </row>
    <row r="1020" spans="1:13" x14ac:dyDescent="0.25">
      <c r="B1020" t="s">
        <v>1219</v>
      </c>
      <c r="C1020" t="s">
        <v>78</v>
      </c>
      <c r="D1020" s="150">
        <f>IFERROR(INDEX('BD Rendimientos'!G:G,MATCH("15.01.01|Horas Maquinas Retroexcavadora|Hr.|equipo",'BD Rendimientos'!L:L,0)),"")</f>
        <v>2.2797418630751964E-2</v>
      </c>
      <c r="E1020" s="159">
        <f>IFERROR(INDEX('BD Equipo'!D:D,MATCH("Horas Maquinas Retroexcavadora",'BD Equipo'!B:B,0)),"")</f>
        <v>22.428750000000001</v>
      </c>
      <c r="F1020" s="168">
        <f>IFERROR(D1020*E1020,"")</f>
        <v>0.51131760311447816</v>
      </c>
      <c r="G1020" s="118">
        <v>14</v>
      </c>
      <c r="H1020" s="106">
        <v>22</v>
      </c>
      <c r="I1020" s="118">
        <v>13</v>
      </c>
      <c r="J1020" s="106">
        <v>22</v>
      </c>
      <c r="K1020" s="118">
        <v>12.5</v>
      </c>
      <c r="L1020" s="106">
        <v>22</v>
      </c>
      <c r="M1020" t="s">
        <v>1920</v>
      </c>
    </row>
    <row r="1021" spans="1:13" ht="16.5" thickBot="1" x14ac:dyDescent="0.3">
      <c r="A1021" s="100"/>
      <c r="B1021" s="100" t="s">
        <v>645</v>
      </c>
      <c r="C1021" s="100" t="s">
        <v>130</v>
      </c>
      <c r="D1021" s="151"/>
      <c r="E1021" s="160"/>
      <c r="F1021" s="169">
        <f>SUM(F1018,F1020)</f>
        <v>1.2113176031144781</v>
      </c>
      <c r="G1021" s="119"/>
      <c r="H1021" s="107">
        <v>1.7516970566140799</v>
      </c>
      <c r="I1021" s="119"/>
      <c r="J1021" s="107">
        <v>1.20154320987654</v>
      </c>
      <c r="K1021" s="119"/>
      <c r="L1021" s="107">
        <v>0.81157499259547805</v>
      </c>
      <c r="M1021" s="100" t="s">
        <v>646</v>
      </c>
    </row>
    <row r="1022" spans="1:13" ht="16.5" thickTop="1" thickBot="1" x14ac:dyDescent="0.3">
      <c r="D1022" s="150"/>
      <c r="E1022" s="159"/>
      <c r="F1022" s="168"/>
      <c r="G1022" s="118"/>
      <c r="H1022" s="106"/>
      <c r="I1022" s="118"/>
      <c r="J1022" s="106"/>
      <c r="K1022" s="118"/>
      <c r="L1022" s="106"/>
    </row>
    <row r="1023" spans="1:13" ht="15.75" thickTop="1" x14ac:dyDescent="0.25">
      <c r="A1023" s="97" t="s">
        <v>77</v>
      </c>
      <c r="B1023" s="97" t="s">
        <v>76</v>
      </c>
      <c r="C1023" s="97" t="s">
        <v>130</v>
      </c>
      <c r="D1023" s="148" t="s">
        <v>635</v>
      </c>
      <c r="E1023" s="157" t="s">
        <v>636</v>
      </c>
      <c r="F1023" s="166" t="s">
        <v>637</v>
      </c>
      <c r="G1023" s="116" t="s">
        <v>638</v>
      </c>
      <c r="H1023" s="104" t="s">
        <v>639</v>
      </c>
      <c r="I1023" s="116" t="s">
        <v>640</v>
      </c>
      <c r="J1023" s="104" t="s">
        <v>641</v>
      </c>
      <c r="K1023" s="116" t="s">
        <v>642</v>
      </c>
      <c r="L1023" s="104" t="s">
        <v>643</v>
      </c>
      <c r="M1023" s="97" t="s">
        <v>644</v>
      </c>
    </row>
    <row r="1024" spans="1:13" x14ac:dyDescent="0.25">
      <c r="A1024" s="99" t="s">
        <v>11</v>
      </c>
      <c r="B1024" s="99"/>
      <c r="C1024" s="99"/>
      <c r="D1024" s="149"/>
      <c r="E1024" s="158"/>
      <c r="F1024" s="167"/>
      <c r="G1024" s="117"/>
      <c r="H1024" s="105"/>
      <c r="I1024" s="117"/>
      <c r="J1024" s="105"/>
      <c r="K1024" s="117"/>
      <c r="L1024" s="105"/>
      <c r="M1024" s="99"/>
    </row>
    <row r="1025" spans="1:13" x14ac:dyDescent="0.25">
      <c r="A1025" s="101"/>
      <c r="B1025" s="101" t="s">
        <v>822</v>
      </c>
      <c r="C1025" s="101" t="s">
        <v>30</v>
      </c>
      <c r="D1025" s="152">
        <f>IFERROR(INDEX('BD Rendimientos'!G:G,MATCH("15.01.04|Clavos galvanizados 2""|Kg.|materiales",'BD Rendimientos'!L:L,0)),"")</f>
        <v>7.3426573426573424E-2</v>
      </c>
      <c r="E1025" s="161">
        <f>IFERROR(INDEX('BD Materiales'!D:D,MATCH("Clavos galvanizados 2""",'BD Materiales'!B:B,0)),"")</f>
        <v>2.0827777777777783</v>
      </c>
      <c r="F1025" s="170">
        <f>IFERROR(D1025*E1025,"")</f>
        <v>0.15293123543123546</v>
      </c>
      <c r="G1025" s="120"/>
      <c r="H1025" s="108"/>
      <c r="I1025" s="120">
        <v>1.26</v>
      </c>
      <c r="J1025" s="108">
        <v>2.2999999999999998</v>
      </c>
      <c r="K1025" s="120"/>
      <c r="L1025" s="108"/>
      <c r="M1025" s="101" t="s">
        <v>647</v>
      </c>
    </row>
    <row r="1026" spans="1:13" x14ac:dyDescent="0.25">
      <c r="A1026" s="99" t="s">
        <v>5</v>
      </c>
      <c r="B1026" s="99"/>
      <c r="C1026" s="99"/>
      <c r="D1026" s="149"/>
      <c r="E1026" s="158"/>
      <c r="F1026" s="167"/>
      <c r="G1026" s="117"/>
      <c r="H1026" s="105"/>
      <c r="I1026" s="117"/>
      <c r="J1026" s="105"/>
      <c r="K1026" s="117"/>
      <c r="L1026" s="105"/>
      <c r="M1026" s="99"/>
    </row>
    <row r="1027" spans="1:13" x14ac:dyDescent="0.25">
      <c r="B1027" t="s">
        <v>75</v>
      </c>
      <c r="C1027" t="s">
        <v>130</v>
      </c>
      <c r="D1027" s="150">
        <f>IFERROR(INDEX('BD Rendimientos'!G:G,MATCH("15.01.04|M. Replanteo Acceso Peatonal|m2|mano_obra",'BD Rendimientos'!L:L,0)),"")</f>
        <v>1</v>
      </c>
      <c r="E1027" s="159">
        <f>IFERROR(INDEX('BD Mano de Obra'!D:D,MATCH("M. Replanteo Acceso Peatonal",'BD Mano de Obra'!B:B,0)),"")</f>
        <v>0.72</v>
      </c>
      <c r="F1027" s="168">
        <f>IFERROR(D1027*E1027,"")</f>
        <v>0.72</v>
      </c>
      <c r="G1027" s="118">
        <v>58.5</v>
      </c>
      <c r="H1027" s="106">
        <v>0.72</v>
      </c>
      <c r="I1027" s="118">
        <v>17.16</v>
      </c>
      <c r="J1027" s="106">
        <v>0.72</v>
      </c>
      <c r="K1027" s="118"/>
      <c r="L1027" s="106"/>
    </row>
    <row r="1028" spans="1:13" ht="16.5" thickBot="1" x14ac:dyDescent="0.3">
      <c r="A1028" s="100"/>
      <c r="B1028" s="100" t="s">
        <v>645</v>
      </c>
      <c r="C1028" s="100" t="s">
        <v>130</v>
      </c>
      <c r="D1028" s="151"/>
      <c r="E1028" s="160"/>
      <c r="F1028" s="169">
        <f>SUM(F1025,F1027)</f>
        <v>0.87293123543123541</v>
      </c>
      <c r="G1028" s="119"/>
      <c r="H1028" s="107">
        <v>0.72</v>
      </c>
      <c r="I1028" s="119"/>
      <c r="J1028" s="107">
        <v>0.88888111888111898</v>
      </c>
      <c r="K1028" s="119"/>
      <c r="L1028" s="107"/>
      <c r="M1028" s="100" t="s">
        <v>646</v>
      </c>
    </row>
    <row r="1029" spans="1:13" ht="16.5" thickTop="1" thickBot="1" x14ac:dyDescent="0.3">
      <c r="D1029" s="150"/>
      <c r="E1029" s="159"/>
      <c r="F1029" s="168"/>
      <c r="G1029" s="118"/>
      <c r="H1029" s="106"/>
      <c r="I1029" s="118"/>
      <c r="J1029" s="106"/>
      <c r="K1029" s="118"/>
      <c r="L1029" s="106"/>
    </row>
    <row r="1030" spans="1:13" ht="15.75" thickTop="1" x14ac:dyDescent="0.25">
      <c r="A1030" s="97" t="s">
        <v>74</v>
      </c>
      <c r="B1030" s="97" t="s">
        <v>73</v>
      </c>
      <c r="C1030" s="97" t="s">
        <v>130</v>
      </c>
      <c r="D1030" s="148" t="s">
        <v>635</v>
      </c>
      <c r="E1030" s="157" t="s">
        <v>636</v>
      </c>
      <c r="F1030" s="166" t="s">
        <v>637</v>
      </c>
      <c r="G1030" s="116" t="s">
        <v>638</v>
      </c>
      <c r="H1030" s="104" t="s">
        <v>639</v>
      </c>
      <c r="I1030" s="116" t="s">
        <v>640</v>
      </c>
      <c r="J1030" s="104" t="s">
        <v>641</v>
      </c>
      <c r="K1030" s="116" t="s">
        <v>642</v>
      </c>
      <c r="L1030" s="104" t="s">
        <v>643</v>
      </c>
      <c r="M1030" s="97" t="s">
        <v>644</v>
      </c>
    </row>
    <row r="1031" spans="1:13" x14ac:dyDescent="0.25">
      <c r="A1031" s="99" t="s">
        <v>11</v>
      </c>
      <c r="B1031" s="99"/>
      <c r="C1031" s="99"/>
      <c r="D1031" s="149"/>
      <c r="E1031" s="158"/>
      <c r="F1031" s="167"/>
      <c r="G1031" s="117"/>
      <c r="H1031" s="105"/>
      <c r="I1031" s="117"/>
      <c r="J1031" s="105"/>
      <c r="K1031" s="117"/>
      <c r="L1031" s="105"/>
      <c r="M1031" s="99"/>
    </row>
    <row r="1032" spans="1:13" x14ac:dyDescent="0.25">
      <c r="A1032" s="101"/>
      <c r="B1032" s="101" t="s">
        <v>788</v>
      </c>
      <c r="C1032" s="101" t="s">
        <v>8</v>
      </c>
      <c r="D1032" s="152">
        <f>IFERROR(INDEX('BD Rendimientos'!G:G,MATCH("15.01.05|Cemento Campeon HS 50KG|qq|materiales",'BD Rendimientos'!L:L,0)),"")</f>
        <v>0.46620046620046618</v>
      </c>
      <c r="E1032" s="161">
        <f>IFERROR(INDEX('BD Materiales'!D:D,MATCH("Cemento Campeon HS 50KG",'BD Materiales'!B:B,0)),"")</f>
        <v>6.7489472778273614</v>
      </c>
      <c r="F1032" s="170">
        <f>IFERROR(D1032*E1032,"")</f>
        <v>3.1463623672854828</v>
      </c>
      <c r="G1032" s="120"/>
      <c r="H1032" s="108"/>
      <c r="I1032" s="120">
        <v>8</v>
      </c>
      <c r="J1032" s="108">
        <v>6.73</v>
      </c>
      <c r="K1032" s="120"/>
      <c r="L1032" s="108"/>
      <c r="M1032" s="101" t="s">
        <v>647</v>
      </c>
    </row>
    <row r="1033" spans="1:13" x14ac:dyDescent="0.25">
      <c r="A1033" s="101"/>
      <c r="B1033" s="101" t="s">
        <v>832</v>
      </c>
      <c r="C1033" s="101" t="s">
        <v>15</v>
      </c>
      <c r="D1033" s="152">
        <f>IFERROR(INDEX('BD Rendimientos'!G:G,MATCH("15.01.05|Costales o saquillos|Uni.|materiales",'BD Rendimientos'!L:L,0)),"")</f>
        <v>0.80128205128205132</v>
      </c>
      <c r="E1033" s="161">
        <f>IFERROR(INDEX('BD Materiales'!D:D,MATCH("Costales o saquillos",'BD Materiales'!B:B,0)),"")</f>
        <v>0.3</v>
      </c>
      <c r="F1033" s="170">
        <f>IFERROR(D1033*E1033,"")</f>
        <v>0.24038461538461539</v>
      </c>
      <c r="G1033" s="120"/>
      <c r="H1033" s="108"/>
      <c r="I1033" s="120"/>
      <c r="J1033" s="108"/>
      <c r="K1033" s="120">
        <v>50</v>
      </c>
      <c r="L1033" s="108">
        <v>0.3</v>
      </c>
      <c r="M1033" s="101" t="s">
        <v>647</v>
      </c>
    </row>
    <row r="1034" spans="1:13" x14ac:dyDescent="0.25">
      <c r="A1034" s="101"/>
      <c r="B1034" s="101" t="s">
        <v>889</v>
      </c>
      <c r="C1034" s="101" t="s">
        <v>6</v>
      </c>
      <c r="D1034" s="152">
        <f>IFERROR(INDEX('BD Rendimientos'!G:G,MATCH("15.01.05|Lastre|m3|materiales",'BD Rendimientos'!L:L,0)),"")</f>
        <v>3.2051282051282055E-2</v>
      </c>
      <c r="E1034" s="161">
        <f>IFERROR(INDEX('BD Materiales'!D:D,MATCH("Lastre",'BD Materiales'!B:B,0)),"")</f>
        <v>12.539166666666667</v>
      </c>
      <c r="F1034" s="170">
        <f>IFERROR(D1034*E1034,"")</f>
        <v>0.40189636752136759</v>
      </c>
      <c r="G1034" s="120"/>
      <c r="H1034" s="108"/>
      <c r="I1034" s="120"/>
      <c r="J1034" s="108"/>
      <c r="K1034" s="120">
        <v>2</v>
      </c>
      <c r="L1034" s="108">
        <v>12.28</v>
      </c>
      <c r="M1034" s="101" t="s">
        <v>647</v>
      </c>
    </row>
    <row r="1035" spans="1:13" x14ac:dyDescent="0.25">
      <c r="A1035" s="101"/>
      <c r="B1035" s="101" t="s">
        <v>603</v>
      </c>
      <c r="C1035" s="101" t="s">
        <v>6</v>
      </c>
      <c r="D1035" s="152">
        <f>IFERROR(INDEX('BD Rendimientos'!G:G,MATCH("15.01.05|Polvo Azul|m3|materiales",'BD Rendimientos'!L:L,0)),"")</f>
        <v>3.7296037296037296E-2</v>
      </c>
      <c r="E1035" s="161">
        <f>IFERROR(INDEX('BD Materiales'!D:D,MATCH("Polvo Azul",'BD Materiales'!B:B,0)),"")</f>
        <v>14.547574523429788</v>
      </c>
      <c r="F1035" s="170">
        <f>IFERROR(D1035*E1035,"")</f>
        <v>0.5425668819927193</v>
      </c>
      <c r="G1035" s="120"/>
      <c r="H1035" s="108"/>
      <c r="I1035" s="120">
        <v>0.64</v>
      </c>
      <c r="J1035" s="108">
        <v>16.48</v>
      </c>
      <c r="K1035" s="120"/>
      <c r="L1035" s="108"/>
      <c r="M1035" s="101" t="s">
        <v>647</v>
      </c>
    </row>
    <row r="1036" spans="1:13" x14ac:dyDescent="0.25">
      <c r="A1036" s="101"/>
      <c r="B1036" s="101" t="s">
        <v>1051</v>
      </c>
      <c r="C1036" s="101" t="s">
        <v>71</v>
      </c>
      <c r="D1036" s="152">
        <f>IFERROR(INDEX('BD Rendimientos'!G:G,MATCH("15.01.05|Varilla Hierro D=14mmx12m|v14|materiales",'BD Rendimientos'!L:L,0)),"")</f>
        <v>0.11655011655011654</v>
      </c>
      <c r="E1036" s="161">
        <f>IFERROR(INDEX('BD Materiales'!D:D,MATCH("Varilla Hierro D=14mmx12m",'BD Materiales'!B:B,0)),"")</f>
        <v>16.299673913043499</v>
      </c>
      <c r="F1036" s="170">
        <f>IFERROR(D1036*E1036,"")</f>
        <v>1.899728894294114</v>
      </c>
      <c r="G1036" s="120"/>
      <c r="H1036" s="108"/>
      <c r="I1036" s="120">
        <v>2</v>
      </c>
      <c r="J1036" s="108">
        <v>16.260000000000002</v>
      </c>
      <c r="K1036" s="120"/>
      <c r="L1036" s="108"/>
      <c r="M1036" s="101" t="s">
        <v>647</v>
      </c>
    </row>
    <row r="1037" spans="1:13" x14ac:dyDescent="0.25">
      <c r="A1037" s="99" t="s">
        <v>5</v>
      </c>
      <c r="B1037" s="99"/>
      <c r="C1037" s="99"/>
      <c r="D1037" s="149"/>
      <c r="E1037" s="158"/>
      <c r="F1037" s="167"/>
      <c r="G1037" s="117"/>
      <c r="H1037" s="105"/>
      <c r="I1037" s="117"/>
      <c r="J1037" s="105"/>
      <c r="K1037" s="117"/>
      <c r="L1037" s="105"/>
      <c r="M1037" s="99"/>
    </row>
    <row r="1038" spans="1:13" x14ac:dyDescent="0.25">
      <c r="B1038" t="s">
        <v>70</v>
      </c>
      <c r="C1038" t="s">
        <v>130</v>
      </c>
      <c r="D1038" s="150">
        <f>IFERROR(INDEX('BD Rendimientos'!G:G,MATCH("15.01.05|M. Conformación plataforma - Acceso Peatonal|m2|mano_obra",'BD Rendimientos'!L:L,0)),"")</f>
        <v>1</v>
      </c>
      <c r="E1038" s="159">
        <f>IFERROR(INDEX('BD Mano de Obra'!D:D,MATCH("M. Conformación plataforma - Acceso Peatonal",'BD Mano de Obra'!B:B,0)),"")</f>
        <v>0.69999999999999984</v>
      </c>
      <c r="F1038" s="168">
        <f>IFERROR(D1038*E1038,"")</f>
        <v>0.69999999999999984</v>
      </c>
      <c r="G1038" s="118">
        <v>58.5</v>
      </c>
      <c r="H1038" s="106">
        <v>0.7</v>
      </c>
      <c r="I1038" s="118">
        <v>17.16</v>
      </c>
      <c r="J1038" s="106">
        <v>0.7</v>
      </c>
      <c r="K1038" s="118">
        <v>62.4</v>
      </c>
      <c r="L1038" s="106">
        <v>0.7</v>
      </c>
    </row>
    <row r="1039" spans="1:13" ht="16.5" thickBot="1" x14ac:dyDescent="0.3">
      <c r="A1039" s="100"/>
      <c r="B1039" s="100" t="s">
        <v>645</v>
      </c>
      <c r="C1039" s="100" t="s">
        <v>130</v>
      </c>
      <c r="D1039" s="151"/>
      <c r="E1039" s="160"/>
      <c r="F1039" s="169">
        <f>SUM(F1032,F1033,F1034,F1035,F1036,F1038)</f>
        <v>6.9309391264782994</v>
      </c>
      <c r="G1039" s="119"/>
      <c r="H1039" s="107">
        <v>0.7</v>
      </c>
      <c r="I1039" s="119"/>
      <c r="J1039" s="107">
        <v>6.3472727272727303</v>
      </c>
      <c r="K1039" s="119"/>
      <c r="L1039" s="107">
        <v>1.33397435897436</v>
      </c>
      <c r="M1039" s="100" t="s">
        <v>646</v>
      </c>
    </row>
    <row r="1040" spans="1:13" ht="16.5" thickTop="1" thickBot="1" x14ac:dyDescent="0.3">
      <c r="D1040" s="150"/>
      <c r="E1040" s="159"/>
      <c r="F1040" s="168"/>
      <c r="G1040" s="118"/>
      <c r="H1040" s="106"/>
      <c r="I1040" s="118"/>
      <c r="J1040" s="106"/>
      <c r="K1040" s="118"/>
      <c r="L1040" s="106"/>
    </row>
    <row r="1041" spans="1:13" ht="15.75" thickTop="1" x14ac:dyDescent="0.25">
      <c r="A1041" s="97" t="s">
        <v>69</v>
      </c>
      <c r="B1041" s="97" t="s">
        <v>516</v>
      </c>
      <c r="C1041" s="97" t="s">
        <v>130</v>
      </c>
      <c r="D1041" s="148" t="s">
        <v>635</v>
      </c>
      <c r="E1041" s="157" t="s">
        <v>636</v>
      </c>
      <c r="F1041" s="166" t="s">
        <v>637</v>
      </c>
      <c r="G1041" s="116" t="s">
        <v>638</v>
      </c>
      <c r="H1041" s="104" t="s">
        <v>639</v>
      </c>
      <c r="I1041" s="116" t="s">
        <v>640</v>
      </c>
      <c r="J1041" s="104" t="s">
        <v>641</v>
      </c>
      <c r="K1041" s="116" t="s">
        <v>642</v>
      </c>
      <c r="L1041" s="104" t="s">
        <v>643</v>
      </c>
      <c r="M1041" s="97" t="s">
        <v>644</v>
      </c>
    </row>
    <row r="1042" spans="1:13" x14ac:dyDescent="0.25">
      <c r="A1042" s="99" t="s">
        <v>11</v>
      </c>
      <c r="B1042" s="99"/>
      <c r="C1042" s="99"/>
      <c r="D1042" s="149"/>
      <c r="E1042" s="158"/>
      <c r="F1042" s="167"/>
      <c r="G1042" s="117"/>
      <c r="H1042" s="105"/>
      <c r="I1042" s="117"/>
      <c r="J1042" s="105"/>
      <c r="K1042" s="117"/>
      <c r="L1042" s="105"/>
      <c r="M1042" s="99"/>
    </row>
    <row r="1043" spans="1:13" x14ac:dyDescent="0.25">
      <c r="A1043" s="101"/>
      <c r="B1043" s="101" t="s">
        <v>777</v>
      </c>
      <c r="C1043" s="101" t="s">
        <v>15</v>
      </c>
      <c r="D1043" s="152">
        <f>IFERROR(INDEX('BD Rendimientos'!G:G,MATCH("15.01.06|Carretilla Polvo Azul|Uni.|materiales",'BD Rendimientos'!L:L,0)),"")</f>
        <v>0.12820512820512822</v>
      </c>
      <c r="E1043" s="161">
        <f>IFERROR(INDEX('BD Materiales'!D:D,MATCH("Carretilla Polvo Azul",'BD Materiales'!B:B,0)),"")</f>
        <v>1.131875</v>
      </c>
      <c r="F1043" s="170">
        <f>IFERROR(D1043*E1043,"")</f>
        <v>0.1451121794871795</v>
      </c>
      <c r="G1043" s="120"/>
      <c r="H1043" s="108"/>
      <c r="I1043" s="120"/>
      <c r="J1043" s="108"/>
      <c r="K1043" s="120">
        <v>8</v>
      </c>
      <c r="L1043" s="108">
        <v>1.13375</v>
      </c>
      <c r="M1043" s="101" t="s">
        <v>647</v>
      </c>
    </row>
    <row r="1044" spans="1:13" x14ac:dyDescent="0.25">
      <c r="A1044" s="101"/>
      <c r="B1044" s="101" t="s">
        <v>779</v>
      </c>
      <c r="C1044" s="101" t="s">
        <v>15</v>
      </c>
      <c r="D1044" s="152">
        <f>IFERROR(INDEX('BD Rendimientos'!G:G,MATCH("15.01.06|Carretilla Ripio|Uni.|materiales",'BD Rendimientos'!L:L,0)),"")</f>
        <v>0.16025641025641027</v>
      </c>
      <c r="E1044" s="161">
        <f>IFERROR(INDEX('BD Materiales'!D:D,MATCH("Carretilla Ripio",'BD Materiales'!B:B,0)),"")</f>
        <v>1.1339999999999999</v>
      </c>
      <c r="F1044" s="170">
        <f>IFERROR(D1044*E1044,"")</f>
        <v>0.18173076923076922</v>
      </c>
      <c r="G1044" s="120"/>
      <c r="H1044" s="108"/>
      <c r="I1044" s="120"/>
      <c r="J1044" s="108"/>
      <c r="K1044" s="120">
        <v>10</v>
      </c>
      <c r="L1044" s="108">
        <v>1.1339999999999999</v>
      </c>
      <c r="M1044" s="101" t="s">
        <v>647</v>
      </c>
    </row>
    <row r="1045" spans="1:13" x14ac:dyDescent="0.25">
      <c r="A1045" s="101"/>
      <c r="B1045" s="101" t="s">
        <v>788</v>
      </c>
      <c r="C1045" s="101" t="s">
        <v>8</v>
      </c>
      <c r="D1045" s="152">
        <f>IFERROR(INDEX('BD Rendimientos'!G:G,MATCH("15.01.06|Cemento Campeon HS 50KG|qq|materiales",'BD Rendimientos'!L:L,0)),"")</f>
        <v>0.99358974358974361</v>
      </c>
      <c r="E1045" s="161">
        <f>IFERROR(INDEX('BD Materiales'!D:D,MATCH("Cemento Campeon HS 50KG",'BD Materiales'!B:B,0)),"")</f>
        <v>6.7489472778273614</v>
      </c>
      <c r="F1045" s="170">
        <f>IFERROR(D1045*E1045,"")</f>
        <v>6.7056847952771861</v>
      </c>
      <c r="G1045" s="120"/>
      <c r="H1045" s="108"/>
      <c r="I1045" s="120"/>
      <c r="J1045" s="108"/>
      <c r="K1045" s="120">
        <v>62</v>
      </c>
      <c r="L1045" s="108">
        <v>6.7643548387096804</v>
      </c>
      <c r="M1045" s="101" t="s">
        <v>647</v>
      </c>
    </row>
    <row r="1046" spans="1:13" x14ac:dyDescent="0.25">
      <c r="A1046" s="101"/>
      <c r="B1046" s="101" t="s">
        <v>836</v>
      </c>
      <c r="C1046" s="101" t="s">
        <v>15</v>
      </c>
      <c r="D1046" s="152">
        <f>IFERROR(INDEX('BD Rendimientos'!G:G,MATCH("15.01.06|Cuartón 6 x 4 de eucalipto|Uni.|materiales",'BD Rendimientos'!L:L,0)),"")</f>
        <v>0.32051282051282054</v>
      </c>
      <c r="E1046" s="161">
        <f>IFERROR(INDEX('BD Materiales'!D:D,MATCH("Cuartón 6 x 4 de eucalipto",'BD Materiales'!B:B,0)),"")</f>
        <v>2.15</v>
      </c>
      <c r="F1046" s="170">
        <f>IFERROR(D1046*E1046,"")</f>
        <v>0.6891025641025641</v>
      </c>
      <c r="G1046" s="120"/>
      <c r="H1046" s="108"/>
      <c r="I1046" s="120"/>
      <c r="J1046" s="108"/>
      <c r="K1046" s="120">
        <v>20</v>
      </c>
      <c r="L1046" s="108">
        <v>2.15</v>
      </c>
      <c r="M1046" s="101" t="s">
        <v>647</v>
      </c>
    </row>
    <row r="1047" spans="1:13" x14ac:dyDescent="0.25">
      <c r="A1047" s="101"/>
      <c r="B1047" s="101" t="s">
        <v>849</v>
      </c>
      <c r="C1047" s="101" t="s">
        <v>15</v>
      </c>
      <c r="D1047" s="152">
        <f>IFERROR(INDEX('BD Rendimientos'!G:G,MATCH("15.01.06|Disco de corte de diamante 7""|Uni.|materiales",'BD Rendimientos'!L:L,0)),"")</f>
        <v>3.2051282051282055E-2</v>
      </c>
      <c r="E1047" s="161">
        <f>IFERROR(INDEX('BD Materiales'!D:D,MATCH("Disco de corte de diamante 7""",'BD Materiales'!B:B,0)),"")</f>
        <v>4.8216666666666663</v>
      </c>
      <c r="F1047" s="170">
        <f>IFERROR(D1047*E1047,"")</f>
        <v>0.1545405982905983</v>
      </c>
      <c r="G1047" s="120"/>
      <c r="H1047" s="108"/>
      <c r="I1047" s="120"/>
      <c r="J1047" s="108"/>
      <c r="K1047" s="120">
        <v>2</v>
      </c>
      <c r="L1047" s="108">
        <v>4.8150000000000004</v>
      </c>
      <c r="M1047" s="101" t="s">
        <v>647</v>
      </c>
    </row>
    <row r="1048" spans="1:13" x14ac:dyDescent="0.25">
      <c r="A1048" s="101"/>
      <c r="B1048" s="101" t="s">
        <v>407</v>
      </c>
      <c r="C1048" s="101" t="s">
        <v>15</v>
      </c>
      <c r="D1048" s="152">
        <f>IFERROR(INDEX('BD Rendimientos'!G:G,MATCH("15.01.06|Disco de corte de hierro 9"" (Me (Disco de corte de hierro 9"" (Metal))|Uni.|materiales",'BD Rendimientos'!L:L,0)),"")</f>
        <v>1.6025641025641028E-2</v>
      </c>
      <c r="E1048" s="161">
        <f>IFERROR(INDEX('BD Materiales'!D:D,MATCH("Disco de corte de hierro 9"" (Me (Disco de corte de hierro 9"" (Metal))",'BD Materiales'!B:B,0)),"")</f>
        <v>2.404166666666665</v>
      </c>
      <c r="F1048" s="170">
        <f>IFERROR(D1048*E1048,"")</f>
        <v>3.8528311965811947E-2</v>
      </c>
      <c r="G1048" s="120"/>
      <c r="H1048" s="108"/>
      <c r="I1048" s="120"/>
      <c r="J1048" s="108"/>
      <c r="K1048" s="120">
        <v>1</v>
      </c>
      <c r="L1048" s="108">
        <v>2.27</v>
      </c>
      <c r="M1048" s="101" t="s">
        <v>647</v>
      </c>
    </row>
    <row r="1049" spans="1:13" x14ac:dyDescent="0.25">
      <c r="A1049" s="101"/>
      <c r="B1049" s="101" t="s">
        <v>889</v>
      </c>
      <c r="C1049" s="101" t="s">
        <v>6</v>
      </c>
      <c r="D1049" s="152">
        <f>IFERROR(INDEX('BD Rendimientos'!G:G,MATCH("15.01.06|Lastre|m3|materiales",'BD Rendimientos'!L:L,0)),"")</f>
        <v>3.2051282051282055E-2</v>
      </c>
      <c r="E1049" s="161">
        <f>IFERROR(INDEX('BD Materiales'!D:D,MATCH("Lastre",'BD Materiales'!B:B,0)),"")</f>
        <v>12.539166666666667</v>
      </c>
      <c r="F1049" s="170">
        <f>IFERROR(D1049*E1049,"")</f>
        <v>0.40189636752136759</v>
      </c>
      <c r="G1049" s="120"/>
      <c r="H1049" s="108"/>
      <c r="I1049" s="120"/>
      <c r="J1049" s="108"/>
      <c r="K1049" s="120">
        <v>2</v>
      </c>
      <c r="L1049" s="108">
        <v>12.855</v>
      </c>
      <c r="M1049" s="101" t="s">
        <v>647</v>
      </c>
    </row>
    <row r="1050" spans="1:13" x14ac:dyDescent="0.25">
      <c r="A1050" s="101"/>
      <c r="B1050" s="101" t="s">
        <v>960</v>
      </c>
      <c r="C1050" s="101" t="s">
        <v>15</v>
      </c>
      <c r="D1050" s="152">
        <f>IFERROR(INDEX('BD Rendimientos'!G:G,MATCH("15.01.06|Plastocrete 161 HE 4KG|Uni.|materiales",'BD Rendimientos'!L:L,0)),"")</f>
        <v>1.6025641025641028E-2</v>
      </c>
      <c r="E1050" s="161">
        <f>IFERROR(INDEX('BD Materiales'!D:D,MATCH("Plastocrete 161 HE 4KG",'BD Materiales'!B:B,0)),"")</f>
        <v>9.82</v>
      </c>
      <c r="F1050" s="170">
        <f>IFERROR(D1050*E1050,"")</f>
        <v>0.1573717948717949</v>
      </c>
      <c r="G1050" s="120"/>
      <c r="H1050" s="108"/>
      <c r="I1050" s="120"/>
      <c r="J1050" s="108"/>
      <c r="K1050" s="120">
        <v>1</v>
      </c>
      <c r="L1050" s="108">
        <v>9.82</v>
      </c>
      <c r="M1050" s="101" t="s">
        <v>647</v>
      </c>
    </row>
    <row r="1051" spans="1:13" x14ac:dyDescent="0.25">
      <c r="A1051" s="101"/>
      <c r="B1051" s="101" t="s">
        <v>603</v>
      </c>
      <c r="C1051" s="101" t="s">
        <v>6</v>
      </c>
      <c r="D1051" s="152">
        <f>IFERROR(INDEX('BD Rendimientos'!G:G,MATCH("15.01.06|Polvo Azul|m3|materiales",'BD Rendimientos'!L:L,0)),"")</f>
        <v>0.13846153846153847</v>
      </c>
      <c r="E1051" s="161">
        <f>IFERROR(INDEX('BD Materiales'!D:D,MATCH("Polvo Azul",'BD Materiales'!B:B,0)),"")</f>
        <v>14.547574523429788</v>
      </c>
      <c r="F1051" s="170">
        <f>IFERROR(D1051*E1051,"")</f>
        <v>2.0142795493979708</v>
      </c>
      <c r="G1051" s="120"/>
      <c r="H1051" s="108"/>
      <c r="I1051" s="120"/>
      <c r="J1051" s="108"/>
      <c r="K1051" s="120">
        <v>8.64</v>
      </c>
      <c r="L1051" s="108">
        <v>16.8611111111111</v>
      </c>
      <c r="M1051" s="101" t="s">
        <v>647</v>
      </c>
    </row>
    <row r="1052" spans="1:13" x14ac:dyDescent="0.25">
      <c r="A1052" s="101"/>
      <c r="B1052" s="101" t="s">
        <v>602</v>
      </c>
      <c r="C1052" s="101" t="s">
        <v>6</v>
      </c>
      <c r="D1052" s="152">
        <f>IFERROR(INDEX('BD Rendimientos'!G:G,MATCH("15.01.06|Ripio|m3|materiales",'BD Rendimientos'!L:L,0)),"")</f>
        <v>5.5769230769230772E-2</v>
      </c>
      <c r="E1052" s="161">
        <f>IFERROR(INDEX('BD Materiales'!D:D,MATCH("Ripio",'BD Materiales'!B:B,0)),"")</f>
        <v>13.895122287420717</v>
      </c>
      <c r="F1052" s="170">
        <f>IFERROR(D1052*E1052,"")</f>
        <v>0.77492028141384772</v>
      </c>
      <c r="G1052" s="120"/>
      <c r="H1052" s="108"/>
      <c r="I1052" s="120"/>
      <c r="J1052" s="108"/>
      <c r="K1052" s="120">
        <v>3.48</v>
      </c>
      <c r="L1052" s="108">
        <v>20.109195402298901</v>
      </c>
      <c r="M1052" s="101" t="s">
        <v>647</v>
      </c>
    </row>
    <row r="1053" spans="1:13" x14ac:dyDescent="0.25">
      <c r="A1053" s="101"/>
      <c r="B1053" s="101" t="s">
        <v>606</v>
      </c>
      <c r="C1053" s="101" t="s">
        <v>15</v>
      </c>
      <c r="D1053" s="152">
        <f>IFERROR(INDEX('BD Rendimientos'!G:G,MATCH("15.01.06|Tablas de Monte|Uni.|materiales",'BD Rendimientos'!L:L,0)),"")</f>
        <v>0.72115384615384615</v>
      </c>
      <c r="E1053" s="161">
        <f>IFERROR(INDEX('BD Materiales'!D:D,MATCH("Tablas de Monte",'BD Materiales'!B:B,0)),"")</f>
        <v>2.4034925925925932</v>
      </c>
      <c r="F1053" s="170">
        <f>IFERROR(D1053*E1053,"")</f>
        <v>1.7332879273504278</v>
      </c>
      <c r="G1053" s="120"/>
      <c r="H1053" s="108"/>
      <c r="I1053" s="120"/>
      <c r="J1053" s="108"/>
      <c r="K1053" s="120">
        <v>45</v>
      </c>
      <c r="L1053" s="108">
        <v>2.3866666666666698</v>
      </c>
      <c r="M1053" s="101" t="s">
        <v>647</v>
      </c>
    </row>
    <row r="1054" spans="1:13" x14ac:dyDescent="0.25">
      <c r="A1054" s="101"/>
      <c r="B1054" s="101" t="s">
        <v>1038</v>
      </c>
      <c r="C1054" s="101" t="s">
        <v>15</v>
      </c>
      <c r="D1054" s="152">
        <f>IFERROR(INDEX('BD Rendimientos'!G:G,MATCH("15.01.06|Tubo PVC desague 75mm x 3mts (Tubo PVC desague 75mm x 3mts Rival )|Uni.|materiales",'BD Rendimientos'!L:L,0)),"")</f>
        <v>6.4102564102564111E-2</v>
      </c>
      <c r="E1054" s="161">
        <f>IFERROR(INDEX('BD Materiales'!D:D,MATCH("Tubo PVC desague 75mm x 3mts (Tubo PVC desague 75mm x 3mts Rival )",'BD Materiales'!B:B,0)),"")</f>
        <v>5.9124999999999996</v>
      </c>
      <c r="F1054" s="170">
        <f>IFERROR(D1054*E1054,"")</f>
        <v>0.3790064102564103</v>
      </c>
      <c r="G1054" s="120"/>
      <c r="H1054" s="108"/>
      <c r="I1054" s="120"/>
      <c r="J1054" s="108"/>
      <c r="K1054" s="120">
        <v>4</v>
      </c>
      <c r="L1054" s="108">
        <v>5.9124999999999996</v>
      </c>
      <c r="M1054" s="101" t="s">
        <v>647</v>
      </c>
    </row>
    <row r="1055" spans="1:13" x14ac:dyDescent="0.25">
      <c r="A1055" s="99" t="s">
        <v>5</v>
      </c>
      <c r="B1055" s="99"/>
      <c r="C1055" s="99"/>
      <c r="D1055" s="149"/>
      <c r="E1055" s="158"/>
      <c r="F1055" s="167"/>
      <c r="G1055" s="117"/>
      <c r="H1055" s="105"/>
      <c r="I1055" s="117"/>
      <c r="J1055" s="105"/>
      <c r="K1055" s="117"/>
      <c r="L1055" s="105"/>
      <c r="M1055" s="99"/>
    </row>
    <row r="1056" spans="1:13" x14ac:dyDescent="0.25">
      <c r="B1056" t="s">
        <v>517</v>
      </c>
      <c r="C1056" t="s">
        <v>130</v>
      </c>
      <c r="D1056" s="150">
        <f>IFERROR(INDEX('BD Rendimientos'!G:G,MATCH("15.01.06|M. Acceso Peatonal (Obra Civil)|m2|mano_obra",'BD Rendimientos'!L:L,0)),"")</f>
        <v>1</v>
      </c>
      <c r="E1056" s="159">
        <f>IFERROR(INDEX('BD Mano de Obra'!D:D,MATCH("M. Acceso Peatonal (Obra Civil)",'BD Mano de Obra'!B:B,0)),"")</f>
        <v>7</v>
      </c>
      <c r="F1056" s="168">
        <f>IFERROR(D1056*E1056,"")</f>
        <v>7</v>
      </c>
      <c r="G1056" s="118">
        <v>58.5</v>
      </c>
      <c r="H1056" s="106">
        <v>7</v>
      </c>
      <c r="I1056" s="118"/>
      <c r="J1056" s="106"/>
      <c r="K1056" s="118">
        <v>62.4</v>
      </c>
      <c r="L1056" s="106">
        <v>7</v>
      </c>
    </row>
    <row r="1057" spans="1:13" x14ac:dyDescent="0.25">
      <c r="A1057" s="99" t="s">
        <v>2</v>
      </c>
      <c r="B1057" s="99"/>
      <c r="C1057" s="99"/>
      <c r="D1057" s="149"/>
      <c r="E1057" s="158"/>
      <c r="F1057" s="167"/>
      <c r="G1057" s="117"/>
      <c r="H1057" s="105"/>
      <c r="I1057" s="117"/>
      <c r="J1057" s="105"/>
      <c r="K1057" s="117"/>
      <c r="L1057" s="105"/>
      <c r="M1057" s="99"/>
    </row>
    <row r="1058" spans="1:13" x14ac:dyDescent="0.25">
      <c r="A1058" s="101"/>
      <c r="B1058" s="101" t="s">
        <v>1188</v>
      </c>
      <c r="C1058" s="101" t="s">
        <v>15</v>
      </c>
      <c r="D1058" s="152">
        <f>IFERROR(INDEX('BD Rendimientos'!G:G,MATCH("15.01.06|Alquiler compactador sapo|Uni.|equipo",'BD Rendimientos'!L:L,0)),"")</f>
        <v>0.25176282051282051</v>
      </c>
      <c r="E1058" s="161">
        <f>IFERROR(INDEX('BD Equipo'!D:D,MATCH("Alquiler compactador sapo",'BD Equipo'!B:B,0)),"")</f>
        <v>25</v>
      </c>
      <c r="F1058" s="170">
        <f>IFERROR(D1058*E1058,"")</f>
        <v>6.2940705128205128</v>
      </c>
      <c r="G1058" s="120"/>
      <c r="H1058" s="108"/>
      <c r="I1058" s="120"/>
      <c r="J1058" s="108"/>
      <c r="K1058" s="120">
        <v>15.71</v>
      </c>
      <c r="L1058" s="108">
        <v>25</v>
      </c>
      <c r="M1058" s="101" t="s">
        <v>647</v>
      </c>
    </row>
    <row r="1059" spans="1:13" ht="16.5" thickBot="1" x14ac:dyDescent="0.3">
      <c r="A1059" s="100"/>
      <c r="B1059" s="100" t="s">
        <v>645</v>
      </c>
      <c r="C1059" s="100" t="s">
        <v>130</v>
      </c>
      <c r="D1059" s="151"/>
      <c r="E1059" s="160"/>
      <c r="F1059" s="169">
        <f>SUM(F1043,F1044,F1045,F1046,F1047,F1048,F1049,F1050,F1051,F1052,F1053,F1054,F1056,F1058)</f>
        <v>26.669532061986438</v>
      </c>
      <c r="G1059" s="119"/>
      <c r="H1059" s="107">
        <v>7</v>
      </c>
      <c r="I1059" s="119"/>
      <c r="J1059" s="107"/>
      <c r="K1059" s="119"/>
      <c r="L1059" s="107">
        <v>27.347596153846201</v>
      </c>
      <c r="M1059" s="100" t="s">
        <v>646</v>
      </c>
    </row>
    <row r="1060" spans="1:13" ht="16.5" thickTop="1" thickBot="1" x14ac:dyDescent="0.3">
      <c r="D1060" s="150"/>
      <c r="E1060" s="159"/>
      <c r="F1060" s="168"/>
      <c r="G1060" s="118"/>
      <c r="H1060" s="106"/>
      <c r="I1060" s="118"/>
      <c r="J1060" s="106"/>
      <c r="K1060" s="118"/>
      <c r="L1060" s="106"/>
    </row>
    <row r="1061" spans="1:13" ht="15.75" thickTop="1" x14ac:dyDescent="0.25">
      <c r="A1061" s="97" t="s">
        <v>66</v>
      </c>
      <c r="B1061" s="97" t="s">
        <v>68</v>
      </c>
      <c r="C1061" s="97" t="s">
        <v>130</v>
      </c>
      <c r="D1061" s="148" t="s">
        <v>635</v>
      </c>
      <c r="E1061" s="157" t="s">
        <v>636</v>
      </c>
      <c r="F1061" s="166" t="s">
        <v>637</v>
      </c>
      <c r="G1061" s="116" t="s">
        <v>638</v>
      </c>
      <c r="H1061" s="104" t="s">
        <v>639</v>
      </c>
      <c r="I1061" s="116" t="s">
        <v>640</v>
      </c>
      <c r="J1061" s="104" t="s">
        <v>641</v>
      </c>
      <c r="K1061" s="116" t="s">
        <v>642</v>
      </c>
      <c r="L1061" s="104" t="s">
        <v>643</v>
      </c>
      <c r="M1061" s="97" t="s">
        <v>644</v>
      </c>
    </row>
    <row r="1062" spans="1:13" x14ac:dyDescent="0.25">
      <c r="A1062" s="99" t="s">
        <v>11</v>
      </c>
      <c r="B1062" s="99"/>
      <c r="C1062" s="99"/>
      <c r="D1062" s="149"/>
      <c r="E1062" s="158"/>
      <c r="F1062" s="167"/>
      <c r="G1062" s="117"/>
      <c r="H1062" s="105"/>
      <c r="I1062" s="117"/>
      <c r="J1062" s="105"/>
      <c r="K1062" s="117"/>
      <c r="L1062" s="105"/>
      <c r="M1062" s="99"/>
    </row>
    <row r="1063" spans="1:13" x14ac:dyDescent="0.25">
      <c r="A1063" s="101"/>
      <c r="B1063" s="101" t="s">
        <v>800</v>
      </c>
      <c r="C1063" s="101" t="s">
        <v>15</v>
      </c>
      <c r="D1063" s="152">
        <f>IFERROR(INDEX('BD Rendimientos'!G:G,MATCH("15.01.07|Cinta Masking|Uni.|materiales",'BD Rendimientos'!L:L,0)),"")</f>
        <v>0.16025641025641027</v>
      </c>
      <c r="E1063" s="161">
        <f>IFERROR(INDEX('BD Materiales'!D:D,MATCH("Cinta Masking",'BD Materiales'!B:B,0)),"")</f>
        <v>1.4500000000000002</v>
      </c>
      <c r="F1063" s="170">
        <f>IFERROR(D1063*E1063,"")</f>
        <v>0.23237179487179491</v>
      </c>
      <c r="G1063" s="120"/>
      <c r="H1063" s="108"/>
      <c r="I1063" s="120"/>
      <c r="J1063" s="108"/>
      <c r="K1063" s="120">
        <v>10</v>
      </c>
      <c r="L1063" s="108">
        <v>1.2</v>
      </c>
      <c r="M1063" s="101" t="s">
        <v>647</v>
      </c>
    </row>
    <row r="1064" spans="1:13" x14ac:dyDescent="0.25">
      <c r="A1064" s="101"/>
      <c r="B1064" s="101" t="s">
        <v>916</v>
      </c>
      <c r="C1064" s="101" t="s">
        <v>15</v>
      </c>
      <c r="D1064" s="152">
        <f>IFERROR(INDEX('BD Rendimientos'!G:G,MATCH("15.01.07|Masking Abro 2x40|Uni.|materiales",'BD Rendimientos'!L:L,0)),"")</f>
        <v>8.0128205128205135E-2</v>
      </c>
      <c r="E1064" s="161">
        <f>IFERROR(INDEX('BD Materiales'!D:D,MATCH("Masking Abro 2x40",'BD Materiales'!B:B,0)),"")</f>
        <v>1.4315370370370375</v>
      </c>
      <c r="F1064" s="170">
        <f>IFERROR(D1064*E1064,"")</f>
        <v>0.11470649335232673</v>
      </c>
      <c r="G1064" s="120"/>
      <c r="H1064" s="108"/>
      <c r="I1064" s="120"/>
      <c r="J1064" s="108"/>
      <c r="K1064" s="120">
        <v>5</v>
      </c>
      <c r="L1064" s="108">
        <v>0.95799999999999996</v>
      </c>
      <c r="M1064" s="101" t="s">
        <v>647</v>
      </c>
    </row>
    <row r="1065" spans="1:13" x14ac:dyDescent="0.25">
      <c r="A1065" s="101"/>
      <c r="B1065" s="101" t="s">
        <v>953</v>
      </c>
      <c r="C1065" s="101" t="s">
        <v>15</v>
      </c>
      <c r="D1065" s="152">
        <f>IFERROR(INDEX('BD Rendimientos'!G:G,MATCH("15.01.07|Plancha espumaflex 5cm|Uni.|materiales",'BD Rendimientos'!L:L,0)),"")</f>
        <v>6.4102564102564111E-2</v>
      </c>
      <c r="E1065" s="161">
        <f>IFERROR(INDEX('BD Materiales'!D:D,MATCH("Plancha espumaflex 5cm",'BD Materiales'!B:B,0)),"")</f>
        <v>9.5184999999999995</v>
      </c>
      <c r="F1065" s="170">
        <f>IFERROR(D1065*E1065,"")</f>
        <v>0.61016025641025651</v>
      </c>
      <c r="G1065" s="120"/>
      <c r="H1065" s="108"/>
      <c r="I1065" s="120"/>
      <c r="J1065" s="108"/>
      <c r="K1065" s="120">
        <v>4</v>
      </c>
      <c r="L1065" s="108">
        <v>8.7225000000000001</v>
      </c>
      <c r="M1065" s="101" t="s">
        <v>647</v>
      </c>
    </row>
    <row r="1066" spans="1:13" x14ac:dyDescent="0.25">
      <c r="A1066" s="101"/>
      <c r="B1066" s="101" t="s">
        <v>955</v>
      </c>
      <c r="C1066" s="101" t="s">
        <v>15</v>
      </c>
      <c r="D1066" s="152">
        <f>IFERROR(INDEX('BD Rendimientos'!G:G,MATCH("15.01.07|Plastico Enmascarar 220cmx25m|Uni.|materiales",'BD Rendimientos'!L:L,0)),"")</f>
        <v>8.0128205128205135E-2</v>
      </c>
      <c r="E1066" s="161">
        <f>IFERROR(INDEX('BD Materiales'!D:D,MATCH("Plastico Enmascarar 220cmx25m",'BD Materiales'!B:B,0)),"")</f>
        <v>2.3980000000000001</v>
      </c>
      <c r="F1066" s="170">
        <f>IFERROR(D1066*E1066,"")</f>
        <v>0.19214743589743594</v>
      </c>
      <c r="G1066" s="120"/>
      <c r="H1066" s="108"/>
      <c r="I1066" s="120"/>
      <c r="J1066" s="108"/>
      <c r="K1066" s="120">
        <v>5</v>
      </c>
      <c r="L1066" s="108">
        <v>2.3039999999999998</v>
      </c>
      <c r="M1066" s="101" t="s">
        <v>647</v>
      </c>
    </row>
    <row r="1067" spans="1:13" x14ac:dyDescent="0.25">
      <c r="A1067" s="101"/>
      <c r="B1067" s="101" t="s">
        <v>370</v>
      </c>
      <c r="C1067" s="101" t="s">
        <v>144</v>
      </c>
      <c r="D1067" s="152">
        <f>IFERROR(INDEX('BD Rendimientos'!G:G,MATCH("15.01.07|Plastico Negro 1.5 mts (Plastico Negro 1.5 mts (1.98mts x kg) (50.50 kilos))|rollo|materiales",'BD Rendimientos'!L:L,0)),"")</f>
        <v>9.6153846153846159E-3</v>
      </c>
      <c r="E1067" s="161">
        <f>IFERROR(INDEX('BD Materiales'!D:D,MATCH("Plastico Negro 1.5 mts (Plastico Negro 1.5 mts (1.98mts x kg) (50.50 kilos))",'BD Materiales'!B:B,0)),"")</f>
        <v>67.681818181818173</v>
      </c>
      <c r="F1067" s="170">
        <f>IFERROR(D1067*E1067,"")</f>
        <v>0.65078671328671323</v>
      </c>
      <c r="G1067" s="120"/>
      <c r="H1067" s="108"/>
      <c r="I1067" s="120"/>
      <c r="J1067" s="108"/>
      <c r="K1067" s="120">
        <v>0.6</v>
      </c>
      <c r="L1067" s="108">
        <v>62.4</v>
      </c>
      <c r="M1067" s="101" t="s">
        <v>647</v>
      </c>
    </row>
    <row r="1068" spans="1:13" x14ac:dyDescent="0.25">
      <c r="A1068" s="99" t="s">
        <v>5</v>
      </c>
      <c r="B1068" s="99"/>
      <c r="C1068" s="99"/>
      <c r="D1068" s="149"/>
      <c r="E1068" s="158"/>
      <c r="F1068" s="167"/>
      <c r="G1068" s="117"/>
      <c r="H1068" s="105"/>
      <c r="I1068" s="117"/>
      <c r="J1068" s="105"/>
      <c r="K1068" s="117"/>
      <c r="L1068" s="105"/>
      <c r="M1068" s="99"/>
    </row>
    <row r="1069" spans="1:13" x14ac:dyDescent="0.25">
      <c r="A1069" s="101"/>
      <c r="B1069" s="101" t="s">
        <v>67</v>
      </c>
      <c r="C1069" s="101" t="s">
        <v>130</v>
      </c>
      <c r="D1069" s="152">
        <f>IFERROR(INDEX('BD Rendimientos'!G:G,MATCH("15.01.07|M. Plástico Polietileno 2 Capas (Acceso peatonal)|m2|mano_obra",'BD Rendimientos'!L:L,0)),"")</f>
        <v>1</v>
      </c>
      <c r="E1069" s="161">
        <f>IFERROR(INDEX('BD Mano de Obra'!D:D,MATCH("M. Plástico Polietileno 2 Capas (Acceso peatonal)",'BD Mano de Obra'!B:B,0)),"")</f>
        <v>0.36</v>
      </c>
      <c r="F1069" s="170">
        <f>IFERROR(D1069*E1069,"")</f>
        <v>0.36</v>
      </c>
      <c r="G1069" s="120">
        <v>117</v>
      </c>
      <c r="H1069" s="108">
        <v>0.36</v>
      </c>
      <c r="I1069" s="120"/>
      <c r="J1069" s="108"/>
      <c r="K1069" s="120">
        <v>62.4</v>
      </c>
      <c r="L1069" s="108"/>
      <c r="M1069" s="101" t="s">
        <v>647</v>
      </c>
    </row>
    <row r="1070" spans="1:13" ht="16.5" thickBot="1" x14ac:dyDescent="0.3">
      <c r="A1070" s="100"/>
      <c r="B1070" s="100" t="s">
        <v>645</v>
      </c>
      <c r="C1070" s="100" t="s">
        <v>130</v>
      </c>
      <c r="D1070" s="151"/>
      <c r="E1070" s="160"/>
      <c r="F1070" s="169">
        <f>SUM(F1063,F1064,F1065,F1066,F1067,F1069)</f>
        <v>2.1601726938185273</v>
      </c>
      <c r="G1070" s="119"/>
      <c r="H1070" s="107">
        <v>0.36</v>
      </c>
      <c r="I1070" s="119"/>
      <c r="J1070" s="107"/>
      <c r="K1070" s="119"/>
      <c r="L1070" s="107">
        <v>1.61282051282051</v>
      </c>
      <c r="M1070" s="100" t="s">
        <v>646</v>
      </c>
    </row>
    <row r="1071" spans="1:13" ht="16.5" thickTop="1" thickBot="1" x14ac:dyDescent="0.3">
      <c r="D1071" s="150"/>
      <c r="E1071" s="159"/>
      <c r="F1071" s="168"/>
      <c r="G1071" s="118"/>
      <c r="H1071" s="106"/>
      <c r="I1071" s="118"/>
      <c r="J1071" s="106"/>
      <c r="K1071" s="118"/>
      <c r="L1071" s="106"/>
    </row>
    <row r="1072" spans="1:13" ht="15.75" thickTop="1" x14ac:dyDescent="0.25">
      <c r="A1072" s="97" t="s">
        <v>60</v>
      </c>
      <c r="B1072" s="97" t="s">
        <v>65</v>
      </c>
      <c r="C1072" s="97" t="s">
        <v>130</v>
      </c>
      <c r="D1072" s="148" t="s">
        <v>635</v>
      </c>
      <c r="E1072" s="157" t="s">
        <v>636</v>
      </c>
      <c r="F1072" s="166" t="s">
        <v>637</v>
      </c>
      <c r="G1072" s="116" t="s">
        <v>638</v>
      </c>
      <c r="H1072" s="104" t="s">
        <v>639</v>
      </c>
      <c r="I1072" s="116" t="s">
        <v>640</v>
      </c>
      <c r="J1072" s="104" t="s">
        <v>641</v>
      </c>
      <c r="K1072" s="116" t="s">
        <v>642</v>
      </c>
      <c r="L1072" s="104" t="s">
        <v>643</v>
      </c>
      <c r="M1072" s="97" t="s">
        <v>644</v>
      </c>
    </row>
    <row r="1073" spans="1:13" x14ac:dyDescent="0.25">
      <c r="A1073" s="99" t="s">
        <v>11</v>
      </c>
      <c r="B1073" s="99"/>
      <c r="C1073" s="99"/>
      <c r="D1073" s="149"/>
      <c r="E1073" s="158"/>
      <c r="F1073" s="167"/>
      <c r="G1073" s="117"/>
      <c r="H1073" s="105"/>
      <c r="I1073" s="117"/>
      <c r="J1073" s="105"/>
      <c r="K1073" s="117"/>
      <c r="L1073" s="105"/>
      <c r="M1073" s="99"/>
    </row>
    <row r="1074" spans="1:13" x14ac:dyDescent="0.25">
      <c r="A1074" s="101"/>
      <c r="B1074" s="101" t="s">
        <v>572</v>
      </c>
      <c r="C1074" s="101" t="s">
        <v>15</v>
      </c>
      <c r="D1074" s="152">
        <f>IFERROR(INDEX('BD Rendimientos'!G:G,MATCH("15.01.08|Malla Armex Elect.5mmx10x10 R-1 (Malla Armex Elect.5mmx10x10 R-196)|Uni.|materiales",'BD Rendimientos'!L:L,0)),"")</f>
        <v>4.807692307692308E-2</v>
      </c>
      <c r="E1074" s="161">
        <f>IFERROR(INDEX('BD Materiales'!D:D,MATCH("Malla Armex Elect.5mmx10x10 R-1 (Malla Armex Elect.5mmx10x10 R-196)",'BD Materiales'!B:B,0)),"")</f>
        <v>50.758333333333354</v>
      </c>
      <c r="F1074" s="170">
        <f>IFERROR(D1074*E1074,"")</f>
        <v>2.4403044871794881</v>
      </c>
      <c r="G1074" s="120"/>
      <c r="H1074" s="108"/>
      <c r="I1074" s="120"/>
      <c r="J1074" s="108"/>
      <c r="K1074" s="120">
        <v>3</v>
      </c>
      <c r="L1074" s="108">
        <v>50.756666666666703</v>
      </c>
      <c r="M1074" s="101" t="s">
        <v>647</v>
      </c>
    </row>
    <row r="1075" spans="1:13" x14ac:dyDescent="0.25">
      <c r="B1075" t="s">
        <v>64</v>
      </c>
      <c r="C1075" t="s">
        <v>15</v>
      </c>
      <c r="D1075" s="150">
        <f>IFERROR(INDEX('BD Rendimientos'!G:G,MATCH("15.01.08|Malla Armex Elect.6mmx15x15R188 (Malla Armex Elect.6mmx15x15 R188)|Uni.|materiales",'BD Rendimientos'!L:L,0)),"")</f>
        <v>3.3653846153846152E-2</v>
      </c>
      <c r="E1075" s="159">
        <f>IFERROR(INDEX('BD Materiales'!D:D,MATCH("Malla Armex Elect.6mmx15x15R188 (Malla Armex Elect.6mmx15x15 R188)",'BD Materiales'!B:B,0)),"")</f>
        <v>50.794114583333339</v>
      </c>
      <c r="F1075" s="168">
        <f>IFERROR(D1075*E1075,"")</f>
        <v>1.7094173177083334</v>
      </c>
      <c r="G1075" s="118">
        <v>3</v>
      </c>
      <c r="H1075" s="106">
        <v>51.87</v>
      </c>
      <c r="I1075" s="118"/>
      <c r="J1075" s="106"/>
      <c r="K1075" s="118">
        <v>1</v>
      </c>
      <c r="L1075" s="106">
        <v>46.92</v>
      </c>
      <c r="M1075" t="s">
        <v>1920</v>
      </c>
    </row>
    <row r="1076" spans="1:13" x14ac:dyDescent="0.25">
      <c r="A1076" s="101"/>
      <c r="B1076" s="101" t="s">
        <v>1044</v>
      </c>
      <c r="C1076" s="101" t="s">
        <v>62</v>
      </c>
      <c r="D1076" s="152">
        <f>IFERROR(INDEX('BD Rendimientos'!G:G,MATCH("15.01.08|Varilla Hierro D=10mmx12m|V10|materiales",'BD Rendimientos'!L:L,0)),"")</f>
        <v>1.7094017094017096E-2</v>
      </c>
      <c r="E1076" s="161">
        <f>IFERROR(INDEX('BD Materiales'!D:D,MATCH("Varilla Hierro D=10mmx12m",'BD Materiales'!B:B,0)),"")</f>
        <v>8.1945999999999994</v>
      </c>
      <c r="F1076" s="170">
        <f>IFERROR(D1076*E1076,"")</f>
        <v>0.14007863247863248</v>
      </c>
      <c r="G1076" s="120">
        <v>1</v>
      </c>
      <c r="H1076" s="108">
        <v>7.89</v>
      </c>
      <c r="I1076" s="120"/>
      <c r="J1076" s="108"/>
      <c r="K1076" s="120"/>
      <c r="L1076" s="108"/>
      <c r="M1076" s="101" t="s">
        <v>647</v>
      </c>
    </row>
    <row r="1077" spans="1:13" x14ac:dyDescent="0.25">
      <c r="A1077" s="99" t="s">
        <v>5</v>
      </c>
      <c r="B1077" s="99"/>
      <c r="C1077" s="99"/>
      <c r="D1077" s="149"/>
      <c r="E1077" s="158"/>
      <c r="F1077" s="167"/>
      <c r="G1077" s="117"/>
      <c r="H1077" s="105"/>
      <c r="I1077" s="117"/>
      <c r="J1077" s="105"/>
      <c r="K1077" s="117"/>
      <c r="L1077" s="105"/>
      <c r="M1077" s="99"/>
    </row>
    <row r="1078" spans="1:13" x14ac:dyDescent="0.25">
      <c r="A1078" s="101"/>
      <c r="B1078" s="101" t="s">
        <v>61</v>
      </c>
      <c r="C1078" s="101" t="s">
        <v>130</v>
      </c>
      <c r="D1078" s="152">
        <f>IFERROR(INDEX('BD Rendimientos'!G:G,MATCH("15.01.08|M. Malla De Refuerzo 6*15 (Acceso Peatonal)|m2|mano_obra",'BD Rendimientos'!L:L,0)),"")</f>
        <v>1</v>
      </c>
      <c r="E1078" s="161">
        <f>IFERROR(INDEX('BD Mano de Obra'!D:D,MATCH("M. Malla De Refuerzo 6*15 (Acceso Peatonal)",'BD Mano de Obra'!B:B,0)),"")</f>
        <v>1.04</v>
      </c>
      <c r="F1078" s="170">
        <f>IFERROR(D1078*E1078,"")</f>
        <v>1.04</v>
      </c>
      <c r="G1078" s="120">
        <v>58.5</v>
      </c>
      <c r="H1078" s="108">
        <v>1.04</v>
      </c>
      <c r="I1078" s="120"/>
      <c r="J1078" s="108"/>
      <c r="K1078" s="120">
        <v>62.4</v>
      </c>
      <c r="L1078" s="108"/>
      <c r="M1078" s="101" t="s">
        <v>647</v>
      </c>
    </row>
    <row r="1079" spans="1:13" ht="16.5" thickBot="1" x14ac:dyDescent="0.3">
      <c r="A1079" s="100"/>
      <c r="B1079" s="100" t="s">
        <v>645</v>
      </c>
      <c r="C1079" s="100" t="s">
        <v>130</v>
      </c>
      <c r="D1079" s="151"/>
      <c r="E1079" s="160"/>
      <c r="F1079" s="169">
        <f>SUM(F1074,F1075,F1076,F1078)</f>
        <v>5.3298004373664538</v>
      </c>
      <c r="G1079" s="119"/>
      <c r="H1079" s="107">
        <v>3.8348717948717899</v>
      </c>
      <c r="I1079" s="119"/>
      <c r="J1079" s="107"/>
      <c r="K1079" s="119"/>
      <c r="L1079" s="107">
        <v>3.1921474358974402</v>
      </c>
      <c r="M1079" s="100" t="s">
        <v>646</v>
      </c>
    </row>
    <row r="1080" spans="1:13" ht="16.5" thickTop="1" thickBot="1" x14ac:dyDescent="0.3">
      <c r="D1080" s="150"/>
      <c r="E1080" s="159"/>
      <c r="F1080" s="168"/>
      <c r="G1080" s="118"/>
      <c r="H1080" s="106"/>
      <c r="I1080" s="118"/>
      <c r="J1080" s="106"/>
      <c r="K1080" s="118"/>
      <c r="L1080" s="106"/>
    </row>
    <row r="1081" spans="1:13" ht="15.75" thickTop="1" x14ac:dyDescent="0.25">
      <c r="A1081" s="177" t="s">
        <v>51</v>
      </c>
      <c r="B1081" s="177" t="s">
        <v>59</v>
      </c>
      <c r="C1081" s="177" t="s">
        <v>58</v>
      </c>
      <c r="D1081" s="178" t="s">
        <v>635</v>
      </c>
      <c r="E1081" s="179" t="s">
        <v>636</v>
      </c>
      <c r="F1081" s="180" t="s">
        <v>637</v>
      </c>
      <c r="G1081" s="181" t="s">
        <v>638</v>
      </c>
      <c r="H1081" s="182" t="s">
        <v>639</v>
      </c>
      <c r="I1081" s="181" t="s">
        <v>640</v>
      </c>
      <c r="J1081" s="182" t="s">
        <v>641</v>
      </c>
      <c r="K1081" s="181" t="s">
        <v>642</v>
      </c>
      <c r="L1081" s="182" t="s">
        <v>643</v>
      </c>
      <c r="M1081" s="177" t="s">
        <v>1932</v>
      </c>
    </row>
    <row r="1082" spans="1:13" x14ac:dyDescent="0.25">
      <c r="A1082" s="99" t="s">
        <v>11</v>
      </c>
      <c r="B1082" s="99"/>
      <c r="C1082" s="99"/>
      <c r="D1082" s="149"/>
      <c r="E1082" s="158"/>
      <c r="F1082" s="167"/>
      <c r="G1082" s="117"/>
      <c r="H1082" s="105"/>
      <c r="I1082" s="117"/>
      <c r="J1082" s="105"/>
      <c r="K1082" s="117"/>
      <c r="L1082" s="105"/>
      <c r="M1082" s="99"/>
    </row>
    <row r="1083" spans="1:13" x14ac:dyDescent="0.25">
      <c r="A1083" s="101"/>
      <c r="B1083" s="101" t="s">
        <v>824</v>
      </c>
      <c r="C1083" s="101" t="s">
        <v>30</v>
      </c>
      <c r="D1083" s="152">
        <f>IFERROR(INDEX('BD Rendimientos'!G:G,MATCH("15.01.09|Clavos galvanizados 2''|Kg.|materiales",'BD Rendimientos'!L:L,0)),"")</f>
        <v>0</v>
      </c>
      <c r="E1083" s="161">
        <f>IFERROR(INDEX('BD Materiales'!D:D,MATCH("Clavos galvanizados 2''",'BD Materiales'!B:B,0)),"")</f>
        <v>1.9257894736842103</v>
      </c>
      <c r="F1083" s="170">
        <f>IFERROR(D1083*E1083,"")</f>
        <v>0</v>
      </c>
      <c r="G1083" s="120">
        <v>3.5</v>
      </c>
      <c r="H1083" s="108">
        <v>2.35</v>
      </c>
      <c r="I1083" s="120"/>
      <c r="J1083" s="108"/>
      <c r="K1083" s="120"/>
      <c r="L1083" s="108"/>
      <c r="M1083" s="101" t="s">
        <v>647</v>
      </c>
    </row>
    <row r="1084" spans="1:13" x14ac:dyDescent="0.25">
      <c r="A1084" s="101"/>
      <c r="B1084" s="101" t="s">
        <v>820</v>
      </c>
      <c r="C1084" s="101" t="s">
        <v>30</v>
      </c>
      <c r="D1084" s="152">
        <f>IFERROR(INDEX('BD Rendimientos'!G:G,MATCH("15.01.09|Clavos galvanizados 2 1/2''|Kg.|materiales",'BD Rendimientos'!L:L,0)),"")</f>
        <v>0</v>
      </c>
      <c r="E1084" s="161">
        <f>IFERROR(INDEX('BD Materiales'!D:D,MATCH("Clavos galvanizados 2 1/2''",'BD Materiales'!B:B,0)),"")</f>
        <v>1.8223333333333334</v>
      </c>
      <c r="F1084" s="170">
        <f>IFERROR(D1084*E1084,"")</f>
        <v>0</v>
      </c>
      <c r="G1084" s="120">
        <v>2.25</v>
      </c>
      <c r="H1084" s="108">
        <v>2.3199999999999998</v>
      </c>
      <c r="I1084" s="120"/>
      <c r="J1084" s="108"/>
      <c r="K1084" s="120"/>
      <c r="L1084" s="108"/>
      <c r="M1084" s="101" t="s">
        <v>647</v>
      </c>
    </row>
    <row r="1085" spans="1:13" x14ac:dyDescent="0.25">
      <c r="A1085" s="101"/>
      <c r="B1085" s="101" t="s">
        <v>834</v>
      </c>
      <c r="C1085" s="101" t="s">
        <v>15</v>
      </c>
      <c r="D1085" s="152">
        <f>IFERROR(INDEX('BD Rendimientos'!G:G,MATCH("15.01.09|Cuarton 6 x 4 de eucalipto|Uni.|materiales",'BD Rendimientos'!L:L,0)),"")</f>
        <v>0</v>
      </c>
      <c r="E1085" s="161">
        <f>IFERROR(INDEX('BD Materiales'!D:D,MATCH("Cuarton 6 x 4 de eucalipto",'BD Materiales'!B:B,0)),"")</f>
        <v>2.0149999999999997</v>
      </c>
      <c r="F1085" s="170">
        <f>IFERROR(D1085*E1085,"")</f>
        <v>0</v>
      </c>
      <c r="G1085" s="120">
        <v>3</v>
      </c>
      <c r="H1085" s="108">
        <v>2.15</v>
      </c>
      <c r="I1085" s="120"/>
      <c r="J1085" s="108"/>
      <c r="K1085" s="120"/>
      <c r="L1085" s="108"/>
      <c r="M1085" s="101" t="s">
        <v>647</v>
      </c>
    </row>
    <row r="1086" spans="1:13" x14ac:dyDescent="0.25">
      <c r="A1086" s="101"/>
      <c r="B1086" s="101" t="s">
        <v>846</v>
      </c>
      <c r="C1086" s="101" t="s">
        <v>15</v>
      </c>
      <c r="D1086" s="152">
        <f>IFERROR(INDEX('BD Rendimientos'!G:G,MATCH("15.01.09|Disco Corte Madera 7|Uni.|materiales",'BD Rendimientos'!L:L,0)),"")</f>
        <v>0</v>
      </c>
      <c r="E1086" s="161">
        <f>IFERROR(INDEX('BD Materiales'!D:D,MATCH("Disco Corte Madera 7",'BD Materiales'!B:B,0)),"")</f>
        <v>8.452</v>
      </c>
      <c r="F1086" s="170">
        <f>IFERROR(D1086*E1086,"")</f>
        <v>0</v>
      </c>
      <c r="G1086" s="120">
        <v>1</v>
      </c>
      <c r="H1086" s="108">
        <v>6.25</v>
      </c>
      <c r="I1086" s="120"/>
      <c r="J1086" s="108"/>
      <c r="K1086" s="120"/>
      <c r="L1086" s="108"/>
      <c r="M1086" s="101" t="s">
        <v>647</v>
      </c>
    </row>
    <row r="1087" spans="1:13" x14ac:dyDescent="0.25">
      <c r="A1087" s="101"/>
      <c r="B1087" s="101" t="s">
        <v>606</v>
      </c>
      <c r="C1087" s="101" t="s">
        <v>15</v>
      </c>
      <c r="D1087" s="152">
        <f>IFERROR(INDEX('BD Rendimientos'!G:G,MATCH("15.01.09|Tablas de Monte|Uni.|materiales",'BD Rendimientos'!L:L,0)),"")</f>
        <v>0</v>
      </c>
      <c r="E1087" s="161">
        <f>IFERROR(INDEX('BD Materiales'!D:D,MATCH("Tablas de Monte",'BD Materiales'!B:B,0)),"")</f>
        <v>2.4034925925925932</v>
      </c>
      <c r="F1087" s="170">
        <f>IFERROR(D1087*E1087,"")</f>
        <v>0</v>
      </c>
      <c r="G1087" s="120">
        <v>52</v>
      </c>
      <c r="H1087" s="108">
        <v>2.383</v>
      </c>
      <c r="I1087" s="120"/>
      <c r="J1087" s="108"/>
      <c r="K1087" s="120"/>
      <c r="L1087" s="108"/>
      <c r="M1087" s="101" t="s">
        <v>647</v>
      </c>
    </row>
    <row r="1088" spans="1:13" x14ac:dyDescent="0.25">
      <c r="A1088" s="99" t="s">
        <v>5</v>
      </c>
      <c r="B1088" s="99"/>
      <c r="C1088" s="99"/>
      <c r="D1088" s="149"/>
      <c r="E1088" s="158"/>
      <c r="F1088" s="167"/>
      <c r="G1088" s="117"/>
      <c r="H1088" s="105"/>
      <c r="I1088" s="117"/>
      <c r="J1088" s="105"/>
      <c r="K1088" s="117"/>
      <c r="L1088" s="105"/>
      <c r="M1088" s="99"/>
    </row>
    <row r="1089" spans="1:13" x14ac:dyDescent="0.25">
      <c r="A1089" s="101"/>
      <c r="B1089" s="101" t="s">
        <v>52</v>
      </c>
      <c r="C1089" s="101" t="s">
        <v>130</v>
      </c>
      <c r="D1089" s="152">
        <f>IFERROR(INDEX('BD Rendimientos'!G:G,MATCH("15.01.09|M. Encofrado de gradas exteriores (Detalle para luces acceso peatonal)|m2|mano_obra",'BD Rendimientos'!L:L,0)),"")</f>
        <v>0</v>
      </c>
      <c r="E1089" s="161">
        <f>IFERROR(INDEX('BD Mano de Obra'!D:D,MATCH("M. Encofrado de gradas exteriores (Detalle para luces acceso peatonal)",'BD Mano de Obra'!B:B,0)),"")</f>
        <v>6.16</v>
      </c>
      <c r="F1089" s="170">
        <f>IFERROR(D1089*E1089,"")</f>
        <v>0</v>
      </c>
      <c r="G1089" s="120">
        <v>82.79</v>
      </c>
      <c r="H1089" s="108">
        <v>6.16</v>
      </c>
      <c r="I1089" s="120"/>
      <c r="J1089" s="108"/>
      <c r="K1089" s="120"/>
      <c r="L1089" s="108"/>
      <c r="M1089" s="101" t="s">
        <v>647</v>
      </c>
    </row>
    <row r="1090" spans="1:13" ht="16.5" thickBot="1" x14ac:dyDescent="0.3">
      <c r="A1090" s="183"/>
      <c r="B1090" s="183" t="s">
        <v>645</v>
      </c>
      <c r="C1090" s="183" t="s">
        <v>58</v>
      </c>
      <c r="D1090" s="184"/>
      <c r="E1090" s="185"/>
      <c r="F1090" s="186">
        <f>SUM(F1083,F1084,F1085,F1086,F1087,F1089)</f>
        <v>0</v>
      </c>
      <c r="G1090" s="187"/>
      <c r="H1090" s="188">
        <v>7.9725498248580697</v>
      </c>
      <c r="I1090" s="187"/>
      <c r="J1090" s="188"/>
      <c r="K1090" s="187"/>
      <c r="L1090" s="188"/>
      <c r="M1090" s="183" t="s">
        <v>646</v>
      </c>
    </row>
    <row r="1091" spans="1:13" ht="16.5" thickTop="1" thickBot="1" x14ac:dyDescent="0.3">
      <c r="D1091" s="150"/>
      <c r="E1091" s="159"/>
      <c r="F1091" s="168"/>
      <c r="G1091" s="118"/>
      <c r="H1091" s="106"/>
      <c r="I1091" s="118"/>
      <c r="J1091" s="106"/>
      <c r="K1091" s="118"/>
      <c r="L1091" s="106"/>
    </row>
    <row r="1092" spans="1:13" ht="15.75" thickTop="1" x14ac:dyDescent="0.25">
      <c r="A1092" s="98" t="s">
        <v>40</v>
      </c>
      <c r="B1092" s="98" t="s">
        <v>50</v>
      </c>
      <c r="C1092" s="98" t="s">
        <v>6</v>
      </c>
      <c r="D1092" s="154" t="s">
        <v>635</v>
      </c>
      <c r="E1092" s="163" t="s">
        <v>636</v>
      </c>
      <c r="F1092" s="172" t="s">
        <v>637</v>
      </c>
      <c r="G1092" s="122" t="s">
        <v>638</v>
      </c>
      <c r="H1092" s="110" t="s">
        <v>639</v>
      </c>
      <c r="I1092" s="122" t="s">
        <v>640</v>
      </c>
      <c r="J1092" s="110" t="s">
        <v>641</v>
      </c>
      <c r="K1092" s="122" t="s">
        <v>642</v>
      </c>
      <c r="L1092" s="110" t="s">
        <v>643</v>
      </c>
      <c r="M1092" s="98" t="s">
        <v>668</v>
      </c>
    </row>
    <row r="1093" spans="1:13" x14ac:dyDescent="0.25">
      <c r="A1093" s="99" t="s">
        <v>11</v>
      </c>
      <c r="B1093" s="99"/>
      <c r="C1093" s="99"/>
      <c r="D1093" s="149"/>
      <c r="E1093" s="158"/>
      <c r="F1093" s="167"/>
      <c r="G1093" s="117"/>
      <c r="H1093" s="105"/>
      <c r="I1093" s="117"/>
      <c r="J1093" s="105"/>
      <c r="K1093" s="117"/>
      <c r="L1093" s="105"/>
      <c r="M1093" s="99"/>
    </row>
    <row r="1094" spans="1:13" x14ac:dyDescent="0.25">
      <c r="A1094" s="101"/>
      <c r="B1094" s="101" t="s">
        <v>785</v>
      </c>
      <c r="C1094" s="101" t="s">
        <v>174</v>
      </c>
      <c r="D1094" s="152">
        <f>IFERROR(INDEX('BD Rendimientos'!G:G,MATCH("15.01.10|Cemento Campeon|saco|materiales",'BD Rendimientos'!L:L,0)),"")</f>
        <v>0.27404768429706766</v>
      </c>
      <c r="E1094" s="161">
        <f>IFERROR(INDEX('BD Materiales'!D:D,MATCH("Cemento Campeon",'BD Materiales'!B:B,0)),"")</f>
        <v>6.6975000000000007</v>
      </c>
      <c r="F1094" s="170">
        <f>IFERROR(D1094*E1094,"")</f>
        <v>1.8354343655796108</v>
      </c>
      <c r="G1094" s="120">
        <v>1</v>
      </c>
      <c r="H1094" s="108">
        <v>6.59</v>
      </c>
      <c r="I1094" s="120"/>
      <c r="J1094" s="108"/>
      <c r="K1094" s="120"/>
      <c r="L1094" s="108"/>
      <c r="M1094" s="101" t="s">
        <v>647</v>
      </c>
    </row>
    <row r="1095" spans="1:13" x14ac:dyDescent="0.25">
      <c r="A1095" s="101"/>
      <c r="B1095" s="101" t="s">
        <v>47</v>
      </c>
      <c r="C1095" s="101" t="s">
        <v>6</v>
      </c>
      <c r="D1095" s="152">
        <f>IFERROR(INDEX('BD Rendimientos'!G:G,MATCH("15.01.10|Hormigón Premez. fc= 210 kg S/B (Hormigón Premezclado fc= 210 kg/cm2)|m3|materiales",'BD Rendimientos'!L:L,0)),"")</f>
        <v>0.95916689503973696</v>
      </c>
      <c r="E1095" s="161">
        <f>IFERROR(INDEX('BD Materiales'!D:D,MATCH("Hormigón Premez. fc= 210 kg S/B (Hormigón Premezclado fc= 210 kg/cm2)",'BD Materiales'!B:B,0)),"")</f>
        <v>71</v>
      </c>
      <c r="F1095" s="170">
        <f>IFERROR(D1095*E1095,"")</f>
        <v>68.100849547821326</v>
      </c>
      <c r="G1095" s="120">
        <v>3.5</v>
      </c>
      <c r="H1095" s="108">
        <v>71</v>
      </c>
      <c r="I1095" s="120"/>
      <c r="J1095" s="108"/>
      <c r="K1095" s="120"/>
      <c r="L1095" s="108"/>
      <c r="M1095" s="101" t="s">
        <v>647</v>
      </c>
    </row>
    <row r="1096" spans="1:13" x14ac:dyDescent="0.25">
      <c r="A1096" s="101"/>
      <c r="B1096" s="101" t="s">
        <v>953</v>
      </c>
      <c r="C1096" s="101" t="s">
        <v>15</v>
      </c>
      <c r="D1096" s="152">
        <f>IFERROR(INDEX('BD Rendimientos'!G:G,MATCH("15.01.10|Plancha espumaflex 5cm|Uni.|materiales",'BD Rendimientos'!L:L,0)),"")</f>
        <v>0.27404768429706766</v>
      </c>
      <c r="E1096" s="161">
        <f>IFERROR(INDEX('BD Materiales'!D:D,MATCH("Plancha espumaflex 5cm",'BD Materiales'!B:B,0)),"")</f>
        <v>9.5184999999999995</v>
      </c>
      <c r="F1096" s="170">
        <f>IFERROR(D1096*E1096,"")</f>
        <v>2.6085228829816383</v>
      </c>
      <c r="G1096" s="120">
        <v>1</v>
      </c>
      <c r="H1096" s="108">
        <v>9.9499999999999993</v>
      </c>
      <c r="I1096" s="120"/>
      <c r="J1096" s="108"/>
      <c r="K1096" s="120"/>
      <c r="L1096" s="108"/>
      <c r="M1096" s="101" t="s">
        <v>647</v>
      </c>
    </row>
    <row r="1097" spans="1:13" x14ac:dyDescent="0.25">
      <c r="A1097" s="101"/>
      <c r="B1097" s="101" t="s">
        <v>967</v>
      </c>
      <c r="C1097" s="101" t="s">
        <v>6</v>
      </c>
      <c r="D1097" s="152">
        <f>IFERROR(INDEX('BD Rendimientos'!G:G,MATCH("15.01.10|Polvo Rosado|m3|materiales",'BD Rendimientos'!L:L,0)),"")</f>
        <v>5.4809536859413539E-2</v>
      </c>
      <c r="E1097" s="161">
        <f>IFERROR(INDEX('BD Materiales'!D:D,MATCH("Polvo Rosado",'BD Materiales'!B:B,0)),"")</f>
        <v>13.75</v>
      </c>
      <c r="F1097" s="170">
        <f>IFERROR(D1097*E1097,"")</f>
        <v>0.7536311318169362</v>
      </c>
      <c r="G1097" s="120">
        <v>0.2</v>
      </c>
      <c r="H1097" s="108">
        <v>13.75</v>
      </c>
      <c r="I1097" s="120"/>
      <c r="J1097" s="108"/>
      <c r="K1097" s="120"/>
      <c r="L1097" s="108"/>
      <c r="M1097" s="101" t="s">
        <v>647</v>
      </c>
    </row>
    <row r="1098" spans="1:13" x14ac:dyDescent="0.25">
      <c r="A1098" s="101"/>
      <c r="B1098" s="101" t="s">
        <v>969</v>
      </c>
      <c r="C1098" s="101" t="s">
        <v>6</v>
      </c>
      <c r="D1098" s="152">
        <f>IFERROR(INDEX('BD Rendimientos'!G:G,MATCH("15.01.10|Recargo Minimo Concreto|m3|materiales",'BD Rendimientos'!L:L,0)),"")</f>
        <v>0.95916689503973696</v>
      </c>
      <c r="E1098" s="161">
        <f>IFERROR(INDEX('BD Materiales'!D:D,MATCH("Recargo Minimo Concreto",'BD Materiales'!B:B,0)),"")</f>
        <v>10</v>
      </c>
      <c r="F1098" s="170">
        <f>IFERROR(D1098*E1098,"")</f>
        <v>9.59166895039737</v>
      </c>
      <c r="G1098" s="120">
        <v>3.5</v>
      </c>
      <c r="H1098" s="108">
        <v>10</v>
      </c>
      <c r="I1098" s="120"/>
      <c r="J1098" s="108"/>
      <c r="K1098" s="120"/>
      <c r="L1098" s="108"/>
      <c r="M1098" s="101" t="s">
        <v>647</v>
      </c>
    </row>
    <row r="1099" spans="1:13" x14ac:dyDescent="0.25">
      <c r="A1099" s="101"/>
      <c r="B1099" s="101" t="s">
        <v>1001</v>
      </c>
      <c r="C1099" s="101" t="s">
        <v>15</v>
      </c>
      <c r="D1099" s="152">
        <f>IFERROR(INDEX('BD Rendimientos'!G:G,MATCH("15.01.10|Sika Premium 32|Uni.|materiales",'BD Rendimientos'!L:L,0)),"")</f>
        <v>0.27404768429706766</v>
      </c>
      <c r="E1099" s="161">
        <f>IFERROR(INDEX('BD Materiales'!D:D,MATCH("Sika Premium 32",'BD Materiales'!B:B,0)),"")</f>
        <v>58.303333333333335</v>
      </c>
      <c r="F1099" s="170">
        <f>IFERROR(D1099*E1099,"")</f>
        <v>15.977893486800035</v>
      </c>
      <c r="G1099" s="120">
        <v>1</v>
      </c>
      <c r="H1099" s="108">
        <v>52.87</v>
      </c>
      <c r="I1099" s="120"/>
      <c r="J1099" s="108"/>
      <c r="K1099" s="120"/>
      <c r="L1099" s="108"/>
      <c r="M1099" s="101" t="s">
        <v>647</v>
      </c>
    </row>
    <row r="1100" spans="1:13" x14ac:dyDescent="0.25">
      <c r="A1100" s="99" t="s">
        <v>5</v>
      </c>
      <c r="B1100" s="99"/>
      <c r="C1100" s="99"/>
      <c r="D1100" s="149"/>
      <c r="E1100" s="158"/>
      <c r="F1100" s="167"/>
      <c r="G1100" s="117"/>
      <c r="H1100" s="105"/>
      <c r="I1100" s="117"/>
      <c r="J1100" s="105"/>
      <c r="K1100" s="117"/>
      <c r="L1100" s="105"/>
      <c r="M1100" s="99"/>
    </row>
    <row r="1101" spans="1:13" x14ac:dyDescent="0.25">
      <c r="A1101" s="101"/>
      <c r="B1101" s="101" t="s">
        <v>591</v>
      </c>
      <c r="C1101" s="101" t="s">
        <v>6</v>
      </c>
      <c r="D1101" s="152">
        <f>IFERROR(INDEX('BD Rendimientos'!G:G,MATCH("15.01.10|M. Hormigón En Escaleras F'c=210kg/Cm² (Acceso Peatonal)|m3|mano_obra",'BD Rendimientos'!L:L,0)),"")</f>
        <v>1</v>
      </c>
      <c r="E1101" s="161">
        <f>IFERROR(INDEX('BD Mano de Obra'!D:D,MATCH("M. Hormigón En Escaleras F'c=210kg/Cm² (Acceso Peatonal)",'BD Mano de Obra'!B:B,0)),"")</f>
        <v>33</v>
      </c>
      <c r="F1101" s="170">
        <f>IFERROR(D1101*E1101,"")</f>
        <v>33</v>
      </c>
      <c r="G1101" s="120">
        <v>3.649</v>
      </c>
      <c r="H1101" s="108">
        <v>33</v>
      </c>
      <c r="I1101" s="120"/>
      <c r="J1101" s="108"/>
      <c r="K1101" s="120"/>
      <c r="L1101" s="108"/>
      <c r="M1101" s="101" t="s">
        <v>647</v>
      </c>
    </row>
    <row r="1102" spans="1:13" x14ac:dyDescent="0.25">
      <c r="A1102" s="99" t="s">
        <v>2</v>
      </c>
      <c r="B1102" s="99"/>
      <c r="C1102" s="99"/>
      <c r="D1102" s="149"/>
      <c r="E1102" s="158"/>
      <c r="F1102" s="167"/>
      <c r="G1102" s="117"/>
      <c r="H1102" s="105"/>
      <c r="I1102" s="117"/>
      <c r="J1102" s="105"/>
      <c r="K1102" s="117"/>
      <c r="L1102" s="105"/>
      <c r="M1102" s="99"/>
    </row>
    <row r="1103" spans="1:13" x14ac:dyDescent="0.25">
      <c r="A1103" s="101"/>
      <c r="B1103" s="101" t="s">
        <v>1200</v>
      </c>
      <c r="C1103" s="101" t="s">
        <v>15</v>
      </c>
      <c r="D1103" s="152">
        <f>IFERROR(INDEX('BD Rendimientos'!G:G,MATCH("15.01.10|Alquiler vibrador|Uni.|equipo",'BD Rendimientos'!L:L,0)),"")</f>
        <v>0.27404768429706766</v>
      </c>
      <c r="E1103" s="161">
        <f>IFERROR(INDEX('BD Equipo'!D:D,MATCH("Alquiler vibrador",'BD Equipo'!B:B,0)),"")</f>
        <v>17.86000000000001</v>
      </c>
      <c r="F1103" s="170">
        <f>IFERROR(D1103*E1103,"")</f>
        <v>4.8944916415456312</v>
      </c>
      <c r="G1103" s="120">
        <v>1</v>
      </c>
      <c r="H1103" s="108">
        <v>17.86</v>
      </c>
      <c r="I1103" s="120"/>
      <c r="J1103" s="108"/>
      <c r="K1103" s="120"/>
      <c r="L1103" s="108"/>
      <c r="M1103" s="101" t="s">
        <v>647</v>
      </c>
    </row>
    <row r="1104" spans="1:13" ht="16.5" thickBot="1" x14ac:dyDescent="0.3">
      <c r="A1104" s="100"/>
      <c r="B1104" s="100" t="s">
        <v>645</v>
      </c>
      <c r="C1104" s="100" t="s">
        <v>6</v>
      </c>
      <c r="D1104" s="151"/>
      <c r="E1104" s="160"/>
      <c r="F1104" s="169">
        <f>SUM(F1094,F1095,F1096,F1097,F1098,F1099,F1101,F1103)</f>
        <v>136.76249200694255</v>
      </c>
      <c r="G1104" s="119"/>
      <c r="H1104" s="107">
        <v>135.36229103864099</v>
      </c>
      <c r="I1104" s="119"/>
      <c r="J1104" s="107"/>
      <c r="K1104" s="119"/>
      <c r="L1104" s="107"/>
      <c r="M1104" s="100" t="s">
        <v>646</v>
      </c>
    </row>
    <row r="1105" spans="1:13" ht="16.5" thickTop="1" thickBot="1" x14ac:dyDescent="0.3">
      <c r="D1105" s="150"/>
      <c r="E1105" s="159"/>
      <c r="F1105" s="168"/>
      <c r="G1105" s="118"/>
      <c r="H1105" s="106"/>
      <c r="I1105" s="118"/>
      <c r="J1105" s="106"/>
      <c r="K1105" s="118"/>
      <c r="L1105" s="106"/>
    </row>
    <row r="1106" spans="1:13" ht="15.75" thickTop="1" x14ac:dyDescent="0.25">
      <c r="A1106" s="98" t="s">
        <v>37</v>
      </c>
      <c r="B1106" s="98" t="s">
        <v>39</v>
      </c>
      <c r="C1106" s="98" t="s">
        <v>130</v>
      </c>
      <c r="D1106" s="154" t="s">
        <v>635</v>
      </c>
      <c r="E1106" s="163" t="s">
        <v>636</v>
      </c>
      <c r="F1106" s="172" t="s">
        <v>637</v>
      </c>
      <c r="G1106" s="122" t="s">
        <v>638</v>
      </c>
      <c r="H1106" s="110" t="s">
        <v>639</v>
      </c>
      <c r="I1106" s="122" t="s">
        <v>640</v>
      </c>
      <c r="J1106" s="110" t="s">
        <v>641</v>
      </c>
      <c r="K1106" s="122" t="s">
        <v>642</v>
      </c>
      <c r="L1106" s="110" t="s">
        <v>643</v>
      </c>
      <c r="M1106" s="98" t="s">
        <v>668</v>
      </c>
    </row>
    <row r="1107" spans="1:13" x14ac:dyDescent="0.25">
      <c r="A1107" s="99" t="s">
        <v>5</v>
      </c>
      <c r="B1107" s="99"/>
      <c r="C1107" s="99"/>
      <c r="D1107" s="149"/>
      <c r="E1107" s="158"/>
      <c r="F1107" s="167"/>
      <c r="G1107" s="117"/>
      <c r="H1107" s="105"/>
      <c r="I1107" s="117"/>
      <c r="J1107" s="105"/>
      <c r="K1107" s="117"/>
      <c r="L1107" s="105"/>
      <c r="M1107" s="99"/>
    </row>
    <row r="1108" spans="1:13" x14ac:dyDescent="0.25">
      <c r="A1108" s="101"/>
      <c r="B1108" s="101" t="s">
        <v>38</v>
      </c>
      <c r="C1108" s="101" t="s">
        <v>130</v>
      </c>
      <c r="D1108" s="152">
        <f>IFERROR(INDEX('BD Rendimientos'!G:G,MATCH("15.01.11|M. Suministro, tendido y compactación de subbase clase III e=20cm|m2|mano_obra",'BD Rendimientos'!L:L,0)),"")</f>
        <v>1</v>
      </c>
      <c r="E1108" s="161">
        <f>IFERROR(INDEX('BD Mano de Obra'!D:D,MATCH("M. Suministro, tendido y compactación de subbase clase III e=20cm",'BD Mano de Obra'!B:B,0)),"")</f>
        <v>2</v>
      </c>
      <c r="F1108" s="170">
        <f>IFERROR(D1108*E1108,"")</f>
        <v>2</v>
      </c>
      <c r="G1108" s="120"/>
      <c r="H1108" s="108"/>
      <c r="I1108" s="120">
        <v>43.07</v>
      </c>
      <c r="J1108" s="108">
        <v>2</v>
      </c>
      <c r="K1108" s="120"/>
      <c r="L1108" s="108"/>
      <c r="M1108" s="101" t="s">
        <v>647</v>
      </c>
    </row>
    <row r="1109" spans="1:13" ht="16.5" thickBot="1" x14ac:dyDescent="0.3">
      <c r="A1109" s="100"/>
      <c r="B1109" s="100" t="s">
        <v>645</v>
      </c>
      <c r="C1109" s="100" t="s">
        <v>130</v>
      </c>
      <c r="D1109" s="151"/>
      <c r="E1109" s="160"/>
      <c r="F1109" s="169">
        <f>SUM(F1108)</f>
        <v>2</v>
      </c>
      <c r="G1109" s="119"/>
      <c r="H1109" s="107"/>
      <c r="I1109" s="119"/>
      <c r="J1109" s="107">
        <v>2</v>
      </c>
      <c r="K1109" s="119"/>
      <c r="L1109" s="107"/>
      <c r="M1109" s="100" t="s">
        <v>646</v>
      </c>
    </row>
    <row r="1110" spans="1:13" ht="16.5" thickTop="1" thickBot="1" x14ac:dyDescent="0.3">
      <c r="D1110" s="150"/>
      <c r="E1110" s="159"/>
      <c r="F1110" s="168"/>
      <c r="G1110" s="118"/>
      <c r="H1110" s="106"/>
      <c r="I1110" s="118"/>
      <c r="J1110" s="106"/>
      <c r="K1110" s="118"/>
      <c r="L1110" s="106"/>
    </row>
    <row r="1111" spans="1:13" ht="15.75" thickTop="1" x14ac:dyDescent="0.25">
      <c r="A1111" s="98" t="s">
        <v>34</v>
      </c>
      <c r="B1111" s="98" t="s">
        <v>36</v>
      </c>
      <c r="C1111" s="98" t="s">
        <v>130</v>
      </c>
      <c r="D1111" s="154" t="s">
        <v>635</v>
      </c>
      <c r="E1111" s="163" t="s">
        <v>636</v>
      </c>
      <c r="F1111" s="172" t="s">
        <v>637</v>
      </c>
      <c r="G1111" s="122" t="s">
        <v>638</v>
      </c>
      <c r="H1111" s="110" t="s">
        <v>639</v>
      </c>
      <c r="I1111" s="122" t="s">
        <v>640</v>
      </c>
      <c r="J1111" s="110" t="s">
        <v>641</v>
      </c>
      <c r="K1111" s="122" t="s">
        <v>642</v>
      </c>
      <c r="L1111" s="110" t="s">
        <v>643</v>
      </c>
      <c r="M1111" s="98" t="s">
        <v>668</v>
      </c>
    </row>
    <row r="1112" spans="1:13" x14ac:dyDescent="0.25">
      <c r="A1112" s="99" t="s">
        <v>11</v>
      </c>
      <c r="B1112" s="99"/>
      <c r="C1112" s="99"/>
      <c r="D1112" s="149"/>
      <c r="E1112" s="158"/>
      <c r="F1112" s="167"/>
      <c r="G1112" s="117"/>
      <c r="H1112" s="105"/>
      <c r="I1112" s="117"/>
      <c r="J1112" s="105"/>
      <c r="K1112" s="117"/>
      <c r="L1112" s="105"/>
      <c r="M1112" s="99"/>
    </row>
    <row r="1113" spans="1:13" x14ac:dyDescent="0.25">
      <c r="A1113" s="101"/>
      <c r="B1113" s="101" t="s">
        <v>695</v>
      </c>
      <c r="C1113" s="101" t="s">
        <v>3</v>
      </c>
      <c r="D1113" s="152">
        <f>IFERROR(INDEX('BD Rendimientos'!G:G,MATCH("15.01.12|Adoquin Toledo 6cm Color 16X16|ml|materiales",'BD Rendimientos'!L:L,0)),"")</f>
        <v>0.11520329994107249</v>
      </c>
      <c r="E1113" s="161">
        <f>IFERROR(INDEX('BD Materiales'!D:D,MATCH("Adoquin Toledo 6cm Color 16X16",'BD Materiales'!B:B,0)),"")</f>
        <v>15.56</v>
      </c>
      <c r="F1113" s="170">
        <f>IFERROR(D1113*E1113,"")</f>
        <v>1.792563347083088</v>
      </c>
      <c r="G1113" s="120"/>
      <c r="H1113" s="108"/>
      <c r="I1113" s="120">
        <v>3.91</v>
      </c>
      <c r="J1113" s="108">
        <v>15.56</v>
      </c>
      <c r="K1113" s="120"/>
      <c r="L1113" s="108"/>
      <c r="M1113" s="101" t="s">
        <v>647</v>
      </c>
    </row>
    <row r="1114" spans="1:13" x14ac:dyDescent="0.25">
      <c r="A1114" s="101"/>
      <c r="B1114" s="101" t="s">
        <v>533</v>
      </c>
      <c r="C1114" s="101" t="s">
        <v>3</v>
      </c>
      <c r="D1114" s="152">
        <f>IFERROR(INDEX('BD Rendimientos'!G:G,MATCH("15.01.12|Adoquin Toledo 6cm Color 16X24 (Adoquin Toledo 6cm Color 24X24)|ml|materiales",'BD Rendimientos'!L:L,0)),"")</f>
        <v>0.1756040070713023</v>
      </c>
      <c r="E1114" s="161">
        <f>IFERROR(INDEX('BD Materiales'!D:D,MATCH("Adoquin Toledo 6cm Color 16X24 (Adoquin Toledo 6cm Color 24X24)",'BD Materiales'!B:B,0)),"")</f>
        <v>15.56</v>
      </c>
      <c r="F1114" s="170">
        <f>IFERROR(D1114*E1114,"")</f>
        <v>2.732398350029464</v>
      </c>
      <c r="G1114" s="120"/>
      <c r="H1114" s="108"/>
      <c r="I1114" s="120">
        <v>5.96</v>
      </c>
      <c r="J1114" s="108">
        <v>15.56</v>
      </c>
      <c r="K1114" s="120"/>
      <c r="L1114" s="108"/>
      <c r="M1114" s="101" t="s">
        <v>647</v>
      </c>
    </row>
    <row r="1115" spans="1:13" x14ac:dyDescent="0.25">
      <c r="A1115" s="101"/>
      <c r="B1115" s="101" t="s">
        <v>699</v>
      </c>
      <c r="C1115" s="101" t="s">
        <v>3</v>
      </c>
      <c r="D1115" s="152">
        <f>IFERROR(INDEX('BD Rendimientos'!G:G,MATCH("15.01.12|Adoquin Toledo 6cm Color 24X24|ml|materiales",'BD Rendimientos'!L:L,0)),"")</f>
        <v>0.25810253388332355</v>
      </c>
      <c r="E1115" s="161">
        <f>IFERROR(INDEX('BD Materiales'!D:D,MATCH("Adoquin Toledo 6cm Color 24X24",'BD Materiales'!B:B,0)),"")</f>
        <v>15.56</v>
      </c>
      <c r="F1115" s="170">
        <f>IFERROR(D1115*E1115,"")</f>
        <v>4.0160754272245143</v>
      </c>
      <c r="G1115" s="120"/>
      <c r="H1115" s="108"/>
      <c r="I1115" s="120">
        <v>8.76</v>
      </c>
      <c r="J1115" s="108">
        <v>15.56</v>
      </c>
      <c r="K1115" s="120"/>
      <c r="L1115" s="108"/>
      <c r="M1115" s="101" t="s">
        <v>647</v>
      </c>
    </row>
    <row r="1116" spans="1:13" x14ac:dyDescent="0.25">
      <c r="A1116" s="101"/>
      <c r="B1116" s="101" t="s">
        <v>851</v>
      </c>
      <c r="C1116" s="101" t="s">
        <v>15</v>
      </c>
      <c r="D1116" s="152">
        <f>IFERROR(INDEX('BD Rendimientos'!G:G,MATCH("15.01.12|Disco de corte de diamante 9""|Uni.|materiales",'BD Rendimientos'!L:L,0)),"")</f>
        <v>2.9463759575721865E-2</v>
      </c>
      <c r="E1116" s="161">
        <f>IFERROR(INDEX('BD Materiales'!D:D,MATCH("Disco de corte de diamante 9""",'BD Materiales'!B:B,0)),"")</f>
        <v>7.3260000000000005</v>
      </c>
      <c r="F1116" s="170">
        <f>IFERROR(D1116*E1116,"")</f>
        <v>0.21585150265173839</v>
      </c>
      <c r="G1116" s="120"/>
      <c r="H1116" s="108"/>
      <c r="I1116" s="120">
        <v>1</v>
      </c>
      <c r="J1116" s="108">
        <v>7.56</v>
      </c>
      <c r="K1116" s="120"/>
      <c r="L1116" s="108"/>
      <c r="M1116" s="101" t="s">
        <v>647</v>
      </c>
    </row>
    <row r="1117" spans="1:13" x14ac:dyDescent="0.25">
      <c r="A1117" s="101"/>
      <c r="B1117" s="101" t="s">
        <v>603</v>
      </c>
      <c r="C1117" s="101" t="s">
        <v>6</v>
      </c>
      <c r="D1117" s="152">
        <f>IFERROR(INDEX('BD Rendimientos'!G:G,MATCH("15.01.12|Polvo Azul|m3|materiales",'BD Rendimientos'!L:L,0)),"")</f>
        <v>1.4731879787860933E-2</v>
      </c>
      <c r="E1117" s="161">
        <f>IFERROR(INDEX('BD Materiales'!D:D,MATCH("Polvo Azul",'BD Materiales'!B:B,0)),"")</f>
        <v>14.547574523429788</v>
      </c>
      <c r="F1117" s="170">
        <f>IFERROR(D1117*E1117,"")</f>
        <v>0.21431311908411593</v>
      </c>
      <c r="G1117" s="120"/>
      <c r="H1117" s="108"/>
      <c r="I1117" s="120">
        <v>0.5</v>
      </c>
      <c r="J1117" s="108">
        <v>16.48</v>
      </c>
      <c r="K1117" s="120"/>
      <c r="L1117" s="108"/>
      <c r="M1117" s="101" t="s">
        <v>647</v>
      </c>
    </row>
    <row r="1118" spans="1:13" x14ac:dyDescent="0.25">
      <c r="A1118" s="99" t="s">
        <v>5</v>
      </c>
      <c r="B1118" s="99"/>
      <c r="C1118" s="99"/>
      <c r="D1118" s="149"/>
      <c r="E1118" s="158"/>
      <c r="F1118" s="167"/>
      <c r="G1118" s="117"/>
      <c r="H1118" s="105"/>
      <c r="I1118" s="117"/>
      <c r="J1118" s="105"/>
      <c r="K1118" s="117"/>
      <c r="L1118" s="105"/>
      <c r="M1118" s="99"/>
    </row>
    <row r="1119" spans="1:13" x14ac:dyDescent="0.25">
      <c r="A1119" s="101"/>
      <c r="B1119" s="101" t="s">
        <v>35</v>
      </c>
      <c r="C1119" s="101" t="s">
        <v>130</v>
      </c>
      <c r="D1119" s="152">
        <f>IFERROR(INDEX('BD Rendimientos'!G:G,MATCH("15.01.12|M. Adoquín En Acceso Peatonal|m2|mano_obra",'BD Rendimientos'!L:L,0)),"")</f>
        <v>1</v>
      </c>
      <c r="E1119" s="161">
        <f>IFERROR(INDEX('BD Mano de Obra'!D:D,MATCH("M. Adoquín En Acceso Peatonal",'BD Mano de Obra'!B:B,0)),"")</f>
        <v>2.8</v>
      </c>
      <c r="F1119" s="170">
        <f>IFERROR(D1119*E1119,"")</f>
        <v>2.8</v>
      </c>
      <c r="G1119" s="120"/>
      <c r="H1119" s="108"/>
      <c r="I1119" s="120">
        <v>33.94</v>
      </c>
      <c r="J1119" s="108">
        <v>2.8</v>
      </c>
      <c r="K1119" s="120"/>
      <c r="L1119" s="108"/>
      <c r="M1119" s="101" t="s">
        <v>647</v>
      </c>
    </row>
    <row r="1120" spans="1:13" x14ac:dyDescent="0.25">
      <c r="A1120" s="99" t="s">
        <v>2</v>
      </c>
      <c r="B1120" s="99"/>
      <c r="C1120" s="99"/>
      <c r="D1120" s="149"/>
      <c r="E1120" s="158"/>
      <c r="F1120" s="167"/>
      <c r="G1120" s="117"/>
      <c r="H1120" s="105"/>
      <c r="I1120" s="117"/>
      <c r="J1120" s="105"/>
      <c r="K1120" s="117"/>
      <c r="L1120" s="105"/>
      <c r="M1120" s="99"/>
    </row>
    <row r="1121" spans="1:13" x14ac:dyDescent="0.25">
      <c r="A1121" s="101"/>
      <c r="B1121" s="101" t="s">
        <v>1234</v>
      </c>
      <c r="C1121" s="101" t="s">
        <v>15</v>
      </c>
      <c r="D1121" s="152">
        <f>IFERROR(INDEX('BD Rendimientos'!G:G,MATCH("15.01.12|Transporte Adoquin|Uni.|equipo",'BD Rendimientos'!L:L,0)),"")</f>
        <v>1.8267530936947555E-2</v>
      </c>
      <c r="E1121" s="161">
        <f>IFERROR(INDEX('BD Equipo'!D:D,MATCH("Transporte Adoquin",'BD Equipo'!B:B,0)),"")</f>
        <v>35</v>
      </c>
      <c r="F1121" s="170">
        <f>IFERROR(D1121*E1121,"")</f>
        <v>0.63936358279316441</v>
      </c>
      <c r="G1121" s="120"/>
      <c r="H1121" s="108"/>
      <c r="I1121" s="120">
        <v>0.62</v>
      </c>
      <c r="J1121" s="108">
        <v>35</v>
      </c>
      <c r="K1121" s="120"/>
      <c r="L1121" s="108"/>
      <c r="M1121" s="101" t="s">
        <v>647</v>
      </c>
    </row>
    <row r="1122" spans="1:13" ht="16.5" thickBot="1" x14ac:dyDescent="0.3">
      <c r="A1122" s="100"/>
      <c r="B1122" s="100" t="s">
        <v>645</v>
      </c>
      <c r="C1122" s="100" t="s">
        <v>130</v>
      </c>
      <c r="D1122" s="151"/>
      <c r="E1122" s="160"/>
      <c r="F1122" s="169">
        <f>SUM(F1113,F1114,F1115,F1116,F1117,F1119,F1121)</f>
        <v>12.410565328866083</v>
      </c>
      <c r="G1122" s="119"/>
      <c r="H1122" s="107"/>
      <c r="I1122" s="119"/>
      <c r="J1122" s="107">
        <v>12.4459281084266</v>
      </c>
      <c r="K1122" s="119"/>
      <c r="L1122" s="107"/>
      <c r="M1122" s="100" t="s">
        <v>646</v>
      </c>
    </row>
    <row r="1123" spans="1:13" ht="16.5" thickTop="1" thickBot="1" x14ac:dyDescent="0.3">
      <c r="D1123" s="150"/>
      <c r="E1123" s="159"/>
      <c r="F1123" s="168"/>
      <c r="G1123" s="118"/>
      <c r="H1123" s="106"/>
      <c r="I1123" s="118"/>
      <c r="J1123" s="106"/>
      <c r="K1123" s="118"/>
      <c r="L1123" s="106"/>
    </row>
    <row r="1124" spans="1:13" ht="15.75" thickTop="1" x14ac:dyDescent="0.25">
      <c r="A1124" s="98" t="s">
        <v>29</v>
      </c>
      <c r="B1124" s="98" t="s">
        <v>33</v>
      </c>
      <c r="C1124" s="98" t="s">
        <v>130</v>
      </c>
      <c r="D1124" s="154" t="s">
        <v>635</v>
      </c>
      <c r="E1124" s="163" t="s">
        <v>636</v>
      </c>
      <c r="F1124" s="172" t="s">
        <v>637</v>
      </c>
      <c r="G1124" s="122" t="s">
        <v>638</v>
      </c>
      <c r="H1124" s="110" t="s">
        <v>639</v>
      </c>
      <c r="I1124" s="122" t="s">
        <v>640</v>
      </c>
      <c r="J1124" s="110" t="s">
        <v>641</v>
      </c>
      <c r="K1124" s="122" t="s">
        <v>642</v>
      </c>
      <c r="L1124" s="110" t="s">
        <v>643</v>
      </c>
      <c r="M1124" s="98" t="s">
        <v>668</v>
      </c>
    </row>
    <row r="1125" spans="1:13" x14ac:dyDescent="0.25">
      <c r="A1125" s="99" t="s">
        <v>11</v>
      </c>
      <c r="B1125" s="99"/>
      <c r="C1125" s="99"/>
      <c r="D1125" s="149"/>
      <c r="E1125" s="158"/>
      <c r="F1125" s="167"/>
      <c r="G1125" s="117"/>
      <c r="H1125" s="105"/>
      <c r="I1125" s="117"/>
      <c r="J1125" s="105"/>
      <c r="K1125" s="117"/>
      <c r="L1125" s="105"/>
      <c r="M1125" s="99"/>
    </row>
    <row r="1126" spans="1:13" x14ac:dyDescent="0.25">
      <c r="A1126" s="101"/>
      <c r="B1126" s="101" t="s">
        <v>818</v>
      </c>
      <c r="C1126" s="101" t="s">
        <v>30</v>
      </c>
      <c r="D1126" s="152">
        <f>IFERROR(INDEX('BD Rendimientos'!G:G,MATCH("15.01.13|Clavos galvanizados 2 1/2""|Kg.|materiales",'BD Rendimientos'!L:L,0)),"")</f>
        <v>2.2901637467078895E-2</v>
      </c>
      <c r="E1126" s="161">
        <f>IFERROR(INDEX('BD Materiales'!D:D,MATCH("Clavos galvanizados 2 1/2""",'BD Materiales'!B:B,0)),"")</f>
        <v>1.84375</v>
      </c>
      <c r="F1126" s="170">
        <f>IFERROR(D1126*E1126,"")</f>
        <v>4.222489407992671E-2</v>
      </c>
      <c r="G1126" s="120"/>
      <c r="H1126" s="108"/>
      <c r="I1126" s="120">
        <v>2</v>
      </c>
      <c r="J1126" s="108">
        <v>1.8</v>
      </c>
      <c r="K1126" s="120"/>
      <c r="L1126" s="108"/>
      <c r="M1126" s="101" t="s">
        <v>647</v>
      </c>
    </row>
    <row r="1127" spans="1:13" x14ac:dyDescent="0.25">
      <c r="A1127" s="101"/>
      <c r="B1127" s="101" t="s">
        <v>822</v>
      </c>
      <c r="C1127" s="101" t="s">
        <v>30</v>
      </c>
      <c r="D1127" s="152">
        <f>IFERROR(INDEX('BD Rendimientos'!G:G,MATCH("15.01.13|Clavos galvanizados 2""|Kg.|materiales",'BD Rendimientos'!L:L,0)),"")</f>
        <v>1.1450818733539448E-2</v>
      </c>
      <c r="E1127" s="161">
        <f>IFERROR(INDEX('BD Materiales'!D:D,MATCH("Clavos galvanizados 2""",'BD Materiales'!B:B,0)),"")</f>
        <v>2.0827777777777783</v>
      </c>
      <c r="F1127" s="170">
        <f>IFERROR(D1127*E1127,"")</f>
        <v>2.3849510795577445E-2</v>
      </c>
      <c r="G1127" s="120"/>
      <c r="H1127" s="108"/>
      <c r="I1127" s="120">
        <v>1</v>
      </c>
      <c r="J1127" s="108">
        <v>2.2999999999999998</v>
      </c>
      <c r="K1127" s="120"/>
      <c r="L1127" s="108"/>
      <c r="M1127" s="101" t="s">
        <v>647</v>
      </c>
    </row>
    <row r="1128" spans="1:13" x14ac:dyDescent="0.25">
      <c r="A1128" s="99" t="s">
        <v>5</v>
      </c>
      <c r="B1128" s="99"/>
      <c r="C1128" s="99"/>
      <c r="D1128" s="149"/>
      <c r="E1128" s="158"/>
      <c r="F1128" s="167"/>
      <c r="G1128" s="117"/>
      <c r="H1128" s="105"/>
      <c r="I1128" s="117"/>
      <c r="J1128" s="105"/>
      <c r="K1128" s="117"/>
      <c r="L1128" s="105"/>
      <c r="M1128" s="99"/>
    </row>
    <row r="1129" spans="1:13" x14ac:dyDescent="0.25">
      <c r="A1129" s="101"/>
      <c r="B1129" s="101" t="s">
        <v>27</v>
      </c>
      <c r="C1129" s="101" t="s">
        <v>130</v>
      </c>
      <c r="D1129" s="152">
        <f>IFERROR(INDEX('BD Rendimientos'!G:G,MATCH("15.01.13|M. Replanteo Plataforma Parqueadero|m2|mano_obra",'BD Rendimientos'!L:L,0)),"")</f>
        <v>1</v>
      </c>
      <c r="E1129" s="161">
        <f>IFERROR(INDEX('BD Mano de Obra'!D:D,MATCH("M. Replanteo Plataforma Parqueadero",'BD Mano de Obra'!B:B,0)),"")</f>
        <v>0.73999999999999988</v>
      </c>
      <c r="F1129" s="170">
        <f>IFERROR(D1129*E1129,"")</f>
        <v>0.73999999999999988</v>
      </c>
      <c r="G1129" s="120"/>
      <c r="H1129" s="108"/>
      <c r="I1129" s="120">
        <v>87.33</v>
      </c>
      <c r="J1129" s="108">
        <v>0.72</v>
      </c>
      <c r="K1129" s="120"/>
      <c r="L1129" s="108"/>
      <c r="M1129" s="101" t="s">
        <v>647</v>
      </c>
    </row>
    <row r="1130" spans="1:13" ht="16.5" thickBot="1" x14ac:dyDescent="0.3">
      <c r="A1130" s="100"/>
      <c r="B1130" s="100" t="s">
        <v>645</v>
      </c>
      <c r="C1130" s="100" t="s">
        <v>130</v>
      </c>
      <c r="D1130" s="151"/>
      <c r="E1130" s="160"/>
      <c r="F1130" s="169">
        <f>SUM(F1126,F1127,F1129)</f>
        <v>0.80607440487550408</v>
      </c>
      <c r="G1130" s="119"/>
      <c r="H1130" s="107"/>
      <c r="I1130" s="119"/>
      <c r="J1130" s="107">
        <v>0.78755983052788303</v>
      </c>
      <c r="K1130" s="119"/>
      <c r="L1130" s="107"/>
      <c r="M1130" s="100" t="s">
        <v>646</v>
      </c>
    </row>
    <row r="1131" spans="1:13" ht="16.5" thickTop="1" thickBot="1" x14ac:dyDescent="0.3">
      <c r="D1131" s="150"/>
      <c r="E1131" s="159"/>
      <c r="F1131" s="168"/>
      <c r="G1131" s="118"/>
      <c r="H1131" s="106"/>
      <c r="I1131" s="118"/>
      <c r="J1131" s="106"/>
      <c r="K1131" s="118"/>
      <c r="L1131" s="106"/>
    </row>
    <row r="1132" spans="1:13" ht="15.75" thickTop="1" x14ac:dyDescent="0.25">
      <c r="A1132" s="97" t="s">
        <v>26</v>
      </c>
      <c r="B1132" s="97" t="s">
        <v>28</v>
      </c>
      <c r="C1132" s="97" t="s">
        <v>130</v>
      </c>
      <c r="D1132" s="148" t="s">
        <v>635</v>
      </c>
      <c r="E1132" s="157" t="s">
        <v>636</v>
      </c>
      <c r="F1132" s="166" t="s">
        <v>637</v>
      </c>
      <c r="G1132" s="116" t="s">
        <v>638</v>
      </c>
      <c r="H1132" s="104" t="s">
        <v>639</v>
      </c>
      <c r="I1132" s="116" t="s">
        <v>640</v>
      </c>
      <c r="J1132" s="104" t="s">
        <v>641</v>
      </c>
      <c r="K1132" s="116" t="s">
        <v>642</v>
      </c>
      <c r="L1132" s="104" t="s">
        <v>643</v>
      </c>
      <c r="M1132" s="97" t="s">
        <v>644</v>
      </c>
    </row>
    <row r="1133" spans="1:13" x14ac:dyDescent="0.25">
      <c r="A1133" s="99" t="s">
        <v>5</v>
      </c>
      <c r="B1133" s="99"/>
      <c r="C1133" s="99"/>
      <c r="D1133" s="149"/>
      <c r="E1133" s="158"/>
      <c r="F1133" s="167"/>
      <c r="G1133" s="117"/>
      <c r="H1133" s="105"/>
      <c r="I1133" s="117"/>
      <c r="J1133" s="105"/>
      <c r="K1133" s="117"/>
      <c r="L1133" s="105"/>
      <c r="M1133" s="99"/>
    </row>
    <row r="1134" spans="1:13" x14ac:dyDescent="0.25">
      <c r="B1134" t="s">
        <v>27</v>
      </c>
      <c r="C1134" t="s">
        <v>130</v>
      </c>
      <c r="D1134" s="150">
        <f>IFERROR(INDEX('BD Rendimientos'!G:G,MATCH("15.01.14|M. Replanteo Plataforma Parqueadero|m2|mano_obra",'BD Rendimientos'!L:L,0)),"")</f>
        <v>1</v>
      </c>
      <c r="E1134" s="159">
        <f>IFERROR(INDEX('BD Mano de Obra'!D:D,MATCH("M. Replanteo Plataforma Parqueadero",'BD Mano de Obra'!B:B,0)),"")</f>
        <v>0.73999999999999988</v>
      </c>
      <c r="F1134" s="168">
        <f>IFERROR(D1134*E1134,"")</f>
        <v>0.73999999999999988</v>
      </c>
      <c r="G1134" s="118"/>
      <c r="H1134" s="106"/>
      <c r="I1134" s="118">
        <v>107.34332999999999</v>
      </c>
      <c r="J1134" s="106">
        <v>0.75</v>
      </c>
      <c r="K1134" s="118">
        <v>68.849999999999994</v>
      </c>
      <c r="L1134" s="106">
        <v>0.75</v>
      </c>
    </row>
    <row r="1135" spans="1:13" ht="16.5" thickBot="1" x14ac:dyDescent="0.3">
      <c r="A1135" s="100"/>
      <c r="B1135" s="100" t="s">
        <v>645</v>
      </c>
      <c r="C1135" s="100" t="s">
        <v>130</v>
      </c>
      <c r="D1135" s="151"/>
      <c r="E1135" s="160"/>
      <c r="F1135" s="169">
        <f>SUM(F1134)</f>
        <v>0.73999999999999988</v>
      </c>
      <c r="G1135" s="119"/>
      <c r="H1135" s="107"/>
      <c r="I1135" s="119"/>
      <c r="J1135" s="107">
        <v>0.75</v>
      </c>
      <c r="K1135" s="119"/>
      <c r="L1135" s="107">
        <v>0.75</v>
      </c>
      <c r="M1135" s="100" t="s">
        <v>646</v>
      </c>
    </row>
    <row r="1136" spans="1:13" ht="16.5" thickTop="1" thickBot="1" x14ac:dyDescent="0.3">
      <c r="D1136" s="150"/>
      <c r="E1136" s="159"/>
      <c r="F1136" s="168"/>
      <c r="G1136" s="118"/>
      <c r="H1136" s="106"/>
      <c r="I1136" s="118"/>
      <c r="J1136" s="106"/>
      <c r="K1136" s="118"/>
      <c r="L1136" s="106"/>
    </row>
    <row r="1137" spans="1:13" ht="15.75" thickTop="1" x14ac:dyDescent="0.25">
      <c r="A1137" s="98" t="s">
        <v>518</v>
      </c>
      <c r="B1137" s="98" t="s">
        <v>25</v>
      </c>
      <c r="C1137" s="98" t="s">
        <v>130</v>
      </c>
      <c r="D1137" s="154" t="s">
        <v>635</v>
      </c>
      <c r="E1137" s="163" t="s">
        <v>636</v>
      </c>
      <c r="F1137" s="172" t="s">
        <v>637</v>
      </c>
      <c r="G1137" s="122" t="s">
        <v>638</v>
      </c>
      <c r="H1137" s="110" t="s">
        <v>639</v>
      </c>
      <c r="I1137" s="122" t="s">
        <v>640</v>
      </c>
      <c r="J1137" s="110" t="s">
        <v>641</v>
      </c>
      <c r="K1137" s="122" t="s">
        <v>642</v>
      </c>
      <c r="L1137" s="110" t="s">
        <v>643</v>
      </c>
      <c r="M1137" s="98" t="s">
        <v>668</v>
      </c>
    </row>
    <row r="1138" spans="1:13" x14ac:dyDescent="0.25">
      <c r="A1138" s="99" t="s">
        <v>11</v>
      </c>
      <c r="B1138" s="99"/>
      <c r="C1138" s="99"/>
      <c r="D1138" s="149"/>
      <c r="E1138" s="158"/>
      <c r="F1138" s="167"/>
      <c r="G1138" s="117"/>
      <c r="H1138" s="105"/>
      <c r="I1138" s="117"/>
      <c r="J1138" s="105"/>
      <c r="K1138" s="117"/>
      <c r="L1138" s="105"/>
      <c r="M1138" s="99"/>
    </row>
    <row r="1139" spans="1:13" x14ac:dyDescent="0.25">
      <c r="A1139" s="101"/>
      <c r="B1139" s="101" t="s">
        <v>876</v>
      </c>
      <c r="C1139" s="101" t="s">
        <v>23</v>
      </c>
      <c r="D1139" s="152">
        <f>IFERROR(INDEX('BD Rendimientos'!G:G,MATCH("15.01.20|Gasolina - Extra|gal|materiales",'BD Rendimientos'!L:L,0)),"")</f>
        <v>1.1674060238150829E-2</v>
      </c>
      <c r="E1139" s="161">
        <f>IFERROR(INDEX('BD Materiales'!D:D,MATCH("Gasolina - Extra",'BD Materiales'!B:B,0)),"")</f>
        <v>2.14</v>
      </c>
      <c r="F1139" s="170">
        <f>IFERROR(D1139*E1139,"")</f>
        <v>2.4982488909642775E-2</v>
      </c>
      <c r="G1139" s="120"/>
      <c r="H1139" s="108"/>
      <c r="I1139" s="120">
        <v>1</v>
      </c>
      <c r="J1139" s="108">
        <v>2.14</v>
      </c>
      <c r="K1139" s="120"/>
      <c r="L1139" s="108"/>
      <c r="M1139" s="101" t="s">
        <v>647</v>
      </c>
    </row>
    <row r="1140" spans="1:13" x14ac:dyDescent="0.25">
      <c r="A1140" s="101"/>
      <c r="B1140" s="101" t="s">
        <v>889</v>
      </c>
      <c r="C1140" s="101" t="s">
        <v>6</v>
      </c>
      <c r="D1140" s="152">
        <f>IFERROR(INDEX('BD Rendimientos'!G:G,MATCH("15.01.20|Lastre|m3|materiales",'BD Rendimientos'!L:L,0)),"")</f>
        <v>0.18678496381041326</v>
      </c>
      <c r="E1140" s="161">
        <f>IFERROR(INDEX('BD Materiales'!D:D,MATCH("Lastre",'BD Materiales'!B:B,0)),"")</f>
        <v>12.539166666666667</v>
      </c>
      <c r="F1140" s="170">
        <f>IFERROR(D1140*E1140,"")</f>
        <v>2.3421277920460737</v>
      </c>
      <c r="G1140" s="120"/>
      <c r="H1140" s="108"/>
      <c r="I1140" s="120">
        <v>16</v>
      </c>
      <c r="J1140" s="108">
        <v>13</v>
      </c>
      <c r="K1140" s="120"/>
      <c r="L1140" s="108"/>
      <c r="M1140" s="101" t="s">
        <v>647</v>
      </c>
    </row>
    <row r="1141" spans="1:13" x14ac:dyDescent="0.25">
      <c r="A1141" s="99" t="s">
        <v>5</v>
      </c>
      <c r="B1141" s="99"/>
      <c r="C1141" s="99"/>
      <c r="D1141" s="149"/>
      <c r="E1141" s="158"/>
      <c r="F1141" s="167"/>
      <c r="G1141" s="117"/>
      <c r="H1141" s="105"/>
      <c r="I1141" s="117"/>
      <c r="J1141" s="105"/>
      <c r="K1141" s="117"/>
      <c r="L1141" s="105"/>
      <c r="M1141" s="99"/>
    </row>
    <row r="1142" spans="1:13" x14ac:dyDescent="0.25">
      <c r="A1142" s="101"/>
      <c r="B1142" s="101" t="s">
        <v>21</v>
      </c>
      <c r="C1142" s="101" t="s">
        <v>130</v>
      </c>
      <c r="D1142" s="152">
        <f>IFERROR(INDEX('BD Rendimientos'!G:G,MATCH("15.01.20|M. Suministro, tendido y compactación de subbase clase III e=20cm (Parqueadero)|m2|mano_obra",'BD Rendimientos'!L:L,0)),"")</f>
        <v>1</v>
      </c>
      <c r="E1142" s="161">
        <f>IFERROR(INDEX('BD Mano de Obra'!D:D,MATCH("M. Suministro, tendido y compactación de subbase clase III e=20cm (Parqueadero)",'BD Mano de Obra'!B:B,0)),"")</f>
        <v>2</v>
      </c>
      <c r="F1142" s="170">
        <f>IFERROR(D1142*E1142,"")</f>
        <v>2</v>
      </c>
      <c r="G1142" s="120"/>
      <c r="H1142" s="108"/>
      <c r="I1142" s="120">
        <v>85.66</v>
      </c>
      <c r="J1142" s="108">
        <v>2</v>
      </c>
      <c r="K1142" s="120"/>
      <c r="L1142" s="108"/>
      <c r="M1142" s="101" t="s">
        <v>647</v>
      </c>
    </row>
    <row r="1143" spans="1:13" x14ac:dyDescent="0.25">
      <c r="A1143" s="99" t="s">
        <v>2</v>
      </c>
      <c r="B1143" s="99"/>
      <c r="C1143" s="99"/>
      <c r="D1143" s="149"/>
      <c r="E1143" s="158"/>
      <c r="F1143" s="167"/>
      <c r="G1143" s="117"/>
      <c r="H1143" s="105"/>
      <c r="I1143" s="117"/>
      <c r="J1143" s="105"/>
      <c r="K1143" s="117"/>
      <c r="L1143" s="105"/>
      <c r="M1143" s="99"/>
    </row>
    <row r="1144" spans="1:13" x14ac:dyDescent="0.25">
      <c r="A1144" s="101"/>
      <c r="B1144" s="101" t="s">
        <v>1188</v>
      </c>
      <c r="C1144" s="101" t="s">
        <v>15</v>
      </c>
      <c r="D1144" s="152">
        <f>IFERROR(INDEX('BD Rendimientos'!G:G,MATCH("15.01.20|Alquiler compactador sapo|Uni.|equipo",'BD Rendimientos'!L:L,0)),"")</f>
        <v>3.502218071445249E-2</v>
      </c>
      <c r="E1144" s="161">
        <f>IFERROR(INDEX('BD Equipo'!D:D,MATCH("Alquiler compactador sapo",'BD Equipo'!B:B,0)),"")</f>
        <v>25</v>
      </c>
      <c r="F1144" s="170">
        <f>IFERROR(D1144*E1144,"")</f>
        <v>0.87555451786131222</v>
      </c>
      <c r="G1144" s="120"/>
      <c r="H1144" s="108"/>
      <c r="I1144" s="120">
        <v>3</v>
      </c>
      <c r="J1144" s="108">
        <v>25</v>
      </c>
      <c r="K1144" s="120"/>
      <c r="L1144" s="108"/>
      <c r="M1144" s="101" t="s">
        <v>647</v>
      </c>
    </row>
    <row r="1145" spans="1:13" ht="16.5" thickBot="1" x14ac:dyDescent="0.3">
      <c r="A1145" s="100"/>
      <c r="B1145" s="100" t="s">
        <v>645</v>
      </c>
      <c r="C1145" s="100" t="s">
        <v>130</v>
      </c>
      <c r="D1145" s="151"/>
      <c r="E1145" s="160"/>
      <c r="F1145" s="169">
        <f>SUM(F1139,F1140,F1142,F1144)</f>
        <v>5.2426647988170281</v>
      </c>
      <c r="G1145" s="119"/>
      <c r="H1145" s="107"/>
      <c r="I1145" s="119"/>
      <c r="J1145" s="107">
        <v>5.32874153630633</v>
      </c>
      <c r="K1145" s="119"/>
      <c r="L1145" s="107"/>
      <c r="M1145" s="100" t="s">
        <v>646</v>
      </c>
    </row>
    <row r="1146" spans="1:13" ht="16.5" thickTop="1" thickBot="1" x14ac:dyDescent="0.3">
      <c r="D1146" s="150"/>
      <c r="E1146" s="159"/>
      <c r="F1146" s="168"/>
      <c r="G1146" s="118"/>
      <c r="H1146" s="106"/>
      <c r="I1146" s="118"/>
      <c r="J1146" s="106"/>
      <c r="K1146" s="118"/>
      <c r="L1146" s="106"/>
    </row>
    <row r="1147" spans="1:13" ht="15.75" thickTop="1" x14ac:dyDescent="0.25">
      <c r="A1147" s="98" t="s">
        <v>519</v>
      </c>
      <c r="B1147" s="98" t="s">
        <v>20</v>
      </c>
      <c r="C1147" s="98" t="s">
        <v>130</v>
      </c>
      <c r="D1147" s="154" t="s">
        <v>635</v>
      </c>
      <c r="E1147" s="163" t="s">
        <v>636</v>
      </c>
      <c r="F1147" s="172" t="s">
        <v>637</v>
      </c>
      <c r="G1147" s="122" t="s">
        <v>638</v>
      </c>
      <c r="H1147" s="110" t="s">
        <v>639</v>
      </c>
      <c r="I1147" s="122" t="s">
        <v>640</v>
      </c>
      <c r="J1147" s="110" t="s">
        <v>641</v>
      </c>
      <c r="K1147" s="122" t="s">
        <v>642</v>
      </c>
      <c r="L1147" s="110" t="s">
        <v>643</v>
      </c>
      <c r="M1147" s="98" t="s">
        <v>668</v>
      </c>
    </row>
    <row r="1148" spans="1:13" x14ac:dyDescent="0.25">
      <c r="A1148" s="99" t="s">
        <v>11</v>
      </c>
      <c r="B1148" s="99"/>
      <c r="C1148" s="99"/>
      <c r="D1148" s="149"/>
      <c r="E1148" s="158"/>
      <c r="F1148" s="167"/>
      <c r="G1148" s="117"/>
      <c r="H1148" s="105"/>
      <c r="I1148" s="117"/>
      <c r="J1148" s="105"/>
      <c r="K1148" s="117"/>
      <c r="L1148" s="105"/>
      <c r="M1148" s="99"/>
    </row>
    <row r="1149" spans="1:13" x14ac:dyDescent="0.25">
      <c r="A1149" s="101"/>
      <c r="B1149" s="101" t="s">
        <v>695</v>
      </c>
      <c r="C1149" s="101" t="s">
        <v>3</v>
      </c>
      <c r="D1149" s="152">
        <f>IFERROR(INDEX('BD Rendimientos'!G:G,MATCH("15.01.21|Adoquin Toledo 6cm Color 16X16|ml|materiales",'BD Rendimientos'!L:L,0)),"")</f>
        <v>0.19940639771353194</v>
      </c>
      <c r="E1149" s="161">
        <f>IFERROR(INDEX('BD Materiales'!D:D,MATCH("Adoquin Toledo 6cm Color 16X16",'BD Materiales'!B:B,0)),"")</f>
        <v>15.56</v>
      </c>
      <c r="F1149" s="170">
        <f>IFERROR(D1149*E1149,"")</f>
        <v>3.1027635484225571</v>
      </c>
      <c r="G1149" s="120"/>
      <c r="H1149" s="108"/>
      <c r="I1149" s="120">
        <v>18.14</v>
      </c>
      <c r="J1149" s="108">
        <v>15.56</v>
      </c>
      <c r="K1149" s="120"/>
      <c r="L1149" s="108"/>
      <c r="M1149" s="101" t="s">
        <v>647</v>
      </c>
    </row>
    <row r="1150" spans="1:13" x14ac:dyDescent="0.25">
      <c r="A1150" s="101"/>
      <c r="B1150" s="101" t="s">
        <v>533</v>
      </c>
      <c r="C1150" s="101" t="s">
        <v>3</v>
      </c>
      <c r="D1150" s="152">
        <f>IFERROR(INDEX('BD Rendimientos'!G:G,MATCH("15.01.21|Adoquin Toledo 6cm Color 16X24 (Adoquin Toledo 6cm Color 24X24)|ml|materiales",'BD Rendimientos'!L:L,0)),"")</f>
        <v>0.32494228866659336</v>
      </c>
      <c r="E1150" s="161">
        <f>IFERROR(INDEX('BD Materiales'!D:D,MATCH("Adoquin Toledo 6cm Color 16X24 (Adoquin Toledo 6cm Color 24X24)",'BD Materiales'!B:B,0)),"")</f>
        <v>15.56</v>
      </c>
      <c r="F1150" s="170">
        <f>IFERROR(D1150*E1150,"")</f>
        <v>5.0561020116521931</v>
      </c>
      <c r="G1150" s="120"/>
      <c r="H1150" s="108"/>
      <c r="I1150" s="120">
        <v>29.56</v>
      </c>
      <c r="J1150" s="108">
        <v>15.56</v>
      </c>
      <c r="K1150" s="120"/>
      <c r="L1150" s="108"/>
      <c r="M1150" s="101" t="s">
        <v>647</v>
      </c>
    </row>
    <row r="1151" spans="1:13" x14ac:dyDescent="0.25">
      <c r="A1151" s="101"/>
      <c r="B1151" s="101" t="s">
        <v>699</v>
      </c>
      <c r="C1151" s="101" t="s">
        <v>3</v>
      </c>
      <c r="D1151" s="152">
        <f>IFERROR(INDEX('BD Rendimientos'!G:G,MATCH("15.01.21|Adoquin Toledo 6cm Color 24X24|ml|materiales",'BD Rendimientos'!L:L,0)),"")</f>
        <v>0.44619105199516329</v>
      </c>
      <c r="E1151" s="161">
        <f>IFERROR(INDEX('BD Materiales'!D:D,MATCH("Adoquin Toledo 6cm Color 24X24",'BD Materiales'!B:B,0)),"")</f>
        <v>15.56</v>
      </c>
      <c r="F1151" s="170">
        <f>IFERROR(D1151*E1151,"")</f>
        <v>6.9427327690447411</v>
      </c>
      <c r="G1151" s="120"/>
      <c r="H1151" s="108"/>
      <c r="I1151" s="120">
        <v>40.590000000000003</v>
      </c>
      <c r="J1151" s="108">
        <v>15.56</v>
      </c>
      <c r="K1151" s="120"/>
      <c r="L1151" s="108"/>
      <c r="M1151" s="101" t="s">
        <v>647</v>
      </c>
    </row>
    <row r="1152" spans="1:13" x14ac:dyDescent="0.25">
      <c r="A1152" s="101"/>
      <c r="B1152" s="101" t="s">
        <v>851</v>
      </c>
      <c r="C1152" s="101" t="s">
        <v>15</v>
      </c>
      <c r="D1152" s="152">
        <f>IFERROR(INDEX('BD Rendimientos'!G:G,MATCH("15.01.21|Disco de corte de diamante 9""|Uni.|materiales",'BD Rendimientos'!L:L,0)),"")</f>
        <v>1.0992634934593822E-2</v>
      </c>
      <c r="E1152" s="161">
        <f>IFERROR(INDEX('BD Materiales'!D:D,MATCH("Disco de corte de diamante 9""",'BD Materiales'!B:B,0)),"")</f>
        <v>7.3260000000000005</v>
      </c>
      <c r="F1152" s="170">
        <f>IFERROR(D1152*E1152,"")</f>
        <v>8.0532043530834346E-2</v>
      </c>
      <c r="G1152" s="120"/>
      <c r="H1152" s="108"/>
      <c r="I1152" s="120">
        <v>1</v>
      </c>
      <c r="J1152" s="108">
        <v>7.56</v>
      </c>
      <c r="K1152" s="120"/>
      <c r="L1152" s="108"/>
      <c r="M1152" s="101" t="s">
        <v>647</v>
      </c>
    </row>
    <row r="1153" spans="1:13" x14ac:dyDescent="0.25">
      <c r="A1153" s="101"/>
      <c r="B1153" s="101" t="s">
        <v>603</v>
      </c>
      <c r="C1153" s="101" t="s">
        <v>6</v>
      </c>
      <c r="D1153" s="152">
        <f>IFERROR(INDEX('BD Rendimientos'!G:G,MATCH("15.01.21|Polvo Azul|m3|materiales",'BD Rendimientos'!L:L,0)),"")</f>
        <v>1.736836319665824E-2</v>
      </c>
      <c r="E1153" s="161">
        <f>IFERROR(INDEX('BD Materiales'!D:D,MATCH("Polvo Azul",'BD Materiales'!B:B,0)),"")</f>
        <v>14.547574523429788</v>
      </c>
      <c r="F1153" s="170">
        <f>IFERROR(D1153*E1153,"")</f>
        <v>0.25266755795338097</v>
      </c>
      <c r="G1153" s="120"/>
      <c r="H1153" s="108"/>
      <c r="I1153" s="120">
        <v>1.58</v>
      </c>
      <c r="J1153" s="108">
        <v>16.47</v>
      </c>
      <c r="K1153" s="120"/>
      <c r="L1153" s="108"/>
      <c r="M1153" s="101" t="s">
        <v>647</v>
      </c>
    </row>
    <row r="1154" spans="1:13" x14ac:dyDescent="0.25">
      <c r="A1154" s="99" t="s">
        <v>5</v>
      </c>
      <c r="B1154" s="99"/>
      <c r="C1154" s="99"/>
      <c r="D1154" s="149"/>
      <c r="E1154" s="158"/>
      <c r="F1154" s="167"/>
      <c r="G1154" s="117"/>
      <c r="H1154" s="105"/>
      <c r="I1154" s="117"/>
      <c r="J1154" s="105"/>
      <c r="K1154" s="117"/>
      <c r="L1154" s="105"/>
      <c r="M1154" s="99"/>
    </row>
    <row r="1155" spans="1:13" x14ac:dyDescent="0.25">
      <c r="A1155" s="101"/>
      <c r="B1155" s="101" t="s">
        <v>14</v>
      </c>
      <c r="C1155" s="101" t="s">
        <v>130</v>
      </c>
      <c r="D1155" s="152">
        <f>IFERROR(INDEX('BD Rendimientos'!G:G,MATCH("15.01.21|M. Adoquín En Estacionamiento|m2|mano_obra",'BD Rendimientos'!L:L,0)),"")</f>
        <v>1</v>
      </c>
      <c r="E1155" s="161">
        <f>IFERROR(INDEX('BD Mano de Obra'!D:D,MATCH("M. Adoquín En Estacionamiento",'BD Mano de Obra'!B:B,0)),"")</f>
        <v>2.8</v>
      </c>
      <c r="F1155" s="170">
        <f>IFERROR(D1155*E1155,"")</f>
        <v>2.8</v>
      </c>
      <c r="G1155" s="120"/>
      <c r="H1155" s="108"/>
      <c r="I1155" s="120">
        <v>90.97</v>
      </c>
      <c r="J1155" s="108">
        <v>2.8</v>
      </c>
      <c r="K1155" s="120"/>
      <c r="L1155" s="108"/>
      <c r="M1155" s="101" t="s">
        <v>647</v>
      </c>
    </row>
    <row r="1156" spans="1:13" x14ac:dyDescent="0.25">
      <c r="A1156" s="99" t="s">
        <v>2</v>
      </c>
      <c r="B1156" s="99"/>
      <c r="C1156" s="99"/>
      <c r="D1156" s="149"/>
      <c r="E1156" s="158"/>
      <c r="F1156" s="167"/>
      <c r="G1156" s="117"/>
      <c r="H1156" s="105"/>
      <c r="I1156" s="117"/>
      <c r="J1156" s="105"/>
      <c r="K1156" s="117"/>
      <c r="L1156" s="105"/>
      <c r="M1156" s="99"/>
    </row>
    <row r="1157" spans="1:13" x14ac:dyDescent="0.25">
      <c r="A1157" s="101"/>
      <c r="B1157" s="101" t="s">
        <v>1234</v>
      </c>
      <c r="C1157" s="101" t="s">
        <v>15</v>
      </c>
      <c r="D1157" s="152">
        <f>IFERROR(INDEX('BD Rendimientos'!G:G,MATCH("15.01.21|Transporte Adoquin|Uni.|equipo",'BD Rendimientos'!L:L,0)),"")</f>
        <v>3.8804001319116189E-2</v>
      </c>
      <c r="E1157" s="161">
        <f>IFERROR(INDEX('BD Equipo'!D:D,MATCH("Transporte Adoquin",'BD Equipo'!B:B,0)),"")</f>
        <v>35</v>
      </c>
      <c r="F1157" s="170">
        <f>IFERROR(D1157*E1157,"")</f>
        <v>1.3581400461690667</v>
      </c>
      <c r="G1157" s="120"/>
      <c r="H1157" s="108"/>
      <c r="I1157" s="120">
        <v>3.53</v>
      </c>
      <c r="J1157" s="108">
        <v>35</v>
      </c>
      <c r="K1157" s="120"/>
      <c r="L1157" s="108"/>
      <c r="M1157" s="101" t="s">
        <v>647</v>
      </c>
    </row>
    <row r="1158" spans="1:13" ht="16.5" thickBot="1" x14ac:dyDescent="0.3">
      <c r="A1158" s="100"/>
      <c r="B1158" s="100" t="s">
        <v>645</v>
      </c>
      <c r="C1158" s="100" t="s">
        <v>130</v>
      </c>
      <c r="D1158" s="151"/>
      <c r="E1158" s="160"/>
      <c r="F1158" s="169">
        <f>SUM(F1149,F1150,F1151,F1152,F1153,F1155,F1157)</f>
        <v>19.59293797677277</v>
      </c>
      <c r="G1158" s="119"/>
      <c r="H1158" s="107"/>
      <c r="I1158" s="119"/>
      <c r="J1158" s="107">
        <v>19.628899637242998</v>
      </c>
      <c r="K1158" s="119"/>
      <c r="L1158" s="107"/>
      <c r="M1158" s="100" t="s">
        <v>646</v>
      </c>
    </row>
    <row r="1159" spans="1:13" ht="16.5" thickTop="1" thickBot="1" x14ac:dyDescent="0.3">
      <c r="D1159" s="150"/>
      <c r="E1159" s="159"/>
      <c r="F1159" s="168"/>
      <c r="G1159" s="118"/>
      <c r="H1159" s="106"/>
      <c r="I1159" s="118"/>
      <c r="J1159" s="106"/>
      <c r="K1159" s="118"/>
      <c r="L1159" s="106"/>
    </row>
    <row r="1160" spans="1:13" ht="15.75" thickTop="1" x14ac:dyDescent="0.25">
      <c r="A1160" s="98" t="s">
        <v>520</v>
      </c>
      <c r="B1160" s="98" t="s">
        <v>12</v>
      </c>
      <c r="C1160" s="98" t="s">
        <v>3</v>
      </c>
      <c r="D1160" s="154" t="s">
        <v>635</v>
      </c>
      <c r="E1160" s="163" t="s">
        <v>636</v>
      </c>
      <c r="F1160" s="172" t="s">
        <v>637</v>
      </c>
      <c r="G1160" s="122" t="s">
        <v>638</v>
      </c>
      <c r="H1160" s="110" t="s">
        <v>639</v>
      </c>
      <c r="I1160" s="122" t="s">
        <v>640</v>
      </c>
      <c r="J1160" s="110" t="s">
        <v>641</v>
      </c>
      <c r="K1160" s="122" t="s">
        <v>642</v>
      </c>
      <c r="L1160" s="110" t="s">
        <v>643</v>
      </c>
      <c r="M1160" s="98" t="s">
        <v>668</v>
      </c>
    </row>
    <row r="1161" spans="1:13" x14ac:dyDescent="0.25">
      <c r="A1161" s="99" t="s">
        <v>11</v>
      </c>
      <c r="B1161" s="99"/>
      <c r="C1161" s="99"/>
      <c r="D1161" s="149"/>
      <c r="E1161" s="158"/>
      <c r="F1161" s="167"/>
      <c r="G1161" s="117"/>
      <c r="H1161" s="105"/>
      <c r="I1161" s="117"/>
      <c r="J1161" s="105"/>
      <c r="K1161" s="117"/>
      <c r="L1161" s="105"/>
      <c r="M1161" s="99"/>
    </row>
    <row r="1162" spans="1:13" x14ac:dyDescent="0.25">
      <c r="A1162" s="101"/>
      <c r="B1162" s="101" t="s">
        <v>741</v>
      </c>
      <c r="C1162" s="101" t="s">
        <v>3</v>
      </c>
      <c r="D1162" s="152">
        <f>IFERROR(INDEX('BD Rendimientos'!G:G,MATCH("15.01.22|Bordillo 100X25X8 Gris Natural|ml|materiales",'BD Rendimientos'!L:L,0)),"")</f>
        <v>0.55555555555555558</v>
      </c>
      <c r="E1162" s="161">
        <f>IFERROR(INDEX('BD Materiales'!D:D,MATCH("Bordillo 100X25X8 Gris Natural",'BD Materiales'!B:B,0)),"")</f>
        <v>6.79</v>
      </c>
      <c r="F1162" s="170">
        <f>IFERROR(D1162*E1162,"")</f>
        <v>3.7722222222222226</v>
      </c>
      <c r="G1162" s="120"/>
      <c r="H1162" s="108"/>
      <c r="I1162" s="120">
        <v>36</v>
      </c>
      <c r="J1162" s="108">
        <v>6.79</v>
      </c>
      <c r="K1162" s="120"/>
      <c r="L1162" s="108"/>
      <c r="M1162" s="101" t="s">
        <v>647</v>
      </c>
    </row>
    <row r="1163" spans="1:13" x14ac:dyDescent="0.25">
      <c r="A1163" s="101"/>
      <c r="B1163" s="101" t="s">
        <v>788</v>
      </c>
      <c r="C1163" s="101" t="s">
        <v>8</v>
      </c>
      <c r="D1163" s="152">
        <f>IFERROR(INDEX('BD Rendimientos'!G:G,MATCH("15.01.22|Cemento Campeon HS 50KG|qq|materiales",'BD Rendimientos'!L:L,0)),"")</f>
        <v>0.1234567901234568</v>
      </c>
      <c r="E1163" s="161">
        <f>IFERROR(INDEX('BD Materiales'!D:D,MATCH("Cemento Campeon HS 50KG",'BD Materiales'!B:B,0)),"")</f>
        <v>6.7489472778273614</v>
      </c>
      <c r="F1163" s="170">
        <f>IFERROR(D1163*E1163,"")</f>
        <v>0.83320336763300762</v>
      </c>
      <c r="G1163" s="120"/>
      <c r="H1163" s="108"/>
      <c r="I1163" s="120">
        <v>8</v>
      </c>
      <c r="J1163" s="108">
        <v>6.73</v>
      </c>
      <c r="K1163" s="120"/>
      <c r="L1163" s="108"/>
      <c r="M1163" s="101" t="s">
        <v>647</v>
      </c>
    </row>
    <row r="1164" spans="1:13" x14ac:dyDescent="0.25">
      <c r="A1164" s="101"/>
      <c r="B1164" s="101" t="s">
        <v>603</v>
      </c>
      <c r="C1164" s="101" t="s">
        <v>6</v>
      </c>
      <c r="D1164" s="152">
        <f>IFERROR(INDEX('BD Rendimientos'!G:G,MATCH("15.01.22|Polvo Azul|m3|materiales",'BD Rendimientos'!L:L,0)),"")</f>
        <v>1.9753086419753086E-2</v>
      </c>
      <c r="E1164" s="161">
        <f>IFERROR(INDEX('BD Materiales'!D:D,MATCH("Polvo Azul",'BD Materiales'!B:B,0)),"")</f>
        <v>14.547574523429788</v>
      </c>
      <c r="F1164" s="170">
        <f>IFERROR(D1164*E1164,"")</f>
        <v>0.28735949675910688</v>
      </c>
      <c r="G1164" s="120"/>
      <c r="H1164" s="108"/>
      <c r="I1164" s="120">
        <v>1.28</v>
      </c>
      <c r="J1164" s="108">
        <v>16.48</v>
      </c>
      <c r="K1164" s="120"/>
      <c r="L1164" s="108"/>
      <c r="M1164" s="101" t="s">
        <v>647</v>
      </c>
    </row>
    <row r="1165" spans="1:13" x14ac:dyDescent="0.25">
      <c r="A1165" s="99" t="s">
        <v>5</v>
      </c>
      <c r="B1165" s="99"/>
      <c r="C1165" s="99"/>
      <c r="D1165" s="149"/>
      <c r="E1165" s="158"/>
      <c r="F1165" s="167"/>
      <c r="G1165" s="117"/>
      <c r="H1165" s="105"/>
      <c r="I1165" s="117"/>
      <c r="J1165" s="105"/>
      <c r="K1165" s="117"/>
      <c r="L1165" s="105"/>
      <c r="M1165" s="99"/>
    </row>
    <row r="1166" spans="1:13" x14ac:dyDescent="0.25">
      <c r="A1166" s="101"/>
      <c r="B1166" s="101" t="s">
        <v>4</v>
      </c>
      <c r="C1166" s="101" t="s">
        <v>3</v>
      </c>
      <c r="D1166" s="152">
        <f>IFERROR(INDEX('BD Rendimientos'!G:G,MATCH("15.01.22|M. Bordillo en estacionamiento (1,00x0,10x0,30m)|ml|mano_obra",'BD Rendimientos'!L:L,0)),"")</f>
        <v>1</v>
      </c>
      <c r="E1166" s="161">
        <f>IFERROR(INDEX('BD Mano de Obra'!D:D,MATCH("M. Bordillo en estacionamiento (1,00x0,10x0,30m)",'BD Mano de Obra'!B:B,0)),"")</f>
        <v>2.6</v>
      </c>
      <c r="F1166" s="170">
        <f>IFERROR(D1166*E1166,"")</f>
        <v>2.6</v>
      </c>
      <c r="G1166" s="120"/>
      <c r="H1166" s="108"/>
      <c r="I1166" s="120">
        <v>64.8</v>
      </c>
      <c r="J1166" s="108">
        <v>2.6</v>
      </c>
      <c r="K1166" s="120"/>
      <c r="L1166" s="108"/>
      <c r="M1166" s="101" t="s">
        <v>647</v>
      </c>
    </row>
    <row r="1167" spans="1:13" ht="16.5" thickBot="1" x14ac:dyDescent="0.3">
      <c r="A1167" s="100"/>
      <c r="B1167" s="100" t="s">
        <v>645</v>
      </c>
      <c r="C1167" s="100" t="s">
        <v>3</v>
      </c>
      <c r="D1167" s="151"/>
      <c r="E1167" s="160"/>
      <c r="F1167" s="169">
        <f>SUM(F1162,F1163,F1164,F1166)</f>
        <v>7.4927850866143366</v>
      </c>
      <c r="G1167" s="119"/>
      <c r="H1167" s="107"/>
      <c r="I1167" s="119"/>
      <c r="J1167" s="107">
        <v>7.52861728395062</v>
      </c>
      <c r="K1167" s="119"/>
      <c r="L1167" s="107"/>
      <c r="M1167" s="100" t="s">
        <v>646</v>
      </c>
    </row>
    <row r="1168" spans="1:13" ht="16.5" thickTop="1" thickBot="1" x14ac:dyDescent="0.3">
      <c r="D1168" s="150"/>
      <c r="E1168" s="159"/>
      <c r="F1168" s="168"/>
      <c r="G1168" s="118"/>
      <c r="H1168" s="106"/>
      <c r="I1168" s="118"/>
      <c r="J1168" s="106"/>
      <c r="K1168" s="118"/>
      <c r="L1168" s="106"/>
    </row>
    <row r="1169" spans="1:13" ht="15.75" thickTop="1" x14ac:dyDescent="0.25">
      <c r="A1169" s="97" t="s">
        <v>598</v>
      </c>
      <c r="B1169" s="97" t="s">
        <v>600</v>
      </c>
      <c r="C1169" s="97" t="s">
        <v>3</v>
      </c>
      <c r="D1169" s="148" t="s">
        <v>635</v>
      </c>
      <c r="E1169" s="157" t="s">
        <v>636</v>
      </c>
      <c r="F1169" s="166" t="s">
        <v>637</v>
      </c>
      <c r="G1169" s="116" t="s">
        <v>638</v>
      </c>
      <c r="H1169" s="104" t="s">
        <v>639</v>
      </c>
      <c r="I1169" s="116" t="s">
        <v>640</v>
      </c>
      <c r="J1169" s="104" t="s">
        <v>641</v>
      </c>
      <c r="K1169" s="116" t="s">
        <v>642</v>
      </c>
      <c r="L1169" s="104" t="s">
        <v>643</v>
      </c>
      <c r="M1169" s="97" t="s">
        <v>644</v>
      </c>
    </row>
    <row r="1170" spans="1:13" x14ac:dyDescent="0.25">
      <c r="A1170" s="99" t="s">
        <v>11</v>
      </c>
      <c r="B1170" s="99"/>
      <c r="C1170" s="99"/>
      <c r="D1170" s="149"/>
      <c r="E1170" s="158"/>
      <c r="F1170" s="167"/>
      <c r="G1170" s="117"/>
      <c r="H1170" s="105"/>
      <c r="I1170" s="117"/>
      <c r="J1170" s="105"/>
      <c r="K1170" s="117"/>
      <c r="L1170" s="105"/>
      <c r="M1170" s="99"/>
    </row>
    <row r="1171" spans="1:13" x14ac:dyDescent="0.25">
      <c r="B1171" t="s">
        <v>601</v>
      </c>
      <c r="C1171" t="s">
        <v>8</v>
      </c>
      <c r="D1171" s="150">
        <f>IFERROR(INDEX('BD Rendimientos'!G:G,MATCH("15.01.23|Cemento|qq|materiales",'BD Rendimientos'!L:L,0)),"")</f>
        <v>1.310581234908589</v>
      </c>
      <c r="E1171" s="159">
        <f>IFERROR(INDEX('BD Materiales'!D:D,MATCH("Cemento",'BD Materiales'!B:B,0)),"")</f>
        <v>0</v>
      </c>
      <c r="F1171" s="168">
        <f>IFERROR(D1171*E1171,"")</f>
        <v>0</v>
      </c>
      <c r="G1171" s="118">
        <v>8.5</v>
      </c>
      <c r="H1171" s="106"/>
      <c r="I1171" s="118">
        <v>11</v>
      </c>
      <c r="J1171" s="106"/>
      <c r="K1171" s="118"/>
      <c r="L1171" s="106"/>
    </row>
    <row r="1172" spans="1:13" x14ac:dyDescent="0.25">
      <c r="B1172" t="s">
        <v>607</v>
      </c>
      <c r="C1172" t="s">
        <v>608</v>
      </c>
      <c r="D1172" s="150">
        <f>IFERROR(INDEX('BD Rendimientos'!G:G,MATCH("15.01.23|Clavo Galvanizado 2 1/2""|kg|materiales",'BD Rendimientos'!L:L,0)),"")</f>
        <v>0.11534149706795446</v>
      </c>
      <c r="E1172" s="159">
        <f>IFERROR(INDEX('BD Materiales'!D:D,MATCH("Clavo Galvanizado 2 1/2""",'BD Materiales'!B:B,0)),"")</f>
        <v>0</v>
      </c>
      <c r="F1172" s="168">
        <f>IFERROR(D1172*E1172,"")</f>
        <v>0</v>
      </c>
      <c r="G1172" s="118">
        <v>0.5</v>
      </c>
      <c r="H1172" s="106"/>
      <c r="I1172" s="118">
        <v>1.5</v>
      </c>
      <c r="J1172" s="106"/>
      <c r="K1172" s="118"/>
      <c r="L1172" s="106"/>
    </row>
    <row r="1173" spans="1:13" x14ac:dyDescent="0.25">
      <c r="B1173" t="s">
        <v>609</v>
      </c>
      <c r="C1173" t="s">
        <v>605</v>
      </c>
      <c r="D1173" s="150">
        <f>IFERROR(INDEX('BD Rendimientos'!G:G,MATCH("15.01.23|Disco Corte Diamante 9""|u|materiales",'BD Rendimientos'!L:L,0)),"")</f>
        <v>0.19230769230769229</v>
      </c>
      <c r="E1173" s="159">
        <f>IFERROR(INDEX('BD Materiales'!D:D,MATCH("Disco Corte Diamante 9""",'BD Materiales'!B:B,0)),"")</f>
        <v>0</v>
      </c>
      <c r="F1173" s="168">
        <f>IFERROR(D1173*E1173,"")</f>
        <v>0</v>
      </c>
      <c r="G1173" s="118">
        <v>1</v>
      </c>
      <c r="H1173" s="106"/>
      <c r="I1173" s="118"/>
      <c r="J1173" s="106"/>
      <c r="K1173" s="118"/>
      <c r="L1173" s="106"/>
      <c r="M1173" t="s">
        <v>1921</v>
      </c>
    </row>
    <row r="1174" spans="1:13" x14ac:dyDescent="0.25">
      <c r="B1174" t="s">
        <v>604</v>
      </c>
      <c r="C1174" t="s">
        <v>605</v>
      </c>
      <c r="D1174" s="150">
        <f>IFERROR(INDEX('BD Rendimientos'!G:G,MATCH("15.01.23|Malla Electrosoldada 6x15|u|materiales",'BD Rendimientos'!L:L,0)),"")</f>
        <v>7.0498447740600198E-2</v>
      </c>
      <c r="E1174" s="159">
        <f>IFERROR(INDEX('BD Materiales'!D:D,MATCH("Malla Electrosoldada 6x15",'BD Materiales'!B:B,0)),"")</f>
        <v>0</v>
      </c>
      <c r="F1174" s="168">
        <f>IFERROR(D1174*E1174,"")</f>
        <v>0</v>
      </c>
      <c r="G1174" s="118">
        <v>0.5</v>
      </c>
      <c r="H1174" s="106"/>
      <c r="I1174" s="118">
        <v>0.5</v>
      </c>
      <c r="J1174" s="106"/>
      <c r="K1174" s="118"/>
      <c r="L1174" s="106"/>
    </row>
    <row r="1175" spans="1:13" x14ac:dyDescent="0.25">
      <c r="B1175" t="s">
        <v>610</v>
      </c>
      <c r="C1175" t="s">
        <v>605</v>
      </c>
      <c r="D1175" s="150">
        <f>IFERROR(INDEX('BD Rendimientos'!G:G,MATCH("15.01.23|Maxicril|u|materiales",'BD Rendimientos'!L:L,0)),"")</f>
        <v>4.4843049327354258E-2</v>
      </c>
      <c r="E1175" s="159">
        <f>IFERROR(INDEX('BD Materiales'!D:D,MATCH("Maxicril",'BD Materiales'!B:B,0)),"")</f>
        <v>23.93</v>
      </c>
      <c r="F1175" s="168">
        <f>IFERROR(D1175*E1175,"")</f>
        <v>1.0730941704035875</v>
      </c>
      <c r="G1175" s="118"/>
      <c r="H1175" s="106"/>
      <c r="I1175" s="118">
        <v>0.5</v>
      </c>
      <c r="J1175" s="106"/>
      <c r="K1175" s="118"/>
      <c r="L1175" s="106"/>
      <c r="M1175" t="s">
        <v>1921</v>
      </c>
    </row>
    <row r="1176" spans="1:13" x14ac:dyDescent="0.25">
      <c r="B1176" t="s">
        <v>603</v>
      </c>
      <c r="C1176" t="s">
        <v>6</v>
      </c>
      <c r="D1176" s="150">
        <f>IFERROR(INDEX('BD Rendimientos'!G:G,MATCH("15.01.23|Polvo Azul|m3|materiales",'BD Rendimientos'!L:L,0)),"")</f>
        <v>8.2972576750603655E-2</v>
      </c>
      <c r="E1176" s="159">
        <f>IFERROR(INDEX('BD Materiales'!D:D,MATCH("Polvo Azul",'BD Materiales'!B:B,0)),"")</f>
        <v>14.547574523429788</v>
      </c>
      <c r="F1176" s="168">
        <f>IFERROR(D1176*E1176,"")</f>
        <v>1.2070497436804044</v>
      </c>
      <c r="G1176" s="118">
        <v>0.21</v>
      </c>
      <c r="H1176" s="106"/>
      <c r="I1176" s="118">
        <v>1.4</v>
      </c>
      <c r="J1176" s="106"/>
      <c r="K1176" s="118"/>
      <c r="L1176" s="106"/>
      <c r="M1176" t="s">
        <v>1920</v>
      </c>
    </row>
    <row r="1177" spans="1:13" x14ac:dyDescent="0.25">
      <c r="B1177" t="s">
        <v>602</v>
      </c>
      <c r="C1177" t="s">
        <v>6</v>
      </c>
      <c r="D1177" s="150">
        <f>IFERROR(INDEX('BD Rendimientos'!G:G,MATCH("15.01.23|Ripio|m3|materiales",'BD Rendimientos'!L:L,0)),"")</f>
        <v>1.9933597792342189E-2</v>
      </c>
      <c r="E1177" s="159">
        <f>IFERROR(INDEX('BD Materiales'!D:D,MATCH("Ripio",'BD Materiales'!B:B,0)),"")</f>
        <v>13.895122287420717</v>
      </c>
      <c r="F1177" s="168">
        <f>IFERROR(D1177*E1177,"")</f>
        <v>0.27697977895285436</v>
      </c>
      <c r="G1177" s="118">
        <v>0.17</v>
      </c>
      <c r="H1177" s="106"/>
      <c r="I1177" s="118">
        <v>0.08</v>
      </c>
      <c r="J1177" s="106"/>
      <c r="K1177" s="118"/>
      <c r="L1177" s="106"/>
      <c r="M1177" t="s">
        <v>1920</v>
      </c>
    </row>
    <row r="1178" spans="1:13" x14ac:dyDescent="0.25">
      <c r="B1178" t="s">
        <v>606</v>
      </c>
      <c r="C1178" t="s">
        <v>605</v>
      </c>
      <c r="D1178" s="150">
        <f>IFERROR(INDEX('BD Rendimientos'!G:G,MATCH("15.01.23|Tablas de Monte|u|materiales",'BD Rendimientos'!L:L,0)),"")</f>
        <v>0.21472921697136943</v>
      </c>
      <c r="E1178" s="159">
        <f>IFERROR(INDEX('BD Materiales'!D:D,MATCH("Tablas de Monte",'BD Materiales'!B:B,0)),"")</f>
        <v>2.4034925925925932</v>
      </c>
      <c r="F1178" s="168">
        <f>IFERROR(D1178*E1178,"")</f>
        <v>0.51610008240389416</v>
      </c>
      <c r="G1178" s="118">
        <v>2</v>
      </c>
      <c r="H1178" s="106"/>
      <c r="I1178" s="118">
        <v>0.5</v>
      </c>
      <c r="J1178" s="106"/>
      <c r="K1178" s="118"/>
      <c r="L1178" s="106"/>
      <c r="M1178" t="s">
        <v>1920</v>
      </c>
    </row>
    <row r="1179" spans="1:13" x14ac:dyDescent="0.25">
      <c r="A1179" s="99" t="s">
        <v>5</v>
      </c>
      <c r="B1179" s="99"/>
      <c r="C1179" s="99"/>
      <c r="D1179" s="149"/>
      <c r="E1179" s="158"/>
      <c r="F1179" s="167"/>
      <c r="G1179" s="117"/>
      <c r="H1179" s="105"/>
      <c r="I1179" s="117"/>
      <c r="J1179" s="105"/>
      <c r="K1179" s="117"/>
      <c r="L1179" s="105"/>
      <c r="M1179" s="99"/>
    </row>
    <row r="1180" spans="1:13" x14ac:dyDescent="0.25">
      <c r="B1180" t="s">
        <v>599</v>
      </c>
      <c r="C1180" t="s">
        <v>3</v>
      </c>
      <c r="D1180" s="150">
        <f>IFERROR(INDEX('BD Rendimientos'!G:G,MATCH("15.01.23|M. Canal recolector aguas lluvias|ml|mano_obra",'BD Rendimientos'!L:L,0)),"")</f>
        <v>1</v>
      </c>
      <c r="E1180" s="159">
        <f>IFERROR(INDEX('BD Mano de Obra'!D:D,MATCH("M. Canal recolector aguas lluvias",'BD Mano de Obra'!B:B,0)),"")</f>
        <v>15.8</v>
      </c>
      <c r="F1180" s="168">
        <f>IFERROR(D1180*E1180,"")</f>
        <v>15.8</v>
      </c>
      <c r="G1180" s="118">
        <v>5.2</v>
      </c>
      <c r="H1180" s="106">
        <v>15.8</v>
      </c>
      <c r="I1180" s="118">
        <v>11.15</v>
      </c>
      <c r="J1180" s="106">
        <v>15.8</v>
      </c>
      <c r="K1180" s="118"/>
      <c r="L1180" s="106"/>
    </row>
    <row r="1181" spans="1:13" ht="16.5" thickBot="1" x14ac:dyDescent="0.3">
      <c r="A1181" s="100"/>
      <c r="B1181" s="100" t="s">
        <v>645</v>
      </c>
      <c r="C1181" s="100" t="s">
        <v>3</v>
      </c>
      <c r="D1181" s="151"/>
      <c r="E1181" s="160"/>
      <c r="F1181" s="169">
        <f>SUM(F1171,F1172,F1173,F1174,F1175,F1176,F1177,F1178,F1180)</f>
        <v>18.873223775440742</v>
      </c>
      <c r="G1181" s="119"/>
      <c r="H1181" s="107">
        <v>15.8</v>
      </c>
      <c r="I1181" s="119"/>
      <c r="J1181" s="107">
        <v>15.8</v>
      </c>
      <c r="K1181" s="119"/>
      <c r="L1181" s="107"/>
      <c r="M1181" s="100" t="s">
        <v>646</v>
      </c>
    </row>
    <row r="1182" spans="1:13" ht="15.75" thickTop="1" x14ac:dyDescent="0.25">
      <c r="D1182" s="150"/>
      <c r="E1182" s="159"/>
      <c r="F1182" s="168"/>
      <c r="G1182" s="118"/>
      <c r="H1182" s="106"/>
      <c r="I1182" s="118"/>
      <c r="J1182" s="106"/>
      <c r="K1182" s="118"/>
      <c r="L1182" s="106"/>
    </row>
    <row r="1183" spans="1:13" ht="18" thickBot="1" x14ac:dyDescent="0.35">
      <c r="A1183" s="95" t="s">
        <v>536</v>
      </c>
      <c r="B1183" s="95"/>
      <c r="C1183" s="95"/>
      <c r="D1183" s="147"/>
      <c r="E1183" s="156"/>
      <c r="F1183" s="165"/>
      <c r="G1183" s="115"/>
      <c r="H1183" s="103"/>
      <c r="I1183" s="115"/>
      <c r="J1183" s="103"/>
      <c r="K1183" s="115"/>
      <c r="L1183" s="103"/>
      <c r="M1183" s="95"/>
    </row>
    <row r="1184" spans="1:13" ht="15.75" thickTop="1" x14ac:dyDescent="0.25">
      <c r="A1184" s="98" t="s">
        <v>537</v>
      </c>
      <c r="B1184" s="98" t="s">
        <v>538</v>
      </c>
      <c r="C1184" s="98" t="s">
        <v>130</v>
      </c>
      <c r="D1184" s="154" t="s">
        <v>635</v>
      </c>
      <c r="E1184" s="163" t="s">
        <v>636</v>
      </c>
      <c r="F1184" s="172" t="s">
        <v>637</v>
      </c>
      <c r="G1184" s="122" t="s">
        <v>638</v>
      </c>
      <c r="H1184" s="110" t="s">
        <v>639</v>
      </c>
      <c r="I1184" s="122" t="s">
        <v>640</v>
      </c>
      <c r="J1184" s="110" t="s">
        <v>641</v>
      </c>
      <c r="K1184" s="122" t="s">
        <v>642</v>
      </c>
      <c r="L1184" s="110" t="s">
        <v>643</v>
      </c>
      <c r="M1184" s="98" t="s">
        <v>668</v>
      </c>
    </row>
    <row r="1185" spans="1:13" x14ac:dyDescent="0.25">
      <c r="A1185" s="99" t="s">
        <v>11</v>
      </c>
      <c r="B1185" s="99"/>
      <c r="C1185" s="99"/>
      <c r="D1185" s="149"/>
      <c r="E1185" s="158"/>
      <c r="F1185" s="167"/>
      <c r="G1185" s="117"/>
      <c r="H1185" s="105"/>
      <c r="I1185" s="117"/>
      <c r="J1185" s="105"/>
      <c r="K1185" s="117"/>
      <c r="L1185" s="105"/>
      <c r="M1185" s="99"/>
    </row>
    <row r="1186" spans="1:13" x14ac:dyDescent="0.25">
      <c r="A1186" s="101"/>
      <c r="B1186" s="101" t="s">
        <v>717</v>
      </c>
      <c r="C1186" s="101" t="s">
        <v>6</v>
      </c>
      <c r="D1186" s="152">
        <f>IFERROR(INDEX('BD Rendimientos'!G:G,MATCH("16.01.01|Arena Fina|m3|materiales",'BD Rendimientos'!L:L,0)),"")</f>
        <v>3.8279641684749351E-2</v>
      </c>
      <c r="E1186" s="161">
        <f>IFERROR(INDEX('BD Materiales'!D:D,MATCH("Arena Fina",'BD Materiales'!B:B,0)),"")</f>
        <v>9.43</v>
      </c>
      <c r="F1186" s="170">
        <f>IFERROR(D1186*E1186,"")</f>
        <v>0.36097702108718638</v>
      </c>
      <c r="G1186" s="120"/>
      <c r="H1186" s="108"/>
      <c r="I1186" s="120">
        <v>6.88</v>
      </c>
      <c r="J1186" s="108">
        <v>16.3095930232558</v>
      </c>
      <c r="K1186" s="120"/>
      <c r="L1186" s="108"/>
      <c r="M1186" s="101" t="s">
        <v>647</v>
      </c>
    </row>
    <row r="1187" spans="1:13" x14ac:dyDescent="0.25">
      <c r="A1187" s="101"/>
      <c r="B1187" s="101" t="s">
        <v>720</v>
      </c>
      <c r="C1187" s="101" t="s">
        <v>6</v>
      </c>
      <c r="D1187" s="152">
        <f>IFERROR(INDEX('BD Rendimientos'!G:G,MATCH("16.01.01|Arena Rosada|m3|materiales",'BD Rendimientos'!L:L,0)),"")</f>
        <v>1.8694708729761308E-2</v>
      </c>
      <c r="E1187" s="161">
        <f>IFERROR(INDEX('BD Materiales'!D:D,MATCH("Arena Rosada",'BD Materiales'!B:B,0)),"")</f>
        <v>13.25016774891775</v>
      </c>
      <c r="F1187" s="170">
        <f>IFERROR(D1187*E1187,"")</f>
        <v>0.24770802668649441</v>
      </c>
      <c r="G1187" s="120"/>
      <c r="H1187" s="108"/>
      <c r="I1187" s="120">
        <v>3.36</v>
      </c>
      <c r="J1187" s="108">
        <v>12.163690476190499</v>
      </c>
      <c r="K1187" s="120"/>
      <c r="L1187" s="108"/>
      <c r="M1187" s="101" t="s">
        <v>647</v>
      </c>
    </row>
    <row r="1188" spans="1:13" x14ac:dyDescent="0.25">
      <c r="A1188" s="101"/>
      <c r="B1188" s="101" t="s">
        <v>737</v>
      </c>
      <c r="C1188" s="101" t="s">
        <v>15</v>
      </c>
      <c r="D1188" s="152">
        <f>IFERROR(INDEX('BD Rendimientos'!G:G,MATCH("16.01.01|Bondex Premium 25kg|Uni.|materiales",'BD Rendimientos'!L:L,0)),"")</f>
        <v>2.2255605630668227E-2</v>
      </c>
      <c r="E1188" s="161">
        <f>IFERROR(INDEX('BD Materiales'!D:D,MATCH("Bondex Premium 25kg",'BD Materiales'!B:B,0)),"")</f>
        <v>11.4725</v>
      </c>
      <c r="F1188" s="170">
        <f>IFERROR(D1188*E1188,"")</f>
        <v>0.25532743559784121</v>
      </c>
      <c r="G1188" s="120"/>
      <c r="H1188" s="108"/>
      <c r="I1188" s="120">
        <v>4</v>
      </c>
      <c r="J1188" s="108">
        <v>11.4725</v>
      </c>
      <c r="K1188" s="120"/>
      <c r="L1188" s="108"/>
      <c r="M1188" s="101" t="s">
        <v>647</v>
      </c>
    </row>
    <row r="1189" spans="1:13" x14ac:dyDescent="0.25">
      <c r="A1189" s="101"/>
      <c r="B1189" s="101" t="s">
        <v>788</v>
      </c>
      <c r="C1189" s="101" t="s">
        <v>8</v>
      </c>
      <c r="D1189" s="152">
        <f>IFERROR(INDEX('BD Rendimientos'!G:G,MATCH("16.01.01|Cemento Campeon HS 50KG|qq|materiales",'BD Rendimientos'!L:L,0)),"")</f>
        <v>0.33383408446002338</v>
      </c>
      <c r="E1189" s="161">
        <f>IFERROR(INDEX('BD Materiales'!D:D,MATCH("Cemento Campeon HS 50KG",'BD Materiales'!B:B,0)),"")</f>
        <v>6.7489472778273614</v>
      </c>
      <c r="F1189" s="170">
        <f>IFERROR(D1189*E1189,"")</f>
        <v>2.2530286355624645</v>
      </c>
      <c r="G1189" s="120"/>
      <c r="H1189" s="108"/>
      <c r="I1189" s="120">
        <v>60</v>
      </c>
      <c r="J1189" s="108">
        <v>6.7736666666666698</v>
      </c>
      <c r="K1189" s="120"/>
      <c r="L1189" s="108"/>
      <c r="M1189" s="101" t="s">
        <v>647</v>
      </c>
    </row>
    <row r="1190" spans="1:13" x14ac:dyDescent="0.25">
      <c r="A1190" s="101"/>
      <c r="B1190" s="101" t="s">
        <v>540</v>
      </c>
      <c r="C1190" s="101" t="s">
        <v>15</v>
      </c>
      <c r="D1190" s="152">
        <f>IFERROR(INDEX('BD Rendimientos'!G:G,MATCH("16.01.01|Ladrillo (Ladrillo Mambron)|Uni.|materiales",'BD Rendimientos'!L:L,0)),"")</f>
        <v>20.113503588716409</v>
      </c>
      <c r="E1190" s="161">
        <f>IFERROR(INDEX('BD Materiales'!D:D,MATCH("Ladrillo (Ladrillo Mambron)",'BD Materiales'!B:B,0)),"")</f>
        <v>0.33612448132780098</v>
      </c>
      <c r="F1190" s="170">
        <f>IFERROR(D1190*E1190,"")</f>
        <v>6.7606409614421663</v>
      </c>
      <c r="G1190" s="120"/>
      <c r="H1190" s="108"/>
      <c r="I1190" s="120">
        <v>3615</v>
      </c>
      <c r="J1190" s="108">
        <v>0.33612448132780098</v>
      </c>
      <c r="K1190" s="120"/>
      <c r="L1190" s="108"/>
      <c r="M1190" s="101" t="s">
        <v>647</v>
      </c>
    </row>
    <row r="1191" spans="1:13" x14ac:dyDescent="0.25">
      <c r="A1191" s="101"/>
      <c r="B1191" s="101" t="s">
        <v>897</v>
      </c>
      <c r="C1191" s="101" t="s">
        <v>15</v>
      </c>
      <c r="D1191" s="152">
        <f>IFERROR(INDEX('BD Rendimientos'!G:G,MATCH("16.01.01|Lustre Nº 8|Uni.|materiales",'BD Rendimientos'!L:L,0)),"")</f>
        <v>8.3458521115005846E-2</v>
      </c>
      <c r="E1191" s="161">
        <f>IFERROR(INDEX('BD Materiales'!D:D,MATCH("Lustre Nº 8",'BD Materiales'!B:B,0)),"")</f>
        <v>0.498</v>
      </c>
      <c r="F1191" s="170">
        <f>IFERROR(D1191*E1191,"")</f>
        <v>4.1562343515272909E-2</v>
      </c>
      <c r="G1191" s="120"/>
      <c r="H1191" s="108"/>
      <c r="I1191" s="120">
        <v>15</v>
      </c>
      <c r="J1191" s="108">
        <v>0.498</v>
      </c>
      <c r="K1191" s="120"/>
      <c r="L1191" s="108"/>
      <c r="M1191" s="101" t="s">
        <v>647</v>
      </c>
    </row>
    <row r="1192" spans="1:13" x14ac:dyDescent="0.25">
      <c r="A1192" s="101"/>
      <c r="B1192" s="101" t="s">
        <v>928</v>
      </c>
      <c r="C1192" s="101" t="s">
        <v>15</v>
      </c>
      <c r="D1192" s="152">
        <f>IFERROR(INDEX('BD Rendimientos'!G:G,MATCH("16.01.01|Maxilane Caneca|Uni.|materiales",'BD Rendimientos'!L:L,0)),"")</f>
        <v>2.2255605630668227E-2</v>
      </c>
      <c r="E1192" s="161">
        <f>IFERROR(INDEX('BD Materiales'!D:D,MATCH("Maxilane Caneca",'BD Materiales'!B:B,0)),"")</f>
        <v>88.56</v>
      </c>
      <c r="F1192" s="170">
        <f>IFERROR(D1192*E1192,"")</f>
        <v>1.9709564346519783</v>
      </c>
      <c r="G1192" s="120"/>
      <c r="H1192" s="108"/>
      <c r="I1192" s="120">
        <v>4</v>
      </c>
      <c r="J1192" s="108">
        <v>88.56</v>
      </c>
      <c r="K1192" s="120"/>
      <c r="L1192" s="108"/>
      <c r="M1192" s="101" t="s">
        <v>647</v>
      </c>
    </row>
    <row r="1193" spans="1:13" x14ac:dyDescent="0.25">
      <c r="A1193" s="99" t="s">
        <v>5</v>
      </c>
      <c r="B1193" s="99"/>
      <c r="C1193" s="99"/>
      <c r="D1193" s="149"/>
      <c r="E1193" s="158"/>
      <c r="F1193" s="167"/>
      <c r="G1193" s="117"/>
      <c r="H1193" s="105"/>
      <c r="I1193" s="117"/>
      <c r="J1193" s="105"/>
      <c r="K1193" s="117"/>
      <c r="L1193" s="105"/>
      <c r="M1193" s="99"/>
    </row>
    <row r="1194" spans="1:13" x14ac:dyDescent="0.25">
      <c r="B1194" t="s">
        <v>590</v>
      </c>
      <c r="C1194" t="s">
        <v>130</v>
      </c>
      <c r="D1194" s="150">
        <f>IFERROR(INDEX('BD Rendimientos'!G:G,MATCH("16.01.01|M. Mamposteria de ladrillo visto una cara (Mamposteria de ladrillo visto)|m2|mano_obra",'BD Rendimientos'!L:L,0)),"")</f>
        <v>1</v>
      </c>
      <c r="E1194" s="159">
        <f>IFERROR(INDEX('BD Mano de Obra'!D:D,MATCH("M. Mamposteria de ladrillo visto una cara (Mamposteria de ladrillo visto)",'BD Mano de Obra'!B:B,0)),"")</f>
        <v>16.134999999999998</v>
      </c>
      <c r="F1194" s="168">
        <f>IFERROR(D1194*E1194,"")</f>
        <v>16.134999999999998</v>
      </c>
      <c r="G1194" s="118"/>
      <c r="H1194" s="106">
        <v>17.27</v>
      </c>
      <c r="I1194" s="118">
        <v>179.73</v>
      </c>
      <c r="J1194" s="106">
        <v>15</v>
      </c>
      <c r="K1194" s="118"/>
      <c r="L1194" s="106"/>
      <c r="M1194" t="s">
        <v>1921</v>
      </c>
    </row>
    <row r="1195" spans="1:13" x14ac:dyDescent="0.25">
      <c r="A1195" s="99" t="s">
        <v>2</v>
      </c>
      <c r="B1195" s="99"/>
      <c r="C1195" s="99"/>
      <c r="D1195" s="149"/>
      <c r="E1195" s="158"/>
      <c r="F1195" s="167"/>
      <c r="G1195" s="117"/>
      <c r="H1195" s="105"/>
      <c r="I1195" s="117"/>
      <c r="J1195" s="105"/>
      <c r="K1195" s="117"/>
      <c r="L1195" s="105"/>
      <c r="M1195" s="99"/>
    </row>
    <row r="1196" spans="1:13" x14ac:dyDescent="0.25">
      <c r="A1196" s="101"/>
      <c r="B1196" s="101" t="s">
        <v>1186</v>
      </c>
      <c r="C1196" s="101" t="s">
        <v>15</v>
      </c>
      <c r="D1196" s="152">
        <f>IFERROR(INDEX('BD Rendimientos'!G:G,MATCH("16.01.01|Alquiler andamio|Uni.|equipo",'BD Rendimientos'!L:L,0)),"")</f>
        <v>1.7025538307461192</v>
      </c>
      <c r="E1196" s="161">
        <f>IFERROR(INDEX('BD Equipo'!D:D,MATCH("Alquiler andamio",'BD Equipo'!B:B,0)),"")</f>
        <v>0.35957142857142865</v>
      </c>
      <c r="F1196" s="170">
        <f>IFERROR(D1196*E1196,"")</f>
        <v>0.61218971314114046</v>
      </c>
      <c r="G1196" s="120"/>
      <c r="H1196" s="108"/>
      <c r="I1196" s="120">
        <v>306</v>
      </c>
      <c r="J1196" s="108">
        <v>0.36</v>
      </c>
      <c r="K1196" s="120"/>
      <c r="L1196" s="108"/>
      <c r="M1196" s="101" t="s">
        <v>647</v>
      </c>
    </row>
    <row r="1197" spans="1:13" x14ac:dyDescent="0.25">
      <c r="A1197" s="101"/>
      <c r="B1197" s="101" t="s">
        <v>1198</v>
      </c>
      <c r="C1197" s="101" t="s">
        <v>15</v>
      </c>
      <c r="D1197" s="152">
        <f>IFERROR(INDEX('BD Rendimientos'!G:G,MATCH("16.01.01|Alquiler de Tablones|Uni.|equipo",'BD Rendimientos'!L:L,0)),"")</f>
        <v>1.7025538307461192</v>
      </c>
      <c r="E1197" s="161">
        <f>IFERROR(INDEX('BD Equipo'!D:D,MATCH("Alquiler de Tablones",'BD Equipo'!B:B,0)),"")</f>
        <v>8.9948260869565241E-2</v>
      </c>
      <c r="F1197" s="170">
        <f>IFERROR(D1197*E1197,"")</f>
        <v>0.15314175611242956</v>
      </c>
      <c r="G1197" s="120"/>
      <c r="H1197" s="108"/>
      <c r="I1197" s="120">
        <v>306</v>
      </c>
      <c r="J1197" s="108">
        <v>0.09</v>
      </c>
      <c r="K1197" s="120"/>
      <c r="L1197" s="108"/>
      <c r="M1197" s="101" t="s">
        <v>647</v>
      </c>
    </row>
    <row r="1198" spans="1:13" ht="16.5" thickBot="1" x14ac:dyDescent="0.3">
      <c r="A1198" s="100"/>
      <c r="B1198" s="100" t="s">
        <v>645</v>
      </c>
      <c r="C1198" s="100" t="s">
        <v>130</v>
      </c>
      <c r="D1198" s="151"/>
      <c r="E1198" s="160"/>
      <c r="F1198" s="169">
        <f>SUM(F1186,F1187,F1188,F1189,F1190,F1191,F1192,F1194,F1196,F1197)</f>
        <v>28.790532327796971</v>
      </c>
      <c r="G1198" s="119"/>
      <c r="H1198" s="107"/>
      <c r="I1198" s="119"/>
      <c r="J1198" s="107">
        <v>27.907639236632701</v>
      </c>
      <c r="K1198" s="119"/>
      <c r="L1198" s="107"/>
      <c r="M1198" s="100" t="s">
        <v>646</v>
      </c>
    </row>
    <row r="1199" spans="1:13" ht="16.5" thickTop="1" thickBot="1" x14ac:dyDescent="0.3">
      <c r="D1199" s="150"/>
      <c r="E1199" s="159"/>
      <c r="F1199" s="168"/>
      <c r="G1199" s="118"/>
      <c r="H1199" s="106"/>
      <c r="I1199" s="118"/>
      <c r="J1199" s="106"/>
      <c r="K1199" s="118"/>
      <c r="L1199" s="106"/>
    </row>
    <row r="1200" spans="1:13" ht="15.75" thickTop="1" x14ac:dyDescent="0.25">
      <c r="A1200" s="177" t="s">
        <v>576</v>
      </c>
      <c r="B1200" s="177" t="s">
        <v>577</v>
      </c>
      <c r="C1200" s="177" t="s">
        <v>88</v>
      </c>
      <c r="D1200" s="178" t="s">
        <v>635</v>
      </c>
      <c r="E1200" s="179" t="s">
        <v>636</v>
      </c>
      <c r="F1200" s="180" t="s">
        <v>637</v>
      </c>
      <c r="G1200" s="181" t="s">
        <v>638</v>
      </c>
      <c r="H1200" s="182" t="s">
        <v>639</v>
      </c>
      <c r="I1200" s="181" t="s">
        <v>640</v>
      </c>
      <c r="J1200" s="182" t="s">
        <v>641</v>
      </c>
      <c r="K1200" s="181" t="s">
        <v>642</v>
      </c>
      <c r="L1200" s="182" t="s">
        <v>643</v>
      </c>
      <c r="M1200" s="177" t="s">
        <v>1932</v>
      </c>
    </row>
    <row r="1201" spans="1:13" x14ac:dyDescent="0.25">
      <c r="A1201" s="99" t="s">
        <v>11</v>
      </c>
      <c r="B1201" s="99"/>
      <c r="C1201" s="99"/>
      <c r="D1201" s="149"/>
      <c r="E1201" s="158"/>
      <c r="F1201" s="167"/>
      <c r="G1201" s="117"/>
      <c r="H1201" s="105"/>
      <c r="I1201" s="117"/>
      <c r="J1201" s="105"/>
      <c r="K1201" s="117"/>
      <c r="L1201" s="105"/>
      <c r="M1201" s="99"/>
    </row>
    <row r="1202" spans="1:13" x14ac:dyDescent="0.25">
      <c r="A1202" s="101"/>
      <c r="B1202" s="101" t="s">
        <v>543</v>
      </c>
      <c r="C1202" s="101" t="s">
        <v>105</v>
      </c>
      <c r="D1202" s="152">
        <f>IFERROR(INDEX('BD Rendimientos'!G:G,MATCH("16.01.03|Alambre recocido N.18 (20kg) (Alambre recocido N.18 (20kg))|R-Alambre|materiales",'BD Rendimientos'!L:L,0)),"")</f>
        <v>0</v>
      </c>
      <c r="E1202" s="161">
        <f>IFERROR(INDEX('BD Materiales'!D:D,MATCH("Alambre recocido N.18 (20kg) (Alambre recocido N.18 (20kg))",'BD Materiales'!B:B,0)),"")</f>
        <v>31.17</v>
      </c>
      <c r="F1202" s="170">
        <f>IFERROR(D1202*E1202,"")</f>
        <v>0</v>
      </c>
      <c r="G1202" s="120"/>
      <c r="H1202" s="108"/>
      <c r="I1202" s="120"/>
      <c r="J1202" s="108"/>
      <c r="K1202" s="120">
        <v>1</v>
      </c>
      <c r="L1202" s="108">
        <v>30.96</v>
      </c>
      <c r="M1202" s="101" t="s">
        <v>647</v>
      </c>
    </row>
    <row r="1203" spans="1:13" x14ac:dyDescent="0.25">
      <c r="A1203" s="101"/>
      <c r="B1203" s="101" t="s">
        <v>720</v>
      </c>
      <c r="C1203" s="101" t="s">
        <v>6</v>
      </c>
      <c r="D1203" s="152">
        <f>IFERROR(INDEX('BD Rendimientos'!G:G,MATCH("16.01.03|Arena Rosada|m3|materiales",'BD Rendimientos'!L:L,0)),"")</f>
        <v>0</v>
      </c>
      <c r="E1203" s="161">
        <f>IFERROR(INDEX('BD Materiales'!D:D,MATCH("Arena Rosada",'BD Materiales'!B:B,0)),"")</f>
        <v>13.25016774891775</v>
      </c>
      <c r="F1203" s="170">
        <f>IFERROR(D1203*E1203,"")</f>
        <v>0</v>
      </c>
      <c r="G1203" s="120"/>
      <c r="H1203" s="108"/>
      <c r="I1203" s="120"/>
      <c r="J1203" s="108"/>
      <c r="K1203" s="120">
        <v>1.28</v>
      </c>
      <c r="L1203" s="108">
        <v>14</v>
      </c>
      <c r="M1203" s="101" t="s">
        <v>647</v>
      </c>
    </row>
    <row r="1204" spans="1:13" x14ac:dyDescent="0.25">
      <c r="A1204" s="101"/>
      <c r="B1204" s="101" t="s">
        <v>788</v>
      </c>
      <c r="C1204" s="101" t="s">
        <v>8</v>
      </c>
      <c r="D1204" s="152">
        <f>IFERROR(INDEX('BD Rendimientos'!G:G,MATCH("16.01.03|Cemento Campeon HS 50KG|qq|materiales",'BD Rendimientos'!L:L,0)),"")</f>
        <v>0</v>
      </c>
      <c r="E1204" s="161">
        <f>IFERROR(INDEX('BD Materiales'!D:D,MATCH("Cemento Campeon HS 50KG",'BD Materiales'!B:B,0)),"")</f>
        <v>6.7489472778273614</v>
      </c>
      <c r="F1204" s="170">
        <f>IFERROR(D1204*E1204,"")</f>
        <v>0</v>
      </c>
      <c r="G1204" s="120"/>
      <c r="H1204" s="108"/>
      <c r="I1204" s="120"/>
      <c r="J1204" s="108"/>
      <c r="K1204" s="120">
        <v>12</v>
      </c>
      <c r="L1204" s="108">
        <v>6.7324999999999999</v>
      </c>
      <c r="M1204" s="101" t="s">
        <v>647</v>
      </c>
    </row>
    <row r="1205" spans="1:13" x14ac:dyDescent="0.25">
      <c r="A1205" s="101"/>
      <c r="B1205" s="101" t="s">
        <v>47</v>
      </c>
      <c r="C1205" s="101" t="s">
        <v>6</v>
      </c>
      <c r="D1205" s="152">
        <f>IFERROR(INDEX('BD Rendimientos'!G:G,MATCH("16.01.03|Hormigón Premez. fc= 210 kg S/B (Hormigón Premezclado fc= 210 kg/cm2)|m3|materiales",'BD Rendimientos'!L:L,0)),"")</f>
        <v>0</v>
      </c>
      <c r="E1205" s="161">
        <f>IFERROR(INDEX('BD Materiales'!D:D,MATCH("Hormigón Premez. fc= 210 kg S/B (Hormigón Premezclado fc= 210 kg/cm2)",'BD Materiales'!B:B,0)),"")</f>
        <v>71</v>
      </c>
      <c r="F1205" s="170">
        <f>IFERROR(D1205*E1205,"")</f>
        <v>0</v>
      </c>
      <c r="G1205" s="120"/>
      <c r="H1205" s="108"/>
      <c r="I1205" s="120"/>
      <c r="J1205" s="108"/>
      <c r="K1205" s="120">
        <v>14.5</v>
      </c>
      <c r="L1205" s="108">
        <v>71</v>
      </c>
      <c r="M1205" s="101" t="s">
        <v>647</v>
      </c>
    </row>
    <row r="1206" spans="1:13" x14ac:dyDescent="0.25">
      <c r="A1206" s="101"/>
      <c r="B1206" s="101" t="s">
        <v>370</v>
      </c>
      <c r="C1206" s="101" t="s">
        <v>144</v>
      </c>
      <c r="D1206" s="152">
        <f>IFERROR(INDEX('BD Rendimientos'!G:G,MATCH("16.01.03|Plastico Negro 1.5 mts (Plastico Negro 1.5 mts (1.98mts x kg) (50.50 kilos))|rollo|materiales",'BD Rendimientos'!L:L,0)),"")</f>
        <v>0</v>
      </c>
      <c r="E1206" s="161">
        <f>IFERROR(INDEX('BD Materiales'!D:D,MATCH("Plastico Negro 1.5 mts (Plastico Negro 1.5 mts (1.98mts x kg) (50.50 kilos))",'BD Materiales'!B:B,0)),"")</f>
        <v>67.681818181818173</v>
      </c>
      <c r="F1206" s="170">
        <f>IFERROR(D1206*E1206,"")</f>
        <v>0</v>
      </c>
      <c r="G1206" s="120"/>
      <c r="H1206" s="108"/>
      <c r="I1206" s="120"/>
      <c r="J1206" s="108"/>
      <c r="K1206" s="120">
        <v>0.08</v>
      </c>
      <c r="L1206" s="108">
        <v>67.75</v>
      </c>
      <c r="M1206" s="101" t="s">
        <v>647</v>
      </c>
    </row>
    <row r="1207" spans="1:13" x14ac:dyDescent="0.25">
      <c r="A1207" s="101"/>
      <c r="B1207" s="101" t="s">
        <v>603</v>
      </c>
      <c r="C1207" s="101" t="s">
        <v>6</v>
      </c>
      <c r="D1207" s="152">
        <f>IFERROR(INDEX('BD Rendimientos'!G:G,MATCH("16.01.03|Polvo Azul|m3|materiales",'BD Rendimientos'!L:L,0)),"")</f>
        <v>0</v>
      </c>
      <c r="E1207" s="161">
        <f>IFERROR(INDEX('BD Materiales'!D:D,MATCH("Polvo Azul",'BD Materiales'!B:B,0)),"")</f>
        <v>14.547574523429788</v>
      </c>
      <c r="F1207" s="170">
        <f>IFERROR(D1207*E1207,"")</f>
        <v>0</v>
      </c>
      <c r="G1207" s="120"/>
      <c r="H1207" s="108"/>
      <c r="I1207" s="120"/>
      <c r="J1207" s="108"/>
      <c r="K1207" s="120">
        <v>0.44</v>
      </c>
      <c r="L1207" s="108">
        <v>16.136363636363601</v>
      </c>
      <c r="M1207" s="101" t="s">
        <v>647</v>
      </c>
    </row>
    <row r="1208" spans="1:13" x14ac:dyDescent="0.25">
      <c r="A1208" s="101"/>
      <c r="B1208" s="101" t="s">
        <v>969</v>
      </c>
      <c r="C1208" s="101" t="s">
        <v>6</v>
      </c>
      <c r="D1208" s="152">
        <f>IFERROR(INDEX('BD Rendimientos'!G:G,MATCH("16.01.03|Recargo Minimo Concreto|m3|materiales",'BD Rendimientos'!L:L,0)),"")</f>
        <v>0</v>
      </c>
      <c r="E1208" s="161">
        <f>IFERROR(INDEX('BD Materiales'!D:D,MATCH("Recargo Minimo Concreto",'BD Materiales'!B:B,0)),"")</f>
        <v>10</v>
      </c>
      <c r="F1208" s="170">
        <f>IFERROR(D1208*E1208,"")</f>
        <v>0</v>
      </c>
      <c r="G1208" s="120"/>
      <c r="H1208" s="108"/>
      <c r="I1208" s="120"/>
      <c r="J1208" s="108"/>
      <c r="K1208" s="120">
        <v>4.5</v>
      </c>
      <c r="L1208" s="108">
        <v>10</v>
      </c>
      <c r="M1208" s="101" t="s">
        <v>647</v>
      </c>
    </row>
    <row r="1209" spans="1:13" x14ac:dyDescent="0.25">
      <c r="A1209" s="101"/>
      <c r="B1209" s="101" t="s">
        <v>602</v>
      </c>
      <c r="C1209" s="101" t="s">
        <v>6</v>
      </c>
      <c r="D1209" s="152">
        <f>IFERROR(INDEX('BD Rendimientos'!G:G,MATCH("16.01.03|Ripio|m3|materiales",'BD Rendimientos'!L:L,0)),"")</f>
        <v>0</v>
      </c>
      <c r="E1209" s="161">
        <f>IFERROR(INDEX('BD Materiales'!D:D,MATCH("Ripio",'BD Materiales'!B:B,0)),"")</f>
        <v>13.895122287420717</v>
      </c>
      <c r="F1209" s="170">
        <f>IFERROR(D1209*E1209,"")</f>
        <v>0</v>
      </c>
      <c r="G1209" s="120"/>
      <c r="H1209" s="108"/>
      <c r="I1209" s="120"/>
      <c r="J1209" s="108"/>
      <c r="K1209" s="120">
        <v>0.56000000000000005</v>
      </c>
      <c r="L1209" s="108">
        <v>16.660714285714299</v>
      </c>
      <c r="M1209" s="101" t="s">
        <v>647</v>
      </c>
    </row>
    <row r="1210" spans="1:13" x14ac:dyDescent="0.25">
      <c r="A1210" s="101"/>
      <c r="B1210" s="101" t="s">
        <v>989</v>
      </c>
      <c r="C1210" s="101" t="s">
        <v>15</v>
      </c>
      <c r="D1210" s="152">
        <f>IFERROR(INDEX('BD Rendimientos'!G:G,MATCH("16.01.03|Sika -1 Impermeabilizante 2kg|Uni.|materiales",'BD Rendimientos'!L:L,0)),"")</f>
        <v>0</v>
      </c>
      <c r="E1210" s="161">
        <f>IFERROR(INDEX('BD Materiales'!D:D,MATCH("Sika -1 Impermeabilizante 2kg",'BD Materiales'!B:B,0)),"")</f>
        <v>2.9</v>
      </c>
      <c r="F1210" s="170">
        <f>IFERROR(D1210*E1210,"")</f>
        <v>0</v>
      </c>
      <c r="G1210" s="120"/>
      <c r="H1210" s="108"/>
      <c r="I1210" s="120"/>
      <c r="J1210" s="108"/>
      <c r="K1210" s="120">
        <v>1</v>
      </c>
      <c r="L1210" s="108">
        <v>2.9</v>
      </c>
      <c r="M1210" s="101" t="s">
        <v>647</v>
      </c>
    </row>
    <row r="1211" spans="1:13" x14ac:dyDescent="0.25">
      <c r="A1211" s="101"/>
      <c r="B1211" s="101" t="s">
        <v>1029</v>
      </c>
      <c r="C1211" s="101" t="s">
        <v>15</v>
      </c>
      <c r="D1211" s="152">
        <f>IFERROR(INDEX('BD Rendimientos'!G:G,MATCH("16.01.03|Tiza Industrial|Uni.|materiales",'BD Rendimientos'!L:L,0)),"")</f>
        <v>0</v>
      </c>
      <c r="E1211" s="161">
        <f>IFERROR(INDEX('BD Materiales'!D:D,MATCH("Tiza Industrial",'BD Materiales'!B:B,0)),"")</f>
        <v>0.11418750000000004</v>
      </c>
      <c r="F1211" s="170">
        <f>IFERROR(D1211*E1211,"")</f>
        <v>0</v>
      </c>
      <c r="G1211" s="120"/>
      <c r="H1211" s="108"/>
      <c r="I1211" s="120"/>
      <c r="J1211" s="108"/>
      <c r="K1211" s="120">
        <v>2</v>
      </c>
      <c r="L1211" s="108">
        <v>0.11</v>
      </c>
      <c r="M1211" s="101" t="s">
        <v>647</v>
      </c>
    </row>
    <row r="1212" spans="1:13" x14ac:dyDescent="0.25">
      <c r="A1212" s="101"/>
      <c r="B1212" s="101" t="s">
        <v>1047</v>
      </c>
      <c r="C1212" s="101" t="s">
        <v>236</v>
      </c>
      <c r="D1212" s="152">
        <f>IFERROR(INDEX('BD Rendimientos'!G:G,MATCH("16.01.03|Varilla Hierro D=12mmx12m|V12|materiales",'BD Rendimientos'!L:L,0)),"")</f>
        <v>0</v>
      </c>
      <c r="E1212" s="161">
        <f>IFERROR(INDEX('BD Materiales'!D:D,MATCH("Varilla Hierro D=12mmx12m",'BD Materiales'!B:B,0)),"")</f>
        <v>11.714999999999998</v>
      </c>
      <c r="F1212" s="170">
        <f>IFERROR(D1212*E1212,"")</f>
        <v>0</v>
      </c>
      <c r="G1212" s="120"/>
      <c r="H1212" s="108"/>
      <c r="I1212" s="120"/>
      <c r="J1212" s="108"/>
      <c r="K1212" s="120">
        <v>104</v>
      </c>
      <c r="L1212" s="108">
        <v>12.0397115384615</v>
      </c>
      <c r="M1212" s="101" t="s">
        <v>647</v>
      </c>
    </row>
    <row r="1213" spans="1:13" x14ac:dyDescent="0.25">
      <c r="A1213" s="99" t="s">
        <v>5</v>
      </c>
      <c r="B1213" s="99"/>
      <c r="C1213" s="99"/>
      <c r="D1213" s="149"/>
      <c r="E1213" s="158"/>
      <c r="F1213" s="167"/>
      <c r="G1213" s="117"/>
      <c r="H1213" s="105"/>
      <c r="I1213" s="117"/>
      <c r="J1213" s="105"/>
      <c r="K1213" s="117"/>
      <c r="L1213" s="105"/>
      <c r="M1213" s="99"/>
    </row>
    <row r="1214" spans="1:13" x14ac:dyDescent="0.25">
      <c r="B1214" t="s">
        <v>578</v>
      </c>
      <c r="C1214" t="s">
        <v>579</v>
      </c>
      <c r="D1214" s="150">
        <f>IFERROR(INDEX('BD Rendimientos'!G:G,MATCH("16.01.03|M.Cisterna (Incluye impermeabilización)|glb|mano_obra",'BD Rendimientos'!L:L,0)),"")</f>
        <v>0</v>
      </c>
      <c r="E1214" s="159">
        <f>IFERROR(INDEX('BD Mano de Obra'!D:D,MATCH("M.Cisterna (Incluye impermeabilización)",'BD Mano de Obra'!B:B,0)),"")</f>
        <v>0</v>
      </c>
      <c r="F1214" s="168">
        <f>IFERROR(D1214*E1214,"")</f>
        <v>0</v>
      </c>
      <c r="G1214" s="118"/>
      <c r="H1214" s="106"/>
      <c r="I1214" s="118"/>
      <c r="J1214" s="106"/>
      <c r="K1214" s="118">
        <v>1</v>
      </c>
      <c r="L1214" s="106"/>
    </row>
    <row r="1215" spans="1:13" x14ac:dyDescent="0.25">
      <c r="A1215" s="99" t="s">
        <v>2</v>
      </c>
      <c r="B1215" s="99"/>
      <c r="C1215" s="99"/>
      <c r="D1215" s="149"/>
      <c r="E1215" s="158"/>
      <c r="F1215" s="167"/>
      <c r="G1215" s="117"/>
      <c r="H1215" s="105"/>
      <c r="I1215" s="117"/>
      <c r="J1215" s="105"/>
      <c r="K1215" s="117"/>
      <c r="L1215" s="105"/>
      <c r="M1215" s="99"/>
    </row>
    <row r="1216" spans="1:13" x14ac:dyDescent="0.25">
      <c r="A1216" s="101"/>
      <c r="B1216" s="101" t="s">
        <v>328</v>
      </c>
      <c r="C1216" s="101" t="s">
        <v>78</v>
      </c>
      <c r="D1216" s="152">
        <f>IFERROR(INDEX('BD Rendimientos'!G:G,MATCH("16.01.03|Alquiler de Maquinaria (retroex (Alquiler de Maquinaria (retroexcavadora))|Hr.|equipo",'BD Rendimientos'!L:L,0)),"")</f>
        <v>0</v>
      </c>
      <c r="E1216" s="161">
        <f>IFERROR(INDEX('BD Equipo'!D:D,MATCH("Alquiler de Maquinaria (retroex (Alquiler de Maquinaria (retroexcavadora))",'BD Equipo'!B:B,0)),"")</f>
        <v>22</v>
      </c>
      <c r="F1216" s="170">
        <f>IFERROR(D1216*E1216,"")</f>
        <v>0</v>
      </c>
      <c r="G1216" s="120"/>
      <c r="H1216" s="108"/>
      <c r="I1216" s="120"/>
      <c r="J1216" s="108"/>
      <c r="K1216" s="120">
        <v>10</v>
      </c>
      <c r="L1216" s="108">
        <v>22</v>
      </c>
      <c r="M1216" s="101" t="s">
        <v>647</v>
      </c>
    </row>
    <row r="1217" spans="1:13" x14ac:dyDescent="0.25">
      <c r="A1217" s="101"/>
      <c r="B1217" s="101" t="s">
        <v>1200</v>
      </c>
      <c r="C1217" s="101" t="s">
        <v>15</v>
      </c>
      <c r="D1217" s="152">
        <f>IFERROR(INDEX('BD Rendimientos'!G:G,MATCH("16.01.03|Alquiler vibrador|Uni.|equipo",'BD Rendimientos'!L:L,0)),"")</f>
        <v>0</v>
      </c>
      <c r="E1217" s="161">
        <f>IFERROR(INDEX('BD Equipo'!D:D,MATCH("Alquiler vibrador",'BD Equipo'!B:B,0)),"")</f>
        <v>17.86000000000001</v>
      </c>
      <c r="F1217" s="170">
        <f>IFERROR(D1217*E1217,"")</f>
        <v>0</v>
      </c>
      <c r="G1217" s="120"/>
      <c r="H1217" s="108"/>
      <c r="I1217" s="120"/>
      <c r="J1217" s="108"/>
      <c r="K1217" s="120">
        <v>1</v>
      </c>
      <c r="L1217" s="108">
        <v>17.86</v>
      </c>
      <c r="M1217" s="101" t="s">
        <v>647</v>
      </c>
    </row>
    <row r="1218" spans="1:13" x14ac:dyDescent="0.25">
      <c r="A1218" s="101"/>
      <c r="B1218" s="101" t="s">
        <v>1203</v>
      </c>
      <c r="C1218" s="101" t="s">
        <v>6</v>
      </c>
      <c r="D1218" s="152">
        <f>IFERROR(INDEX('BD Rendimientos'!G:G,MATCH("16.01.03|Bomba Estacionaria|m3|equipo",'BD Rendimientos'!L:L,0)),"")</f>
        <v>0</v>
      </c>
      <c r="E1218" s="161">
        <f>IFERROR(INDEX('BD Equipo'!D:D,MATCH("Bomba Estacionaria",'BD Equipo'!B:B,0)),"")</f>
        <v>8</v>
      </c>
      <c r="F1218" s="170">
        <f>IFERROR(D1218*E1218,"")</f>
        <v>0</v>
      </c>
      <c r="G1218" s="120"/>
      <c r="H1218" s="108"/>
      <c r="I1218" s="120"/>
      <c r="J1218" s="108"/>
      <c r="K1218" s="120">
        <v>12</v>
      </c>
      <c r="L1218" s="108">
        <v>8</v>
      </c>
      <c r="M1218" s="101" t="s">
        <v>647</v>
      </c>
    </row>
    <row r="1219" spans="1:13" x14ac:dyDescent="0.25">
      <c r="A1219" s="101"/>
      <c r="B1219" s="101" t="s">
        <v>563</v>
      </c>
      <c r="C1219" s="101" t="s">
        <v>564</v>
      </c>
      <c r="D1219" s="152">
        <f>IFERROR(INDEX('BD Rendimientos'!G:G,MATCH("16.01.03|Trans. Desalojo-Escombro Botade (Trans. Desalojo-Escombro Botadero fuera de obra)|viaje|equipo",'BD Rendimientos'!L:L,0)),"")</f>
        <v>0</v>
      </c>
      <c r="E1219" s="161">
        <f>IFERROR(INDEX('BD Equipo'!D:D,MATCH("Trans. Desalojo-Escombro Botade (Trans. Desalojo-Escombro Botadero fuera de obra)",'BD Equipo'!B:B,0)),"")</f>
        <v>35</v>
      </c>
      <c r="F1219" s="170">
        <f>IFERROR(D1219*E1219,"")</f>
        <v>0</v>
      </c>
      <c r="G1219" s="120"/>
      <c r="H1219" s="108"/>
      <c r="I1219" s="120"/>
      <c r="J1219" s="108"/>
      <c r="K1219" s="120">
        <v>3</v>
      </c>
      <c r="L1219" s="108">
        <v>35</v>
      </c>
      <c r="M1219" s="101" t="s">
        <v>647</v>
      </c>
    </row>
    <row r="1220" spans="1:13" ht="16.5" thickBot="1" x14ac:dyDescent="0.3">
      <c r="A1220" s="183"/>
      <c r="B1220" s="183" t="s">
        <v>645</v>
      </c>
      <c r="C1220" s="183" t="s">
        <v>88</v>
      </c>
      <c r="D1220" s="184"/>
      <c r="E1220" s="185"/>
      <c r="F1220" s="186">
        <f>SUM(F1202,F1203,F1204,F1205,F1206,F1207,F1208,F1209,F1210,F1211,F1212,F1214,F1216,F1217,F1218,F1219)</f>
        <v>0</v>
      </c>
      <c r="G1220" s="187"/>
      <c r="H1220" s="188"/>
      <c r="I1220" s="187"/>
      <c r="J1220" s="188"/>
      <c r="K1220" s="187"/>
      <c r="L1220" s="188">
        <v>2920.13</v>
      </c>
      <c r="M1220" s="183" t="s">
        <v>646</v>
      </c>
    </row>
    <row r="1221" spans="1:13" ht="16.5" thickTop="1" thickBot="1" x14ac:dyDescent="0.3">
      <c r="D1221" s="150"/>
      <c r="E1221" s="159"/>
      <c r="F1221" s="168"/>
      <c r="G1221" s="118"/>
      <c r="H1221" s="106"/>
      <c r="I1221" s="118"/>
      <c r="J1221" s="106"/>
      <c r="K1221" s="118"/>
      <c r="L1221" s="106"/>
    </row>
    <row r="1222" spans="1:13" ht="15.75" thickTop="1" x14ac:dyDescent="0.25">
      <c r="A1222" s="177" t="s">
        <v>576</v>
      </c>
      <c r="B1222" s="177" t="s">
        <v>581</v>
      </c>
      <c r="C1222" s="177" t="s">
        <v>88</v>
      </c>
      <c r="D1222" s="178" t="s">
        <v>635</v>
      </c>
      <c r="E1222" s="179" t="s">
        <v>636</v>
      </c>
      <c r="F1222" s="180" t="s">
        <v>637</v>
      </c>
      <c r="G1222" s="181" t="s">
        <v>638</v>
      </c>
      <c r="H1222" s="182" t="s">
        <v>639</v>
      </c>
      <c r="I1222" s="181" t="s">
        <v>640</v>
      </c>
      <c r="J1222" s="182" t="s">
        <v>641</v>
      </c>
      <c r="K1222" s="181" t="s">
        <v>642</v>
      </c>
      <c r="L1222" s="182" t="s">
        <v>643</v>
      </c>
      <c r="M1222" s="177" t="s">
        <v>1932</v>
      </c>
    </row>
    <row r="1223" spans="1:13" x14ac:dyDescent="0.25">
      <c r="A1223" s="99" t="s">
        <v>11</v>
      </c>
      <c r="B1223" s="99"/>
      <c r="C1223" s="99"/>
      <c r="D1223" s="149"/>
      <c r="E1223" s="158"/>
      <c r="F1223" s="167"/>
      <c r="G1223" s="117"/>
      <c r="H1223" s="105"/>
      <c r="I1223" s="117"/>
      <c r="J1223" s="105"/>
      <c r="K1223" s="117"/>
      <c r="L1223" s="105"/>
      <c r="M1223" s="99"/>
    </row>
    <row r="1224" spans="1:13" x14ac:dyDescent="0.25">
      <c r="A1224" s="101"/>
      <c r="B1224" s="101" t="s">
        <v>543</v>
      </c>
      <c r="C1224" s="101" t="s">
        <v>105</v>
      </c>
      <c r="D1224" s="152">
        <f>IFERROR(INDEX('BD Rendimientos'!G:G,MATCH("16.01.03|Alambre recocido N.18 (20kg) (Alambre recocido N.18 (20kg))|R-Alambre|materiales",'BD Rendimientos'!L:L,0)),"")</f>
        <v>0</v>
      </c>
      <c r="E1224" s="161">
        <f>IFERROR(INDEX('BD Materiales'!D:D,MATCH("Alambre recocido N.18 (20kg) (Alambre recocido N.18 (20kg))",'BD Materiales'!B:B,0)),"")</f>
        <v>31.17</v>
      </c>
      <c r="F1224" s="170">
        <f>IFERROR(D1224*E1224,"")</f>
        <v>0</v>
      </c>
      <c r="G1224" s="120"/>
      <c r="H1224" s="108"/>
      <c r="I1224" s="120"/>
      <c r="J1224" s="108"/>
      <c r="K1224" s="120">
        <v>2</v>
      </c>
      <c r="L1224" s="108">
        <v>31.38</v>
      </c>
      <c r="M1224" s="101" t="s">
        <v>647</v>
      </c>
    </row>
    <row r="1225" spans="1:13" x14ac:dyDescent="0.25">
      <c r="A1225" s="101"/>
      <c r="B1225" s="101" t="s">
        <v>717</v>
      </c>
      <c r="C1225" s="101" t="s">
        <v>6</v>
      </c>
      <c r="D1225" s="152">
        <f>IFERROR(INDEX('BD Rendimientos'!G:G,MATCH("16.01.03|Arena Fina|m3|materiales",'BD Rendimientos'!L:L,0)),"")</f>
        <v>0</v>
      </c>
      <c r="E1225" s="161">
        <f>IFERROR(INDEX('BD Materiales'!D:D,MATCH("Arena Fina",'BD Materiales'!B:B,0)),"")</f>
        <v>9.43</v>
      </c>
      <c r="F1225" s="170">
        <f>IFERROR(D1225*E1225,"")</f>
        <v>0</v>
      </c>
      <c r="G1225" s="120"/>
      <c r="H1225" s="108"/>
      <c r="I1225" s="120"/>
      <c r="J1225" s="108"/>
      <c r="K1225" s="120">
        <v>3.12</v>
      </c>
      <c r="L1225" s="108">
        <v>12.275641025641001</v>
      </c>
      <c r="M1225" s="101" t="s">
        <v>647</v>
      </c>
    </row>
    <row r="1226" spans="1:13" x14ac:dyDescent="0.25">
      <c r="A1226" s="101"/>
      <c r="B1226" s="101" t="s">
        <v>720</v>
      </c>
      <c r="C1226" s="101" t="s">
        <v>6</v>
      </c>
      <c r="D1226" s="152">
        <f>IFERROR(INDEX('BD Rendimientos'!G:G,MATCH("16.01.03|Arena Rosada|m3|materiales",'BD Rendimientos'!L:L,0)),"")</f>
        <v>0</v>
      </c>
      <c r="E1226" s="161">
        <f>IFERROR(INDEX('BD Materiales'!D:D,MATCH("Arena Rosada",'BD Materiales'!B:B,0)),"")</f>
        <v>13.25016774891775</v>
      </c>
      <c r="F1226" s="170">
        <f>IFERROR(D1226*E1226,"")</f>
        <v>0</v>
      </c>
      <c r="G1226" s="120"/>
      <c r="H1226" s="108"/>
      <c r="I1226" s="120"/>
      <c r="J1226" s="108"/>
      <c r="K1226" s="120">
        <v>1.92</v>
      </c>
      <c r="L1226" s="108">
        <v>14</v>
      </c>
      <c r="M1226" s="101" t="s">
        <v>647</v>
      </c>
    </row>
    <row r="1227" spans="1:13" x14ac:dyDescent="0.25">
      <c r="A1227" s="101"/>
      <c r="B1227" s="101" t="s">
        <v>733</v>
      </c>
      <c r="C1227" s="101" t="s">
        <v>15</v>
      </c>
      <c r="D1227" s="152">
        <f>IFERROR(INDEX('BD Rendimientos'!G:G,MATCH("16.01.03|Bloque alivianado 20x40x20|Uni.|materiales",'BD Rendimientos'!L:L,0)),"")</f>
        <v>0</v>
      </c>
      <c r="E1227" s="161">
        <f>IFERROR(INDEX('BD Materiales'!D:D,MATCH("Bloque alivianado 20x40x20",'BD Materiales'!B:B,0)),"")</f>
        <v>0.44341249999999999</v>
      </c>
      <c r="F1227" s="170">
        <f>IFERROR(D1227*E1227,"")</f>
        <v>0</v>
      </c>
      <c r="G1227" s="120"/>
      <c r="H1227" s="108"/>
      <c r="I1227" s="120"/>
      <c r="J1227" s="108"/>
      <c r="K1227" s="120">
        <v>40</v>
      </c>
      <c r="L1227" s="108">
        <v>0.44974999999999998</v>
      </c>
      <c r="M1227" s="101" t="s">
        <v>647</v>
      </c>
    </row>
    <row r="1228" spans="1:13" x14ac:dyDescent="0.25">
      <c r="A1228" s="101"/>
      <c r="B1228" s="101" t="s">
        <v>739</v>
      </c>
      <c r="C1228" s="101" t="s">
        <v>15</v>
      </c>
      <c r="D1228" s="152">
        <f>IFERROR(INDEX('BD Rendimientos'!G:G,MATCH("16.01.03|Bondex Standar 25Kg|Uni.|materiales",'BD Rendimientos'!L:L,0)),"")</f>
        <v>0</v>
      </c>
      <c r="E1228" s="161">
        <f>IFERROR(INDEX('BD Materiales'!D:D,MATCH("Bondex Standar 25Kg",'BD Materiales'!B:B,0)),"")</f>
        <v>4.17</v>
      </c>
      <c r="F1228" s="170">
        <f>IFERROR(D1228*E1228,"")</f>
        <v>0</v>
      </c>
      <c r="G1228" s="120"/>
      <c r="H1228" s="108"/>
      <c r="I1228" s="120"/>
      <c r="J1228" s="108"/>
      <c r="K1228" s="120">
        <v>2</v>
      </c>
      <c r="L1228" s="108">
        <v>4.17</v>
      </c>
      <c r="M1228" s="101" t="s">
        <v>647</v>
      </c>
    </row>
    <row r="1229" spans="1:13" x14ac:dyDescent="0.25">
      <c r="A1229" s="101"/>
      <c r="B1229" s="101" t="s">
        <v>788</v>
      </c>
      <c r="C1229" s="101" t="s">
        <v>8</v>
      </c>
      <c r="D1229" s="152">
        <f>IFERROR(INDEX('BD Rendimientos'!G:G,MATCH("16.01.03|Cemento Campeon HS 50KG|qq|materiales",'BD Rendimientos'!L:L,0)),"")</f>
        <v>0</v>
      </c>
      <c r="E1229" s="161">
        <f>IFERROR(INDEX('BD Materiales'!D:D,MATCH("Cemento Campeon HS 50KG",'BD Materiales'!B:B,0)),"")</f>
        <v>6.7489472778273614</v>
      </c>
      <c r="F1229" s="170">
        <f>IFERROR(D1229*E1229,"")</f>
        <v>0</v>
      </c>
      <c r="G1229" s="120"/>
      <c r="H1229" s="108"/>
      <c r="I1229" s="120"/>
      <c r="J1229" s="108"/>
      <c r="K1229" s="120">
        <v>69</v>
      </c>
      <c r="L1229" s="108">
        <v>6.7528985507246402</v>
      </c>
      <c r="M1229" s="101" t="s">
        <v>647</v>
      </c>
    </row>
    <row r="1230" spans="1:13" x14ac:dyDescent="0.25">
      <c r="A1230" s="101"/>
      <c r="B1230" s="101" t="s">
        <v>798</v>
      </c>
      <c r="C1230" s="101" t="s">
        <v>15</v>
      </c>
      <c r="D1230" s="152">
        <f>IFERROR(INDEX('BD Rendimientos'!G:G,MATCH("16.01.03|Chapisco 25 kg|Uni.|materiales",'BD Rendimientos'!L:L,0)),"")</f>
        <v>0</v>
      </c>
      <c r="E1230" s="161">
        <f>IFERROR(INDEX('BD Materiales'!D:D,MATCH("Chapisco 25 kg",'BD Materiales'!B:B,0)),"")</f>
        <v>7.6570634920634939</v>
      </c>
      <c r="F1230" s="170">
        <f>IFERROR(D1230*E1230,"")</f>
        <v>0</v>
      </c>
      <c r="G1230" s="120"/>
      <c r="H1230" s="108"/>
      <c r="I1230" s="120"/>
      <c r="J1230" s="108"/>
      <c r="K1230" s="120">
        <v>14</v>
      </c>
      <c r="L1230" s="108">
        <v>7.2535714285714299</v>
      </c>
      <c r="M1230" s="101" t="s">
        <v>647</v>
      </c>
    </row>
    <row r="1231" spans="1:13" x14ac:dyDescent="0.25">
      <c r="A1231" s="101"/>
      <c r="B1231" s="101" t="s">
        <v>814</v>
      </c>
      <c r="C1231" s="101" t="s">
        <v>30</v>
      </c>
      <c r="D1231" s="152">
        <f>IFERROR(INDEX('BD Rendimientos'!G:G,MATCH("16.01.03|Clavos de acero 2.1/2” Japones|Kg.|materiales",'BD Rendimientos'!L:L,0)),"")</f>
        <v>0</v>
      </c>
      <c r="E1231" s="161">
        <f>IFERROR(INDEX('BD Materiales'!D:D,MATCH("Clavos de acero 2.1/2” Japones",'BD Materiales'!B:B,0)),"")</f>
        <v>8.82</v>
      </c>
      <c r="F1231" s="170">
        <f>IFERROR(D1231*E1231,"")</f>
        <v>0</v>
      </c>
      <c r="G1231" s="120"/>
      <c r="H1231" s="108"/>
      <c r="I1231" s="120"/>
      <c r="J1231" s="108"/>
      <c r="K1231" s="120">
        <v>1</v>
      </c>
      <c r="L1231" s="108">
        <v>8.82</v>
      </c>
      <c r="M1231" s="101" t="s">
        <v>647</v>
      </c>
    </row>
    <row r="1232" spans="1:13" x14ac:dyDescent="0.25">
      <c r="A1232" s="101"/>
      <c r="B1232" s="101" t="s">
        <v>818</v>
      </c>
      <c r="C1232" s="101" t="s">
        <v>30</v>
      </c>
      <c r="D1232" s="152">
        <f>IFERROR(INDEX('BD Rendimientos'!G:G,MATCH("16.01.03|Clavos galvanizados 2 1/2""|Kg.|materiales",'BD Rendimientos'!L:L,0)),"")</f>
        <v>0</v>
      </c>
      <c r="E1232" s="161">
        <f>IFERROR(INDEX('BD Materiales'!D:D,MATCH("Clavos galvanizados 2 1/2""",'BD Materiales'!B:B,0)),"")</f>
        <v>1.84375</v>
      </c>
      <c r="F1232" s="170">
        <f>IFERROR(D1232*E1232,"")</f>
        <v>0</v>
      </c>
      <c r="G1232" s="120"/>
      <c r="H1232" s="108"/>
      <c r="I1232" s="120"/>
      <c r="J1232" s="108"/>
      <c r="K1232" s="120">
        <v>2</v>
      </c>
      <c r="L1232" s="108">
        <v>1.615</v>
      </c>
      <c r="M1232" s="101" t="s">
        <v>647</v>
      </c>
    </row>
    <row r="1233" spans="1:13" x14ac:dyDescent="0.25">
      <c r="A1233" s="101"/>
      <c r="B1233" s="101" t="s">
        <v>822</v>
      </c>
      <c r="C1233" s="101" t="s">
        <v>30</v>
      </c>
      <c r="D1233" s="152">
        <f>IFERROR(INDEX('BD Rendimientos'!G:G,MATCH("16.01.03|Clavos galvanizados 2""|Kg.|materiales",'BD Rendimientos'!L:L,0)),"")</f>
        <v>0</v>
      </c>
      <c r="E1233" s="161">
        <f>IFERROR(INDEX('BD Materiales'!D:D,MATCH("Clavos galvanizados 2""",'BD Materiales'!B:B,0)),"")</f>
        <v>2.0827777777777783</v>
      </c>
      <c r="F1233" s="170">
        <f>IFERROR(D1233*E1233,"")</f>
        <v>0</v>
      </c>
      <c r="G1233" s="120"/>
      <c r="H1233" s="108"/>
      <c r="I1233" s="120"/>
      <c r="J1233" s="108"/>
      <c r="K1233" s="120">
        <v>3</v>
      </c>
      <c r="L1233" s="108">
        <v>1.83666666666667</v>
      </c>
      <c r="M1233" s="101" t="s">
        <v>647</v>
      </c>
    </row>
    <row r="1234" spans="1:13" x14ac:dyDescent="0.25">
      <c r="A1234" s="101"/>
      <c r="B1234" s="101" t="s">
        <v>407</v>
      </c>
      <c r="C1234" s="101" t="s">
        <v>15</v>
      </c>
      <c r="D1234" s="152">
        <f>IFERROR(INDEX('BD Rendimientos'!G:G,MATCH("16.01.03|Disco de corte de hierro 9"" (Me (Disco de corte de hierro 9"" (Metal))|Uni.|materiales",'BD Rendimientos'!L:L,0)),"")</f>
        <v>0</v>
      </c>
      <c r="E1234" s="161">
        <f>IFERROR(INDEX('BD Materiales'!D:D,MATCH("Disco de corte de hierro 9"" (Me (Disco de corte de hierro 9"" (Metal))",'BD Materiales'!B:B,0)),"")</f>
        <v>2.404166666666665</v>
      </c>
      <c r="F1234" s="170">
        <f>IFERROR(D1234*E1234,"")</f>
        <v>0</v>
      </c>
      <c r="G1234" s="120"/>
      <c r="H1234" s="108"/>
      <c r="I1234" s="120"/>
      <c r="J1234" s="108"/>
      <c r="K1234" s="120">
        <v>12</v>
      </c>
      <c r="L1234" s="108">
        <v>2.53833333333333</v>
      </c>
      <c r="M1234" s="101" t="s">
        <v>647</v>
      </c>
    </row>
    <row r="1235" spans="1:13" x14ac:dyDescent="0.25">
      <c r="A1235" s="101"/>
      <c r="B1235" s="101" t="s">
        <v>876</v>
      </c>
      <c r="C1235" s="101" t="s">
        <v>23</v>
      </c>
      <c r="D1235" s="152">
        <f>IFERROR(INDEX('BD Rendimientos'!G:G,MATCH("16.01.03|Gasolina - Extra|gal|materiales",'BD Rendimientos'!L:L,0)),"")</f>
        <v>0</v>
      </c>
      <c r="E1235" s="161">
        <f>IFERROR(INDEX('BD Materiales'!D:D,MATCH("Gasolina - Extra",'BD Materiales'!B:B,0)),"")</f>
        <v>2.14</v>
      </c>
      <c r="F1235" s="170">
        <f>IFERROR(D1235*E1235,"")</f>
        <v>0</v>
      </c>
      <c r="G1235" s="120"/>
      <c r="H1235" s="108"/>
      <c r="I1235" s="120"/>
      <c r="J1235" s="108"/>
      <c r="K1235" s="120">
        <v>2.08</v>
      </c>
      <c r="L1235" s="108">
        <v>2.1442307692307701</v>
      </c>
      <c r="M1235" s="101" t="s">
        <v>647</v>
      </c>
    </row>
    <row r="1236" spans="1:13" x14ac:dyDescent="0.25">
      <c r="A1236" s="101"/>
      <c r="B1236" s="101" t="s">
        <v>47</v>
      </c>
      <c r="C1236" s="101" t="s">
        <v>6</v>
      </c>
      <c r="D1236" s="152">
        <f>IFERROR(INDEX('BD Rendimientos'!G:G,MATCH("16.01.03|Hormigón Premez. fc= 210 kg S/B (Hormigón Premezclado fc= 210 kg/cm2)|m3|materiales",'BD Rendimientos'!L:L,0)),"")</f>
        <v>0</v>
      </c>
      <c r="E1236" s="161">
        <f>IFERROR(INDEX('BD Materiales'!D:D,MATCH("Hormigón Premez. fc= 210 kg S/B (Hormigón Premezclado fc= 210 kg/cm2)",'BD Materiales'!B:B,0)),"")</f>
        <v>71</v>
      </c>
      <c r="F1236" s="170">
        <f>IFERROR(D1236*E1236,"")</f>
        <v>0</v>
      </c>
      <c r="G1236" s="120"/>
      <c r="H1236" s="108"/>
      <c r="I1236" s="120"/>
      <c r="J1236" s="108"/>
      <c r="K1236" s="120">
        <v>72.5</v>
      </c>
      <c r="L1236" s="108">
        <v>71.001517241379304</v>
      </c>
      <c r="M1236" s="101" t="s">
        <v>647</v>
      </c>
    </row>
    <row r="1237" spans="1:13" x14ac:dyDescent="0.25">
      <c r="A1237" s="101"/>
      <c r="B1237" s="101" t="s">
        <v>572</v>
      </c>
      <c r="C1237" s="101" t="s">
        <v>15</v>
      </c>
      <c r="D1237" s="152">
        <f>IFERROR(INDEX('BD Rendimientos'!G:G,MATCH("16.01.03|Malla Armex Elect.5mmx10x10 R-1 (Malla Armex Elect.5mmx10x10 R-196)|Uni.|materiales",'BD Rendimientos'!L:L,0)),"")</f>
        <v>0</v>
      </c>
      <c r="E1237" s="161">
        <f>IFERROR(INDEX('BD Materiales'!D:D,MATCH("Malla Armex Elect.5mmx10x10 R-1 (Malla Armex Elect.5mmx10x10 R-196)",'BD Materiales'!B:B,0)),"")</f>
        <v>50.758333333333354</v>
      </c>
      <c r="F1237" s="170">
        <f>IFERROR(D1237*E1237,"")</f>
        <v>0</v>
      </c>
      <c r="G1237" s="120"/>
      <c r="H1237" s="108"/>
      <c r="I1237" s="120"/>
      <c r="J1237" s="108"/>
      <c r="K1237" s="120">
        <v>1</v>
      </c>
      <c r="L1237" s="108">
        <v>50.76</v>
      </c>
      <c r="M1237" s="101" t="s">
        <v>647</v>
      </c>
    </row>
    <row r="1238" spans="1:13" x14ac:dyDescent="0.25">
      <c r="A1238" s="101"/>
      <c r="B1238" s="101" t="s">
        <v>64</v>
      </c>
      <c r="C1238" s="101" t="s">
        <v>15</v>
      </c>
      <c r="D1238" s="152">
        <f>IFERROR(INDEX('BD Rendimientos'!G:G,MATCH("16.01.03|Malla Armex Elect.6mmx15x15R188 (Malla Armex Elect.6mmx15x15 R188)|Uni.|materiales",'BD Rendimientos'!L:L,0)),"")</f>
        <v>0</v>
      </c>
      <c r="E1238" s="161">
        <f>IFERROR(INDEX('BD Materiales'!D:D,MATCH("Malla Armex Elect.6mmx15x15R188 (Malla Armex Elect.6mmx15x15 R188)",'BD Materiales'!B:B,0)),"")</f>
        <v>50.794114583333339</v>
      </c>
      <c r="F1238" s="170">
        <f>IFERROR(D1238*E1238,"")</f>
        <v>0</v>
      </c>
      <c r="G1238" s="120"/>
      <c r="H1238" s="108"/>
      <c r="I1238" s="120"/>
      <c r="J1238" s="108"/>
      <c r="K1238" s="120">
        <v>24</v>
      </c>
      <c r="L1238" s="108">
        <v>48.292916666666699</v>
      </c>
      <c r="M1238" s="101" t="s">
        <v>647</v>
      </c>
    </row>
    <row r="1239" spans="1:13" x14ac:dyDescent="0.25">
      <c r="A1239" s="101"/>
      <c r="B1239" s="101" t="s">
        <v>919</v>
      </c>
      <c r="C1239" s="101" t="s">
        <v>15</v>
      </c>
      <c r="D1239" s="152">
        <f>IFERROR(INDEX('BD Rendimientos'!G:G,MATCH("16.01.03|Maxicril - 70 gl|Uni.|materiales",'BD Rendimientos'!L:L,0)),"")</f>
        <v>0</v>
      </c>
      <c r="E1239" s="161">
        <f>IFERROR(INDEX('BD Materiales'!D:D,MATCH("Maxicril - 70 gl",'BD Materiales'!B:B,0)),"")</f>
        <v>24</v>
      </c>
      <c r="F1239" s="170">
        <f>IFERROR(D1239*E1239,"")</f>
        <v>0</v>
      </c>
      <c r="G1239" s="120"/>
      <c r="H1239" s="108"/>
      <c r="I1239" s="120"/>
      <c r="J1239" s="108"/>
      <c r="K1239" s="120">
        <v>1</v>
      </c>
      <c r="L1239" s="108">
        <v>24</v>
      </c>
      <c r="M1239" s="101" t="s">
        <v>647</v>
      </c>
    </row>
    <row r="1240" spans="1:13" x14ac:dyDescent="0.25">
      <c r="A1240" s="101"/>
      <c r="B1240" s="101" t="s">
        <v>921</v>
      </c>
      <c r="C1240" s="101" t="s">
        <v>15</v>
      </c>
      <c r="D1240" s="152">
        <f>IFERROR(INDEX('BD Rendimientos'!G:G,MATCH("16.01.03|Maxicril Caneca|Uni.|materiales",'BD Rendimientos'!L:L,0)),"")</f>
        <v>0</v>
      </c>
      <c r="E1240" s="161">
        <f>IFERROR(INDEX('BD Materiales'!D:D,MATCH("Maxicril Caneca",'BD Materiales'!B:B,0)),"")</f>
        <v>103.07</v>
      </c>
      <c r="F1240" s="170">
        <f>IFERROR(D1240*E1240,"")</f>
        <v>0</v>
      </c>
      <c r="G1240" s="120"/>
      <c r="H1240" s="108"/>
      <c r="I1240" s="120"/>
      <c r="J1240" s="108"/>
      <c r="K1240" s="120">
        <v>1</v>
      </c>
      <c r="L1240" s="108">
        <v>103.82</v>
      </c>
      <c r="M1240" s="101" t="s">
        <v>647</v>
      </c>
    </row>
    <row r="1241" spans="1:13" x14ac:dyDescent="0.25">
      <c r="A1241" s="101"/>
      <c r="B1241" s="101" t="s">
        <v>937</v>
      </c>
      <c r="C1241" s="101" t="s">
        <v>6</v>
      </c>
      <c r="D1241" s="152">
        <f>IFERROR(INDEX('BD Rendimientos'!G:G,MATCH("16.01.03|Piedra bola|m3|materiales",'BD Rendimientos'!L:L,0)),"")</f>
        <v>0</v>
      </c>
      <c r="E1241" s="161">
        <f>IFERROR(INDEX('BD Materiales'!D:D,MATCH("Piedra bola",'BD Materiales'!B:B,0)),"")</f>
        <v>14.3333333333333</v>
      </c>
      <c r="F1241" s="170">
        <f>IFERROR(D1241*E1241,"")</f>
        <v>0</v>
      </c>
      <c r="G1241" s="120"/>
      <c r="H1241" s="108"/>
      <c r="I1241" s="120"/>
      <c r="J1241" s="108"/>
      <c r="K1241" s="120">
        <v>12</v>
      </c>
      <c r="L1241" s="108">
        <v>14.3333333333333</v>
      </c>
      <c r="M1241" s="101" t="s">
        <v>647</v>
      </c>
    </row>
    <row r="1242" spans="1:13" x14ac:dyDescent="0.25">
      <c r="A1242" s="101"/>
      <c r="B1242" s="101" t="s">
        <v>370</v>
      </c>
      <c r="C1242" s="101" t="s">
        <v>144</v>
      </c>
      <c r="D1242" s="152">
        <f>IFERROR(INDEX('BD Rendimientos'!G:G,MATCH("16.01.03|Plastico Negro 1.5 mts (Plastico Negro 1.5 mts (1.98mts x kg) (50.50 kilos))|rollo|materiales",'BD Rendimientos'!L:L,0)),"")</f>
        <v>0</v>
      </c>
      <c r="E1242" s="161">
        <f>IFERROR(INDEX('BD Materiales'!D:D,MATCH("Plastico Negro 1.5 mts (Plastico Negro 1.5 mts (1.98mts x kg) (50.50 kilos))",'BD Materiales'!B:B,0)),"")</f>
        <v>67.681818181818173</v>
      </c>
      <c r="F1242" s="170">
        <f>IFERROR(D1242*E1242,"")</f>
        <v>0</v>
      </c>
      <c r="G1242" s="120"/>
      <c r="H1242" s="108"/>
      <c r="I1242" s="120"/>
      <c r="J1242" s="108"/>
      <c r="K1242" s="120">
        <v>0.22</v>
      </c>
      <c r="L1242" s="108">
        <v>67.727272727272705</v>
      </c>
      <c r="M1242" s="101" t="s">
        <v>647</v>
      </c>
    </row>
    <row r="1243" spans="1:13" x14ac:dyDescent="0.25">
      <c r="A1243" s="101"/>
      <c r="B1243" s="101" t="s">
        <v>603</v>
      </c>
      <c r="C1243" s="101" t="s">
        <v>6</v>
      </c>
      <c r="D1243" s="152">
        <f>IFERROR(INDEX('BD Rendimientos'!G:G,MATCH("16.01.03|Polvo Azul|m3|materiales",'BD Rendimientos'!L:L,0)),"")</f>
        <v>0</v>
      </c>
      <c r="E1243" s="161">
        <f>IFERROR(INDEX('BD Materiales'!D:D,MATCH("Polvo Azul",'BD Materiales'!B:B,0)),"")</f>
        <v>14.547574523429788</v>
      </c>
      <c r="F1243" s="170">
        <f>IFERROR(D1243*E1243,"")</f>
        <v>0</v>
      </c>
      <c r="G1243" s="120"/>
      <c r="H1243" s="108"/>
      <c r="I1243" s="120"/>
      <c r="J1243" s="108"/>
      <c r="K1243" s="120">
        <v>1.1200000000000001</v>
      </c>
      <c r="L1243" s="108">
        <v>15.8303571428571</v>
      </c>
      <c r="M1243" s="101" t="s">
        <v>647</v>
      </c>
    </row>
    <row r="1244" spans="1:13" x14ac:dyDescent="0.25">
      <c r="A1244" s="101"/>
      <c r="B1244" s="101" t="s">
        <v>969</v>
      </c>
      <c r="C1244" s="101" t="s">
        <v>6</v>
      </c>
      <c r="D1244" s="152">
        <f>IFERROR(INDEX('BD Rendimientos'!G:G,MATCH("16.01.03|Recargo Minimo Concreto|m3|materiales",'BD Rendimientos'!L:L,0)),"")</f>
        <v>0</v>
      </c>
      <c r="E1244" s="161">
        <f>IFERROR(INDEX('BD Materiales'!D:D,MATCH("Recargo Minimo Concreto",'BD Materiales'!B:B,0)),"")</f>
        <v>10</v>
      </c>
      <c r="F1244" s="170">
        <f>IFERROR(D1244*E1244,"")</f>
        <v>0</v>
      </c>
      <c r="G1244" s="120"/>
      <c r="H1244" s="108"/>
      <c r="I1244" s="120"/>
      <c r="J1244" s="108"/>
      <c r="K1244" s="120">
        <v>7.5</v>
      </c>
      <c r="L1244" s="108">
        <v>10</v>
      </c>
      <c r="M1244" s="101" t="s">
        <v>647</v>
      </c>
    </row>
    <row r="1245" spans="1:13" x14ac:dyDescent="0.25">
      <c r="A1245" s="101"/>
      <c r="B1245" s="101" t="s">
        <v>973</v>
      </c>
      <c r="C1245" s="101" t="s">
        <v>15</v>
      </c>
      <c r="D1245" s="152">
        <f>IFERROR(INDEX('BD Rendimientos'!G:G,MATCH("16.01.03|Rejilla PVC Ventilacion 50MM|Uni.|materiales",'BD Rendimientos'!L:L,0)),"")</f>
        <v>0</v>
      </c>
      <c r="E1245" s="161">
        <f>IFERROR(INDEX('BD Materiales'!D:D,MATCH("Rejilla PVC Ventilacion 50MM",'BD Materiales'!B:B,0)),"")</f>
        <v>0.84</v>
      </c>
      <c r="F1245" s="170">
        <f>IFERROR(D1245*E1245,"")</f>
        <v>0</v>
      </c>
      <c r="G1245" s="120"/>
      <c r="H1245" s="108"/>
      <c r="I1245" s="120"/>
      <c r="J1245" s="108"/>
      <c r="K1245" s="120">
        <v>2</v>
      </c>
      <c r="L1245" s="108">
        <v>0.84</v>
      </c>
      <c r="M1245" s="101" t="s">
        <v>647</v>
      </c>
    </row>
    <row r="1246" spans="1:13" x14ac:dyDescent="0.25">
      <c r="A1246" s="101"/>
      <c r="B1246" s="101" t="s">
        <v>259</v>
      </c>
      <c r="C1246" s="101" t="s">
        <v>15</v>
      </c>
      <c r="D1246" s="152">
        <f>IFERROR(INDEX('BD Rendimientos'!G:G,MATCH("16.01.03|Rejilla PVC Ventilacion 75mm 3"" (Rejilla Plastica PVC Ventilacion 75mm 3"")|Uni.|materiales",'BD Rendimientos'!L:L,0)),"")</f>
        <v>0</v>
      </c>
      <c r="E1246" s="161">
        <f>IFERROR(INDEX('BD Materiales'!D:D,MATCH("Rejilla PVC Ventilacion 75mm 3"" (Rejilla Plastica PVC Ventilacion 75mm 3"")",'BD Materiales'!B:B,0)),"")</f>
        <v>1.1950000000000001</v>
      </c>
      <c r="F1246" s="170">
        <f>IFERROR(D1246*E1246,"")</f>
        <v>0</v>
      </c>
      <c r="G1246" s="120"/>
      <c r="H1246" s="108"/>
      <c r="I1246" s="120"/>
      <c r="J1246" s="108"/>
      <c r="K1246" s="120">
        <v>2</v>
      </c>
      <c r="L1246" s="108">
        <v>1.1950000000000001</v>
      </c>
      <c r="M1246" s="101" t="s">
        <v>647</v>
      </c>
    </row>
    <row r="1247" spans="1:13" x14ac:dyDescent="0.25">
      <c r="A1247" s="101"/>
      <c r="B1247" s="101" t="s">
        <v>602</v>
      </c>
      <c r="C1247" s="101" t="s">
        <v>6</v>
      </c>
      <c r="D1247" s="152">
        <f>IFERROR(INDEX('BD Rendimientos'!G:G,MATCH("16.01.03|Ripio|m3|materiales",'BD Rendimientos'!L:L,0)),"")</f>
        <v>0</v>
      </c>
      <c r="E1247" s="161">
        <f>IFERROR(INDEX('BD Materiales'!D:D,MATCH("Ripio",'BD Materiales'!B:B,0)),"")</f>
        <v>13.895122287420717</v>
      </c>
      <c r="F1247" s="170">
        <f>IFERROR(D1247*E1247,"")</f>
        <v>0</v>
      </c>
      <c r="G1247" s="120"/>
      <c r="H1247" s="108"/>
      <c r="I1247" s="120"/>
      <c r="J1247" s="108"/>
      <c r="K1247" s="120">
        <v>2.38</v>
      </c>
      <c r="L1247" s="108">
        <v>15.563025210084</v>
      </c>
      <c r="M1247" s="101" t="s">
        <v>647</v>
      </c>
    </row>
    <row r="1248" spans="1:13" x14ac:dyDescent="0.25">
      <c r="A1248" s="101"/>
      <c r="B1248" s="101" t="s">
        <v>989</v>
      </c>
      <c r="C1248" s="101" t="s">
        <v>15</v>
      </c>
      <c r="D1248" s="152">
        <f>IFERROR(INDEX('BD Rendimientos'!G:G,MATCH("16.01.03|Sika -1 Impermeabilizante 2kg|Uni.|materiales",'BD Rendimientos'!L:L,0)),"")</f>
        <v>0</v>
      </c>
      <c r="E1248" s="161">
        <f>IFERROR(INDEX('BD Materiales'!D:D,MATCH("Sika -1 Impermeabilizante 2kg",'BD Materiales'!B:B,0)),"")</f>
        <v>2.9</v>
      </c>
      <c r="F1248" s="170">
        <f>IFERROR(D1248*E1248,"")</f>
        <v>0</v>
      </c>
      <c r="G1248" s="120"/>
      <c r="H1248" s="108"/>
      <c r="I1248" s="120"/>
      <c r="J1248" s="108"/>
      <c r="K1248" s="120">
        <v>1</v>
      </c>
      <c r="L1248" s="108">
        <v>2.9</v>
      </c>
      <c r="M1248" s="101" t="s">
        <v>647</v>
      </c>
    </row>
    <row r="1249" spans="1:13" x14ac:dyDescent="0.25">
      <c r="A1249" s="101"/>
      <c r="B1249" s="101" t="s">
        <v>991</v>
      </c>
      <c r="C1249" s="101" t="s">
        <v>15</v>
      </c>
      <c r="D1249" s="152">
        <f>IFERROR(INDEX('BD Rendimientos'!G:G,MATCH("16.01.03|Sika -1 Impermeabilizante 4kg|Uni.|materiales",'BD Rendimientos'!L:L,0)),"")</f>
        <v>0</v>
      </c>
      <c r="E1249" s="161">
        <f>IFERROR(INDEX('BD Materiales'!D:D,MATCH("Sika -1 Impermeabilizante 4kg",'BD Materiales'!B:B,0)),"")</f>
        <v>9.0250000000000004</v>
      </c>
      <c r="F1249" s="170">
        <f>IFERROR(D1249*E1249,"")</f>
        <v>0</v>
      </c>
      <c r="G1249" s="120"/>
      <c r="H1249" s="108"/>
      <c r="I1249" s="120"/>
      <c r="J1249" s="108"/>
      <c r="K1249" s="120">
        <v>2</v>
      </c>
      <c r="L1249" s="108">
        <v>9.0250000000000004</v>
      </c>
      <c r="M1249" s="101" t="s">
        <v>647</v>
      </c>
    </row>
    <row r="1250" spans="1:13" x14ac:dyDescent="0.25">
      <c r="A1250" s="101"/>
      <c r="B1250" s="101" t="s">
        <v>360</v>
      </c>
      <c r="C1250" s="101" t="s">
        <v>15</v>
      </c>
      <c r="D1250" s="152">
        <f>IFERROR(INDEX('BD Rendimientos'!G:G,MATCH("16.01.03|Sikadur 32 Primer (2.5kl) (Sikadur 32 Primer (2.5kl))|Uni.|materiales",'BD Rendimientos'!L:L,0)),"")</f>
        <v>0</v>
      </c>
      <c r="E1250" s="161">
        <f>IFERROR(INDEX('BD Materiales'!D:D,MATCH("Sikadur 32 Primer (2.5kl) (Sikadur 32 Primer (2.5kl))",'BD Materiales'!B:B,0)),"")</f>
        <v>69.349999999999994</v>
      </c>
      <c r="F1250" s="170">
        <f>IFERROR(D1250*E1250,"")</f>
        <v>0</v>
      </c>
      <c r="G1250" s="120"/>
      <c r="H1250" s="108"/>
      <c r="I1250" s="120"/>
      <c r="J1250" s="108"/>
      <c r="K1250" s="120">
        <v>1</v>
      </c>
      <c r="L1250" s="108">
        <v>69.349999999999994</v>
      </c>
      <c r="M1250" s="101" t="s">
        <v>647</v>
      </c>
    </row>
    <row r="1251" spans="1:13" x14ac:dyDescent="0.25">
      <c r="A1251" s="101"/>
      <c r="B1251" s="101" t="s">
        <v>1029</v>
      </c>
      <c r="C1251" s="101" t="s">
        <v>15</v>
      </c>
      <c r="D1251" s="152">
        <f>IFERROR(INDEX('BD Rendimientos'!G:G,MATCH("16.01.03|Tiza Industrial|Uni.|materiales",'BD Rendimientos'!L:L,0)),"")</f>
        <v>0</v>
      </c>
      <c r="E1251" s="161">
        <f>IFERROR(INDEX('BD Materiales'!D:D,MATCH("Tiza Industrial",'BD Materiales'!B:B,0)),"")</f>
        <v>0.11418750000000004</v>
      </c>
      <c r="F1251" s="170">
        <f>IFERROR(D1251*E1251,"")</f>
        <v>0</v>
      </c>
      <c r="G1251" s="120"/>
      <c r="H1251" s="108"/>
      <c r="I1251" s="120"/>
      <c r="J1251" s="108"/>
      <c r="K1251" s="120">
        <v>10</v>
      </c>
      <c r="L1251" s="108">
        <v>0.111</v>
      </c>
      <c r="M1251" s="101" t="s">
        <v>647</v>
      </c>
    </row>
    <row r="1252" spans="1:13" x14ac:dyDescent="0.25">
      <c r="A1252" s="101"/>
      <c r="B1252" s="101" t="s">
        <v>1044</v>
      </c>
      <c r="C1252" s="101" t="s">
        <v>62</v>
      </c>
      <c r="D1252" s="152">
        <f>IFERROR(INDEX('BD Rendimientos'!G:G,MATCH("16.01.03|Varilla Hierro D=10mmx12m|V10|materiales",'BD Rendimientos'!L:L,0)),"")</f>
        <v>0</v>
      </c>
      <c r="E1252" s="161">
        <f>IFERROR(INDEX('BD Materiales'!D:D,MATCH("Varilla Hierro D=10mmx12m",'BD Materiales'!B:B,0)),"")</f>
        <v>8.1945999999999994</v>
      </c>
      <c r="F1252" s="170">
        <f>IFERROR(D1252*E1252,"")</f>
        <v>0</v>
      </c>
      <c r="G1252" s="120"/>
      <c r="H1252" s="108"/>
      <c r="I1252" s="120"/>
      <c r="J1252" s="108"/>
      <c r="K1252" s="120">
        <v>35</v>
      </c>
      <c r="L1252" s="108">
        <v>8.3562857142857094</v>
      </c>
      <c r="M1252" s="101" t="s">
        <v>647</v>
      </c>
    </row>
    <row r="1253" spans="1:13" x14ac:dyDescent="0.25">
      <c r="A1253" s="101"/>
      <c r="B1253" s="101" t="s">
        <v>1047</v>
      </c>
      <c r="C1253" s="101" t="s">
        <v>236</v>
      </c>
      <c r="D1253" s="152">
        <f>IFERROR(INDEX('BD Rendimientos'!G:G,MATCH("16.01.03|Varilla Hierro D=12mmx12m|V12|materiales",'BD Rendimientos'!L:L,0)),"")</f>
        <v>0</v>
      </c>
      <c r="E1253" s="161">
        <f>IFERROR(INDEX('BD Materiales'!D:D,MATCH("Varilla Hierro D=12mmx12m",'BD Materiales'!B:B,0)),"")</f>
        <v>11.714999999999998</v>
      </c>
      <c r="F1253" s="170">
        <f>IFERROR(D1253*E1253,"")</f>
        <v>0</v>
      </c>
      <c r="G1253" s="120"/>
      <c r="H1253" s="108"/>
      <c r="I1253" s="120"/>
      <c r="J1253" s="108"/>
      <c r="K1253" s="120">
        <v>180</v>
      </c>
      <c r="L1253" s="108">
        <v>12.014611111111099</v>
      </c>
      <c r="M1253" s="101" t="s">
        <v>647</v>
      </c>
    </row>
    <row r="1254" spans="1:13" x14ac:dyDescent="0.25">
      <c r="A1254" s="101"/>
      <c r="B1254" s="101" t="s">
        <v>1051</v>
      </c>
      <c r="C1254" s="101" t="s">
        <v>71</v>
      </c>
      <c r="D1254" s="152">
        <f>IFERROR(INDEX('BD Rendimientos'!G:G,MATCH("16.01.03|Varilla Hierro D=14mmx12m|v14|materiales",'BD Rendimientos'!L:L,0)),"")</f>
        <v>0</v>
      </c>
      <c r="E1254" s="161">
        <f>IFERROR(INDEX('BD Materiales'!D:D,MATCH("Varilla Hierro D=14mmx12m",'BD Materiales'!B:B,0)),"")</f>
        <v>16.299673913043499</v>
      </c>
      <c r="F1254" s="170">
        <f>IFERROR(D1254*E1254,"")</f>
        <v>0</v>
      </c>
      <c r="G1254" s="120"/>
      <c r="H1254" s="108"/>
      <c r="I1254" s="120"/>
      <c r="J1254" s="108"/>
      <c r="K1254" s="120">
        <v>46</v>
      </c>
      <c r="L1254" s="108">
        <v>16.339347826087</v>
      </c>
      <c r="M1254" s="101" t="s">
        <v>647</v>
      </c>
    </row>
    <row r="1255" spans="1:13" x14ac:dyDescent="0.25">
      <c r="A1255" s="99" t="s">
        <v>5</v>
      </c>
      <c r="B1255" s="99"/>
      <c r="C1255" s="99"/>
      <c r="D1255" s="149"/>
      <c r="E1255" s="158"/>
      <c r="F1255" s="167"/>
      <c r="G1255" s="117"/>
      <c r="H1255" s="105"/>
      <c r="I1255" s="117"/>
      <c r="J1255" s="105"/>
      <c r="K1255" s="117"/>
      <c r="L1255" s="105"/>
      <c r="M1255" s="99"/>
    </row>
    <row r="1256" spans="1:13" x14ac:dyDescent="0.25">
      <c r="B1256" t="s">
        <v>588</v>
      </c>
      <c r="C1256" t="s">
        <v>579</v>
      </c>
      <c r="D1256" s="150">
        <f>IFERROR(INDEX('BD Rendimientos'!G:G,MATCH("16.01.03|M.Piscina (Obra Civil)|glb|mano_obra",'BD Rendimientos'!L:L,0)),"")</f>
        <v>0</v>
      </c>
      <c r="E1256" s="159">
        <f>IFERROR(INDEX('BD Mano de Obra'!D:D,MATCH("M.Piscina (Obra Civil)",'BD Mano de Obra'!B:B,0)),"")</f>
        <v>0</v>
      </c>
      <c r="F1256" s="168">
        <f>IFERROR(D1256*E1256,"")</f>
        <v>0</v>
      </c>
      <c r="G1256" s="118"/>
      <c r="H1256" s="106"/>
      <c r="I1256" s="118"/>
      <c r="J1256" s="106"/>
      <c r="K1256" s="118">
        <v>1</v>
      </c>
      <c r="L1256" s="106"/>
    </row>
    <row r="1257" spans="1:13" x14ac:dyDescent="0.25">
      <c r="A1257" s="99" t="s">
        <v>2</v>
      </c>
      <c r="B1257" s="99"/>
      <c r="C1257" s="99"/>
      <c r="D1257" s="149"/>
      <c r="E1257" s="158"/>
      <c r="F1257" s="167"/>
      <c r="G1257" s="117"/>
      <c r="H1257" s="105"/>
      <c r="I1257" s="117"/>
      <c r="J1257" s="105"/>
      <c r="K1257" s="117"/>
      <c r="L1257" s="105"/>
      <c r="M1257" s="99"/>
    </row>
    <row r="1258" spans="1:13" x14ac:dyDescent="0.25">
      <c r="A1258" s="101"/>
      <c r="B1258" s="101" t="s">
        <v>328</v>
      </c>
      <c r="C1258" s="101" t="s">
        <v>78</v>
      </c>
      <c r="D1258" s="152">
        <f>IFERROR(INDEX('BD Rendimientos'!G:G,MATCH("16.01.03|Alquiler de Maquinaria (retroex (Alquiler de Maquinaria (retroexcavadora))|Hr.|equipo",'BD Rendimientos'!L:L,0)),"")</f>
        <v>0</v>
      </c>
      <c r="E1258" s="161">
        <f>IFERROR(INDEX('BD Equipo'!D:D,MATCH("Alquiler de Maquinaria (retroex (Alquiler de Maquinaria (retroexcavadora))",'BD Equipo'!B:B,0)),"")</f>
        <v>22</v>
      </c>
      <c r="F1258" s="170">
        <f>IFERROR(D1258*E1258,"")</f>
        <v>0</v>
      </c>
      <c r="G1258" s="120"/>
      <c r="H1258" s="108"/>
      <c r="I1258" s="120"/>
      <c r="J1258" s="108"/>
      <c r="K1258" s="120">
        <v>58.5</v>
      </c>
      <c r="L1258" s="108">
        <v>22</v>
      </c>
      <c r="M1258" s="101" t="s">
        <v>647</v>
      </c>
    </row>
    <row r="1259" spans="1:13" x14ac:dyDescent="0.25">
      <c r="A1259" s="101"/>
      <c r="B1259" s="101" t="s">
        <v>1200</v>
      </c>
      <c r="C1259" s="101" t="s">
        <v>15</v>
      </c>
      <c r="D1259" s="152">
        <f>IFERROR(INDEX('BD Rendimientos'!G:G,MATCH("16.01.03|Alquiler vibrador|Uni.|equipo",'BD Rendimientos'!L:L,0)),"")</f>
        <v>0</v>
      </c>
      <c r="E1259" s="161">
        <f>IFERROR(INDEX('BD Equipo'!D:D,MATCH("Alquiler vibrador",'BD Equipo'!B:B,0)),"")</f>
        <v>17.86000000000001</v>
      </c>
      <c r="F1259" s="170">
        <f>IFERROR(D1259*E1259,"")</f>
        <v>0</v>
      </c>
      <c r="G1259" s="120"/>
      <c r="H1259" s="108"/>
      <c r="I1259" s="120"/>
      <c r="J1259" s="108"/>
      <c r="K1259" s="120">
        <v>3</v>
      </c>
      <c r="L1259" s="108">
        <v>17.86</v>
      </c>
      <c r="M1259" s="101" t="s">
        <v>647</v>
      </c>
    </row>
    <row r="1260" spans="1:13" x14ac:dyDescent="0.25">
      <c r="A1260" s="101"/>
      <c r="B1260" s="101" t="s">
        <v>1203</v>
      </c>
      <c r="C1260" s="101" t="s">
        <v>6</v>
      </c>
      <c r="D1260" s="152">
        <f>IFERROR(INDEX('BD Rendimientos'!G:G,MATCH("16.01.03|Bomba Estacionaria|m3|equipo",'BD Rendimientos'!L:L,0)),"")</f>
        <v>0</v>
      </c>
      <c r="E1260" s="161">
        <f>IFERROR(INDEX('BD Equipo'!D:D,MATCH("Bomba Estacionaria",'BD Equipo'!B:B,0)),"")</f>
        <v>8</v>
      </c>
      <c r="F1260" s="170">
        <f>IFERROR(D1260*E1260,"")</f>
        <v>0</v>
      </c>
      <c r="G1260" s="120"/>
      <c r="H1260" s="108"/>
      <c r="I1260" s="120"/>
      <c r="J1260" s="108"/>
      <c r="K1260" s="120">
        <v>86</v>
      </c>
      <c r="L1260" s="108">
        <v>8</v>
      </c>
      <c r="M1260" s="101" t="s">
        <v>647</v>
      </c>
    </row>
    <row r="1261" spans="1:13" ht="16.5" thickBot="1" x14ac:dyDescent="0.3">
      <c r="A1261" s="183"/>
      <c r="B1261" s="183" t="s">
        <v>645</v>
      </c>
      <c r="C1261" s="183" t="s">
        <v>88</v>
      </c>
      <c r="D1261" s="184"/>
      <c r="E1261" s="185"/>
      <c r="F1261" s="186">
        <f>SUM(F1224,F1225,F1226,F1227,F1228,F1229,F1230,F1231,F1232,F1233,F1234,F1235,F1236,F1237,F1238,F1239,F1240,F1241,F1242,F1243,F1244,F1245,F1246,F1247,F1248,F1249,F1250,F1251,F1252,F1253,F1254,F1256,F1258,F1259,F1260)</f>
        <v>0</v>
      </c>
      <c r="G1261" s="187"/>
      <c r="H1261" s="188"/>
      <c r="I1261" s="187"/>
      <c r="J1261" s="188"/>
      <c r="K1261" s="187"/>
      <c r="L1261" s="188">
        <v>12906.91</v>
      </c>
      <c r="M1261" s="183" t="s">
        <v>646</v>
      </c>
    </row>
    <row r="1262" spans="1:13" ht="15.75" thickTop="1" x14ac:dyDescent="0.25">
      <c r="D1262" s="150"/>
      <c r="E1262" s="159"/>
      <c r="F1262" s="168"/>
      <c r="G1262" s="118"/>
      <c r="H1262" s="106"/>
      <c r="I1262" s="118"/>
      <c r="J1262" s="106"/>
      <c r="K1262" s="118"/>
      <c r="L1262" s="106"/>
    </row>
  </sheetData>
  <mergeCells count="51">
    <mergeCell ref="A500:M500"/>
    <mergeCell ref="A408:M408"/>
    <mergeCell ref="A431:M431"/>
    <mergeCell ref="A449:M449"/>
    <mergeCell ref="A469:M469"/>
    <mergeCell ref="A484:M484"/>
    <mergeCell ref="A490:M490"/>
    <mergeCell ref="A324:M324"/>
    <mergeCell ref="A334:M334"/>
    <mergeCell ref="A345:M345"/>
    <mergeCell ref="A357:M357"/>
    <mergeCell ref="A374:M374"/>
    <mergeCell ref="A390:M390"/>
    <mergeCell ref="A240:M240"/>
    <mergeCell ref="A252:M252"/>
    <mergeCell ref="A265:M265"/>
    <mergeCell ref="A273:M273"/>
    <mergeCell ref="A285:M285"/>
    <mergeCell ref="A316:M316"/>
    <mergeCell ref="A167:M167"/>
    <mergeCell ref="A177:M177"/>
    <mergeCell ref="A190:M190"/>
    <mergeCell ref="A202:M202"/>
    <mergeCell ref="A210:M210"/>
    <mergeCell ref="A225:M225"/>
    <mergeCell ref="A997:M997"/>
    <mergeCell ref="A1015:M1015"/>
    <mergeCell ref="A1183:M1183"/>
    <mergeCell ref="A99:M99"/>
    <mergeCell ref="A105:M105"/>
    <mergeCell ref="A111:M111"/>
    <mergeCell ref="A117:M117"/>
    <mergeCell ref="A123:M123"/>
    <mergeCell ref="A131:M131"/>
    <mergeCell ref="A137:M137"/>
    <mergeCell ref="A506:M506"/>
    <mergeCell ref="A560:M560"/>
    <mergeCell ref="A769:M769"/>
    <mergeCell ref="A850:M850"/>
    <mergeCell ref="A871:M871"/>
    <mergeCell ref="A886:M886"/>
    <mergeCell ref="A1:M1"/>
    <mergeCell ref="A2:M2"/>
    <mergeCell ref="A3:M3"/>
    <mergeCell ref="A5:M5"/>
    <mergeCell ref="A98:M98"/>
    <mergeCell ref="A189:M189"/>
    <mergeCell ref="A143:M143"/>
    <mergeCell ref="A149:M149"/>
    <mergeCell ref="A155:M155"/>
    <mergeCell ref="A159:M1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9BFB-4543-44B7-B7B5-CB6825D38B63}">
  <dimension ref="A1:J122"/>
  <sheetViews>
    <sheetView topLeftCell="G1" workbookViewId="0">
      <pane ySplit="4" topLeftCell="A5" activePane="bottomLeft" state="frozen"/>
      <selection pane="bottomLeft" activeCell="R12" sqref="R12"/>
    </sheetView>
  </sheetViews>
  <sheetFormatPr baseColWidth="10" defaultRowHeight="15" x14ac:dyDescent="0.25"/>
  <cols>
    <col min="1" max="1" width="15.28515625" customWidth="1"/>
    <col min="2" max="2" width="64.7109375" customWidth="1"/>
    <col min="3" max="3" width="9.5703125" customWidth="1"/>
    <col min="4" max="7" width="18.140625" customWidth="1"/>
    <col min="8" max="8" width="15.28515625" customWidth="1"/>
    <col min="9" max="9" width="18.140625" customWidth="1"/>
    <col min="10" max="10" width="38.140625" customWidth="1"/>
  </cols>
  <sheetData>
    <row r="1" spans="1:10" ht="21" x14ac:dyDescent="0.35">
      <c r="A1" s="92" t="s">
        <v>669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25">
      <c r="A2" s="93" t="s">
        <v>670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x14ac:dyDescent="0.25">
      <c r="A4" s="125" t="s">
        <v>671</v>
      </c>
      <c r="B4" s="125" t="s">
        <v>672</v>
      </c>
      <c r="C4" s="125" t="s">
        <v>617</v>
      </c>
      <c r="D4" s="125" t="s">
        <v>673</v>
      </c>
      <c r="E4" s="125" t="s">
        <v>674</v>
      </c>
      <c r="F4" s="125" t="s">
        <v>675</v>
      </c>
      <c r="G4" s="131" t="s">
        <v>676</v>
      </c>
      <c r="H4" s="125" t="s">
        <v>677</v>
      </c>
      <c r="I4" s="125" t="s">
        <v>678</v>
      </c>
      <c r="J4" s="125" t="s">
        <v>679</v>
      </c>
    </row>
    <row r="5" spans="1:10" x14ac:dyDescent="0.25">
      <c r="A5" s="126" t="s">
        <v>495</v>
      </c>
      <c r="B5" s="126"/>
      <c r="C5" s="126"/>
      <c r="D5" s="130"/>
      <c r="E5" s="130"/>
      <c r="F5" s="130"/>
      <c r="G5" s="132"/>
      <c r="H5" s="126"/>
      <c r="I5" s="126"/>
      <c r="J5" s="126"/>
    </row>
    <row r="6" spans="1:10" x14ac:dyDescent="0.25">
      <c r="A6" s="102" t="s">
        <v>494</v>
      </c>
      <c r="B6" s="102" t="s">
        <v>493</v>
      </c>
      <c r="C6" s="102" t="s">
        <v>88</v>
      </c>
      <c r="D6" s="114">
        <v>0.73757644672546796</v>
      </c>
      <c r="E6" s="114">
        <v>0.48171490506202103</v>
      </c>
      <c r="F6" s="114">
        <v>0.12609280430396799</v>
      </c>
      <c r="G6" s="133">
        <f>'APU Estándar'!F10</f>
        <v>160</v>
      </c>
      <c r="H6" s="127">
        <v>46084</v>
      </c>
      <c r="I6" s="128">
        <v>4.8499999999999996</v>
      </c>
      <c r="J6" s="102" t="s">
        <v>680</v>
      </c>
    </row>
    <row r="7" spans="1:10" x14ac:dyDescent="0.25">
      <c r="A7" s="102" t="s">
        <v>491</v>
      </c>
      <c r="B7" s="102" t="s">
        <v>490</v>
      </c>
      <c r="C7" s="102" t="s">
        <v>130</v>
      </c>
      <c r="D7" s="114">
        <v>1.4155222963213401</v>
      </c>
      <c r="E7" s="114">
        <v>1.1585612781502099</v>
      </c>
      <c r="F7" s="114">
        <v>0.97282132649630104</v>
      </c>
      <c r="G7" s="133">
        <f>'APU Estándar'!F32</f>
        <v>1.5074792678751896</v>
      </c>
      <c r="H7" s="127">
        <v>46084</v>
      </c>
      <c r="I7" s="128">
        <v>0.46</v>
      </c>
      <c r="J7" s="102" t="s">
        <v>680</v>
      </c>
    </row>
    <row r="8" spans="1:10" x14ac:dyDescent="0.25">
      <c r="A8" t="s">
        <v>484</v>
      </c>
      <c r="B8" t="s">
        <v>483</v>
      </c>
      <c r="C8" t="s">
        <v>88</v>
      </c>
      <c r="D8" s="112">
        <v>0.92197055840683495</v>
      </c>
      <c r="E8" s="112">
        <v>1.20428726265505</v>
      </c>
      <c r="F8" s="112">
        <v>0.31523201075991902</v>
      </c>
      <c r="G8" s="134">
        <f>'APU Estándar'!F38</f>
        <v>300</v>
      </c>
      <c r="H8" t="s">
        <v>681</v>
      </c>
      <c r="I8" s="76">
        <v>2.82</v>
      </c>
    </row>
    <row r="9" spans="1:10" x14ac:dyDescent="0.25">
      <c r="A9" t="s">
        <v>482</v>
      </c>
      <c r="B9" t="s">
        <v>481</v>
      </c>
      <c r="C9" t="s">
        <v>88</v>
      </c>
      <c r="D9" s="112">
        <v>300</v>
      </c>
      <c r="E9" s="112">
        <v>300</v>
      </c>
      <c r="F9" s="112">
        <v>300</v>
      </c>
      <c r="G9" s="134">
        <f>'APU Estándar'!F43</f>
        <v>300</v>
      </c>
      <c r="H9" t="s">
        <v>681</v>
      </c>
      <c r="I9" s="76">
        <v>0</v>
      </c>
    </row>
    <row r="10" spans="1:10" x14ac:dyDescent="0.25">
      <c r="A10" s="102" t="s">
        <v>480</v>
      </c>
      <c r="B10" s="102" t="s">
        <v>479</v>
      </c>
      <c r="C10" s="102" t="s">
        <v>88</v>
      </c>
      <c r="D10" s="114">
        <v>3.09463413135007</v>
      </c>
      <c r="E10" s="114">
        <v>2.4544618843081398</v>
      </c>
      <c r="F10" s="114">
        <v>0.93983156102891696</v>
      </c>
      <c r="G10" s="133">
        <f>'APU Estándar'!F75</f>
        <v>1282.3634863252407</v>
      </c>
      <c r="H10" s="127">
        <v>46084</v>
      </c>
      <c r="I10" s="128">
        <v>2.29</v>
      </c>
      <c r="J10" s="102" t="s">
        <v>680</v>
      </c>
    </row>
    <row r="11" spans="1:10" x14ac:dyDescent="0.25">
      <c r="A11" s="102" t="s">
        <v>458</v>
      </c>
      <c r="B11" s="102" t="s">
        <v>457</v>
      </c>
      <c r="C11" s="102" t="s">
        <v>3</v>
      </c>
      <c r="D11" s="114">
        <v>4.4366229029905204</v>
      </c>
      <c r="E11" s="114">
        <v>3.5902645108412199</v>
      </c>
      <c r="F11" s="114">
        <v>3.0924760383386598</v>
      </c>
      <c r="G11" s="133">
        <f>'APU Estándar'!F91</f>
        <v>26.061315763976541</v>
      </c>
      <c r="H11" s="127">
        <v>46084</v>
      </c>
      <c r="I11" s="128">
        <v>0.43</v>
      </c>
      <c r="J11" s="102" t="s">
        <v>680</v>
      </c>
    </row>
    <row r="12" spans="1:10" x14ac:dyDescent="0.25">
      <c r="A12" s="101" t="s">
        <v>452</v>
      </c>
      <c r="B12" s="101" t="s">
        <v>451</v>
      </c>
      <c r="C12" s="101" t="s">
        <v>88</v>
      </c>
      <c r="D12" s="113"/>
      <c r="E12" s="113"/>
      <c r="F12" s="113">
        <v>89.29</v>
      </c>
      <c r="G12" s="135">
        <f>'APU Estándar'!F96</f>
        <v>89.29</v>
      </c>
      <c r="H12" s="129">
        <v>46025</v>
      </c>
      <c r="I12" s="101"/>
      <c r="J12" s="101" t="s">
        <v>682</v>
      </c>
    </row>
    <row r="13" spans="1:10" x14ac:dyDescent="0.25">
      <c r="A13" s="126" t="s">
        <v>449</v>
      </c>
      <c r="B13" s="126"/>
      <c r="C13" s="126"/>
      <c r="D13" s="130"/>
      <c r="E13" s="130"/>
      <c r="F13" s="130"/>
      <c r="G13" s="132"/>
      <c r="H13" s="126"/>
      <c r="I13" s="126"/>
      <c r="J13" s="126"/>
    </row>
    <row r="14" spans="1:10" x14ac:dyDescent="0.25">
      <c r="A14" t="s">
        <v>447</v>
      </c>
      <c r="B14" t="s">
        <v>446</v>
      </c>
      <c r="C14" t="s">
        <v>6</v>
      </c>
      <c r="D14" s="112"/>
      <c r="E14" s="112">
        <v>1.25</v>
      </c>
      <c r="F14" s="112">
        <v>1.07</v>
      </c>
      <c r="G14" s="134">
        <f>'APU Estándar'!F103</f>
        <v>1.1600000000000001</v>
      </c>
      <c r="H14" s="124">
        <v>46056</v>
      </c>
      <c r="I14" s="76">
        <v>0.17</v>
      </c>
    </row>
    <row r="15" spans="1:10" x14ac:dyDescent="0.25">
      <c r="A15" s="102" t="s">
        <v>444</v>
      </c>
      <c r="B15" s="102" t="s">
        <v>443</v>
      </c>
      <c r="C15" s="102" t="s">
        <v>6</v>
      </c>
      <c r="D15" s="114"/>
      <c r="E15" s="114">
        <v>36.78</v>
      </c>
      <c r="F15" s="114">
        <v>3.79</v>
      </c>
      <c r="G15" s="133">
        <f>'APU Estándar'!F109</f>
        <v>20.285</v>
      </c>
      <c r="H15" s="127">
        <v>46056</v>
      </c>
      <c r="I15" s="128">
        <v>8.6999999999999993</v>
      </c>
      <c r="J15" s="102" t="s">
        <v>680</v>
      </c>
    </row>
    <row r="16" spans="1:10" x14ac:dyDescent="0.25">
      <c r="A16" t="s">
        <v>441</v>
      </c>
      <c r="B16" t="s">
        <v>440</v>
      </c>
      <c r="C16" t="s">
        <v>6</v>
      </c>
      <c r="D16" s="112">
        <v>3</v>
      </c>
      <c r="E16" s="112">
        <v>3</v>
      </c>
      <c r="F16" s="112">
        <v>2.65</v>
      </c>
      <c r="G16" s="134">
        <f>'APU Estándar'!F115</f>
        <v>2.8833333333333333</v>
      </c>
      <c r="H16" s="124">
        <v>46084</v>
      </c>
      <c r="I16" s="76">
        <v>0.13</v>
      </c>
    </row>
    <row r="17" spans="1:10" x14ac:dyDescent="0.25">
      <c r="A17" t="s">
        <v>438</v>
      </c>
      <c r="B17" t="s">
        <v>437</v>
      </c>
      <c r="C17" t="s">
        <v>130</v>
      </c>
      <c r="D17" s="112">
        <v>0.65</v>
      </c>
      <c r="E17" s="112">
        <v>0.65</v>
      </c>
      <c r="F17" s="112">
        <v>0.57999999999999996</v>
      </c>
      <c r="G17" s="134">
        <f>'APU Estándar'!F121</f>
        <v>0.62666666666666659</v>
      </c>
      <c r="H17" s="124">
        <v>46084</v>
      </c>
      <c r="I17" s="76">
        <v>0.12</v>
      </c>
    </row>
    <row r="18" spans="1:10" x14ac:dyDescent="0.25">
      <c r="A18" s="102" t="s">
        <v>435</v>
      </c>
      <c r="B18" s="102" t="s">
        <v>434</v>
      </c>
      <c r="C18" s="102" t="s">
        <v>130</v>
      </c>
      <c r="D18" s="114">
        <v>0.7</v>
      </c>
      <c r="E18" s="114">
        <v>0.7</v>
      </c>
      <c r="F18" s="114">
        <v>0.74052311659605796</v>
      </c>
      <c r="G18" s="133">
        <f>'APU Estándar'!F129</f>
        <v>0.74052311659605807</v>
      </c>
      <c r="H18" s="127">
        <v>46084</v>
      </c>
      <c r="I18" s="128">
        <v>0.06</v>
      </c>
      <c r="J18" s="102" t="s">
        <v>680</v>
      </c>
    </row>
    <row r="19" spans="1:10" x14ac:dyDescent="0.25">
      <c r="A19" s="101" t="s">
        <v>431</v>
      </c>
      <c r="B19" s="101" t="s">
        <v>430</v>
      </c>
      <c r="C19" s="101" t="s">
        <v>6</v>
      </c>
      <c r="D19" s="113">
        <v>3.92</v>
      </c>
      <c r="E19" s="113"/>
      <c r="F19" s="113"/>
      <c r="G19" s="135">
        <f>'APU Estándar'!F135</f>
        <v>3.92</v>
      </c>
      <c r="H19" s="129">
        <v>46025</v>
      </c>
      <c r="I19" s="101"/>
      <c r="J19" s="101" t="s">
        <v>682</v>
      </c>
    </row>
    <row r="20" spans="1:10" x14ac:dyDescent="0.25">
      <c r="A20" t="s">
        <v>428</v>
      </c>
      <c r="B20" t="s">
        <v>427</v>
      </c>
      <c r="C20" t="s">
        <v>88</v>
      </c>
      <c r="D20" s="112">
        <v>350</v>
      </c>
      <c r="E20" s="112">
        <v>350</v>
      </c>
      <c r="F20" s="112">
        <v>500</v>
      </c>
      <c r="G20" s="134">
        <f>'APU Estándar'!F141</f>
        <v>400</v>
      </c>
      <c r="H20" s="124">
        <v>46084</v>
      </c>
      <c r="I20" s="76">
        <v>0.43</v>
      </c>
    </row>
    <row r="21" spans="1:10" x14ac:dyDescent="0.25">
      <c r="A21" t="s">
        <v>425</v>
      </c>
      <c r="B21" t="s">
        <v>424</v>
      </c>
      <c r="C21" t="s">
        <v>3</v>
      </c>
      <c r="D21" s="112"/>
      <c r="E21" s="112">
        <v>3.9</v>
      </c>
      <c r="F21" s="112">
        <v>3.9</v>
      </c>
      <c r="G21" s="134">
        <f>'APU Estándar'!F147</f>
        <v>3.9</v>
      </c>
      <c r="H21" s="124">
        <v>46056</v>
      </c>
      <c r="I21" s="76">
        <v>0</v>
      </c>
    </row>
    <row r="22" spans="1:10" x14ac:dyDescent="0.25">
      <c r="A22" s="101" t="s">
        <v>422</v>
      </c>
      <c r="B22" s="101" t="s">
        <v>421</v>
      </c>
      <c r="C22" s="101" t="s">
        <v>3</v>
      </c>
      <c r="D22" s="113"/>
      <c r="E22" s="113">
        <v>3.9</v>
      </c>
      <c r="F22" s="113"/>
      <c r="G22" s="135">
        <f>'APU Estándar'!F153</f>
        <v>3.9</v>
      </c>
      <c r="H22" s="129">
        <v>46025</v>
      </c>
      <c r="I22" s="101"/>
      <c r="J22" s="101" t="s">
        <v>682</v>
      </c>
    </row>
    <row r="23" spans="1:10" x14ac:dyDescent="0.25">
      <c r="A23" t="s">
        <v>419</v>
      </c>
      <c r="B23" t="s">
        <v>418</v>
      </c>
      <c r="C23" t="s">
        <v>210</v>
      </c>
      <c r="D23" s="112"/>
      <c r="E23" s="112"/>
      <c r="F23" s="112"/>
      <c r="G23" s="134">
        <f>'APU Estándar'!F157</f>
        <v>0</v>
      </c>
      <c r="H23" t="s">
        <v>681</v>
      </c>
    </row>
    <row r="24" spans="1:10" x14ac:dyDescent="0.25">
      <c r="A24" t="s">
        <v>417</v>
      </c>
      <c r="B24" t="s">
        <v>416</v>
      </c>
      <c r="C24" t="s">
        <v>6</v>
      </c>
      <c r="D24" s="112">
        <v>14.251991641635099</v>
      </c>
      <c r="E24" s="112">
        <v>7.5</v>
      </c>
      <c r="F24" s="112">
        <v>11.365148585184899</v>
      </c>
      <c r="G24" s="134">
        <f>'APU Estándar'!F165</f>
        <v>12.641903446743331</v>
      </c>
      <c r="H24" s="124">
        <v>46084</v>
      </c>
      <c r="I24" s="76">
        <v>0.9</v>
      </c>
    </row>
    <row r="25" spans="1:10" x14ac:dyDescent="0.25">
      <c r="A25" s="102" t="s">
        <v>414</v>
      </c>
      <c r="B25" s="102" t="s">
        <v>413</v>
      </c>
      <c r="C25" s="102" t="s">
        <v>6</v>
      </c>
      <c r="D25" s="114">
        <v>15.3294190871369</v>
      </c>
      <c r="E25" s="114">
        <v>13.622624113475201</v>
      </c>
      <c r="F25" s="114">
        <v>10.157457205963601</v>
      </c>
      <c r="G25" s="133">
        <f>'APU Estándar'!F175</f>
        <v>13.076101804636087</v>
      </c>
      <c r="H25" s="127">
        <v>46084</v>
      </c>
      <c r="I25" s="128">
        <v>0.51</v>
      </c>
      <c r="J25" s="102" t="s">
        <v>680</v>
      </c>
    </row>
    <row r="26" spans="1:10" x14ac:dyDescent="0.25">
      <c r="A26" s="101" t="s">
        <v>409</v>
      </c>
      <c r="B26" s="101" t="s">
        <v>408</v>
      </c>
      <c r="C26" s="101" t="s">
        <v>130</v>
      </c>
      <c r="D26" s="113"/>
      <c r="E26" s="113"/>
      <c r="F26" s="113">
        <v>3.4999172967863901</v>
      </c>
      <c r="G26" s="135">
        <f>'APU Estándar'!F187</f>
        <v>3.4203636644087374</v>
      </c>
      <c r="H26" s="129">
        <v>46025</v>
      </c>
      <c r="I26" s="101"/>
      <c r="J26" s="101" t="s">
        <v>682</v>
      </c>
    </row>
    <row r="27" spans="1:10" x14ac:dyDescent="0.25">
      <c r="A27" s="126" t="s">
        <v>405</v>
      </c>
      <c r="B27" s="126"/>
      <c r="C27" s="126"/>
      <c r="D27" s="130"/>
      <c r="E27" s="130"/>
      <c r="F27" s="130"/>
      <c r="G27" s="132"/>
      <c r="H27" s="126"/>
      <c r="I27" s="126"/>
      <c r="J27" s="126"/>
    </row>
    <row r="28" spans="1:10" x14ac:dyDescent="0.25">
      <c r="A28" s="102" t="s">
        <v>403</v>
      </c>
      <c r="B28" s="102" t="s">
        <v>402</v>
      </c>
      <c r="C28" s="102" t="s">
        <v>130</v>
      </c>
      <c r="D28" s="114">
        <v>3.22806920134069</v>
      </c>
      <c r="E28" s="114">
        <v>3.0403731807438699</v>
      </c>
      <c r="F28" s="114">
        <v>2.7852165745008199</v>
      </c>
      <c r="G28" s="133">
        <f>'APU Estándar'!F200</f>
        <v>3.0490067853208278</v>
      </c>
      <c r="H28" s="127">
        <v>46084</v>
      </c>
      <c r="I28" s="128">
        <v>0.16</v>
      </c>
      <c r="J28" s="102" t="s">
        <v>680</v>
      </c>
    </row>
    <row r="29" spans="1:10" x14ac:dyDescent="0.25">
      <c r="A29" s="101" t="s">
        <v>399</v>
      </c>
      <c r="B29" s="101" t="s">
        <v>398</v>
      </c>
      <c r="C29" s="101" t="s">
        <v>30</v>
      </c>
      <c r="D29" s="113">
        <v>1.38751054852321</v>
      </c>
      <c r="E29" s="113"/>
      <c r="F29" s="113"/>
      <c r="G29" s="135">
        <f>'APU Estándar'!F208</f>
        <v>1.3875105485232067</v>
      </c>
      <c r="H29" s="129">
        <v>46025</v>
      </c>
      <c r="I29" s="101"/>
      <c r="J29" s="101" t="s">
        <v>682</v>
      </c>
    </row>
    <row r="30" spans="1:10" x14ac:dyDescent="0.25">
      <c r="A30" s="102" t="s">
        <v>395</v>
      </c>
      <c r="B30" s="102" t="s">
        <v>394</v>
      </c>
      <c r="C30" s="102" t="s">
        <v>30</v>
      </c>
      <c r="D30" s="114">
        <v>1.3946657592059799</v>
      </c>
      <c r="E30" s="114">
        <v>1.18177456826011</v>
      </c>
      <c r="F30" s="114">
        <v>1.12649661774475</v>
      </c>
      <c r="G30" s="133">
        <f>'APU Estándar'!F223</f>
        <v>1.2456832864933667</v>
      </c>
      <c r="H30" s="127">
        <v>46084</v>
      </c>
      <c r="I30" s="128">
        <v>0.24</v>
      </c>
      <c r="J30" s="102" t="s">
        <v>680</v>
      </c>
    </row>
    <row r="31" spans="1:10" x14ac:dyDescent="0.25">
      <c r="A31" s="102" t="s">
        <v>392</v>
      </c>
      <c r="B31" s="102" t="s">
        <v>391</v>
      </c>
      <c r="C31" s="102" t="s">
        <v>30</v>
      </c>
      <c r="D31" s="114">
        <v>1.55258901629451</v>
      </c>
      <c r="E31" s="114">
        <v>1.4692080173620701</v>
      </c>
      <c r="F31" s="114">
        <v>1.82927114675164</v>
      </c>
      <c r="G31" s="133">
        <f>'APU Estándar'!F238</f>
        <v>1.6140944473511261</v>
      </c>
      <c r="H31" s="127">
        <v>46084</v>
      </c>
      <c r="I31" s="128">
        <v>0.25</v>
      </c>
      <c r="J31" s="102" t="s">
        <v>680</v>
      </c>
    </row>
    <row r="32" spans="1:10" x14ac:dyDescent="0.25">
      <c r="A32" s="102" t="s">
        <v>389</v>
      </c>
      <c r="B32" s="102" t="s">
        <v>388</v>
      </c>
      <c r="C32" s="102" t="s">
        <v>30</v>
      </c>
      <c r="D32" s="114">
        <v>1.2175225340309901</v>
      </c>
      <c r="E32" s="114">
        <v>1.24725784742748</v>
      </c>
      <c r="F32" s="114">
        <v>0.41154082210618598</v>
      </c>
      <c r="G32" s="133">
        <f>'APU Estándar'!F250</f>
        <v>1.2229675581015524</v>
      </c>
      <c r="H32" s="127">
        <v>46084</v>
      </c>
      <c r="I32" s="128">
        <v>2.0299999999999998</v>
      </c>
      <c r="J32" s="102" t="s">
        <v>680</v>
      </c>
    </row>
    <row r="33" spans="1:10" x14ac:dyDescent="0.25">
      <c r="A33" s="102" t="s">
        <v>385</v>
      </c>
      <c r="B33" s="102" t="s">
        <v>384</v>
      </c>
      <c r="C33" s="102" t="s">
        <v>30</v>
      </c>
      <c r="D33" s="114">
        <v>1.4141139599733501</v>
      </c>
      <c r="E33" s="114">
        <v>1.52869736606343</v>
      </c>
      <c r="F33" s="114">
        <v>1.92085455723853</v>
      </c>
      <c r="G33" s="133">
        <f>'APU Estándar'!F263</f>
        <v>1.6492449482352094</v>
      </c>
      <c r="H33" s="127">
        <v>46084</v>
      </c>
      <c r="I33" s="128">
        <v>0.36</v>
      </c>
      <c r="J33" s="102" t="s">
        <v>680</v>
      </c>
    </row>
    <row r="34" spans="1:10" x14ac:dyDescent="0.25">
      <c r="A34" t="s">
        <v>379</v>
      </c>
      <c r="B34" t="s">
        <v>378</v>
      </c>
      <c r="C34" t="s">
        <v>30</v>
      </c>
      <c r="D34" s="112"/>
      <c r="E34" s="112">
        <v>1.40834576794443</v>
      </c>
      <c r="F34" s="112">
        <v>1.42402068735402</v>
      </c>
      <c r="G34" s="134">
        <f>'APU Estándar'!F271</f>
        <v>1.4161791362153682</v>
      </c>
      <c r="H34" s="124">
        <v>46056</v>
      </c>
      <c r="I34" s="76">
        <v>0.01</v>
      </c>
    </row>
    <row r="35" spans="1:10" x14ac:dyDescent="0.25">
      <c r="A35" s="102" t="s">
        <v>374</v>
      </c>
      <c r="B35" s="102" t="s">
        <v>373</v>
      </c>
      <c r="C35" s="102" t="s">
        <v>130</v>
      </c>
      <c r="D35" s="114">
        <v>0.84771182273579404</v>
      </c>
      <c r="E35" s="114">
        <v>0.80298194862300398</v>
      </c>
      <c r="F35" s="114">
        <v>0.53723370695551398</v>
      </c>
      <c r="G35" s="133">
        <f>'APU Estándar'!F283</f>
        <v>1.1723939408111979</v>
      </c>
      <c r="H35" s="127">
        <v>46084</v>
      </c>
      <c r="I35" s="128">
        <v>0.57999999999999996</v>
      </c>
      <c r="J35" s="102" t="s">
        <v>680</v>
      </c>
    </row>
    <row r="36" spans="1:10" x14ac:dyDescent="0.25">
      <c r="A36" s="102" t="s">
        <v>368</v>
      </c>
      <c r="B36" s="102" t="s">
        <v>367</v>
      </c>
      <c r="C36" s="102" t="s">
        <v>130</v>
      </c>
      <c r="D36" s="114">
        <v>17.0600771382034</v>
      </c>
      <c r="E36" s="114">
        <v>19.162520249942101</v>
      </c>
      <c r="F36" s="114">
        <v>17.8176649877052</v>
      </c>
      <c r="G36" s="133">
        <f>'APU Estándar'!F314</f>
        <v>19.64849129941117</v>
      </c>
      <c r="H36" s="127">
        <v>46084</v>
      </c>
      <c r="I36" s="128">
        <v>0.12</v>
      </c>
      <c r="J36" s="102" t="s">
        <v>680</v>
      </c>
    </row>
    <row r="37" spans="1:10" x14ac:dyDescent="0.25">
      <c r="A37" s="101" t="s">
        <v>355</v>
      </c>
      <c r="B37" s="101" t="s">
        <v>354</v>
      </c>
      <c r="C37" s="101" t="s">
        <v>58</v>
      </c>
      <c r="D37" s="113"/>
      <c r="E37" s="113">
        <v>7.03475177304965</v>
      </c>
      <c r="F37" s="113"/>
      <c r="G37" s="135">
        <f>'APU Estándar'!F322</f>
        <v>6.775354609929078</v>
      </c>
      <c r="H37" s="129">
        <v>46025</v>
      </c>
      <c r="I37" s="101"/>
      <c r="J37" s="101" t="s">
        <v>682</v>
      </c>
    </row>
    <row r="38" spans="1:10" x14ac:dyDescent="0.25">
      <c r="A38" s="102" t="s">
        <v>351</v>
      </c>
      <c r="B38" s="102" t="s">
        <v>350</v>
      </c>
      <c r="C38" s="102" t="s">
        <v>6</v>
      </c>
      <c r="D38" s="114">
        <v>82.378475336322893</v>
      </c>
      <c r="E38" s="114">
        <v>57.001845018450197</v>
      </c>
      <c r="F38" s="114">
        <v>29.869281045751599</v>
      </c>
      <c r="G38" s="133">
        <f>'APU Estándar'!F332</f>
        <v>60.760625986413494</v>
      </c>
      <c r="H38" s="127">
        <v>46084</v>
      </c>
      <c r="I38" s="128">
        <v>1.76</v>
      </c>
      <c r="J38" s="102" t="s">
        <v>680</v>
      </c>
    </row>
    <row r="39" spans="1:10" x14ac:dyDescent="0.25">
      <c r="A39" t="s">
        <v>347</v>
      </c>
      <c r="B39" t="s">
        <v>346</v>
      </c>
      <c r="C39" t="s">
        <v>6</v>
      </c>
      <c r="D39" s="112">
        <v>113.623636363636</v>
      </c>
      <c r="E39" s="112">
        <v>113.786</v>
      </c>
      <c r="F39" s="112">
        <v>112.79381746666699</v>
      </c>
      <c r="G39" s="134">
        <f>'APU Estándar'!F343</f>
        <v>113.40115127676768</v>
      </c>
      <c r="H39" s="124">
        <v>46084</v>
      </c>
      <c r="I39" s="76">
        <v>0.01</v>
      </c>
    </row>
    <row r="40" spans="1:10" x14ac:dyDescent="0.25">
      <c r="A40" s="102" t="s">
        <v>343</v>
      </c>
      <c r="B40" s="102" t="s">
        <v>342</v>
      </c>
      <c r="C40" s="102" t="s">
        <v>6</v>
      </c>
      <c r="D40" s="114">
        <v>117.591492234976</v>
      </c>
      <c r="E40" s="114">
        <v>34.417333333333303</v>
      </c>
      <c r="F40" s="114">
        <v>112.10638666666701</v>
      </c>
      <c r="G40" s="133">
        <f>'APU Estándar'!F355</f>
        <v>116.40575299972511</v>
      </c>
      <c r="H40" s="127">
        <v>46084</v>
      </c>
      <c r="I40" s="128">
        <v>2.42</v>
      </c>
      <c r="J40" s="102" t="s">
        <v>680</v>
      </c>
    </row>
    <row r="41" spans="1:10" x14ac:dyDescent="0.25">
      <c r="A41" s="102" t="s">
        <v>341</v>
      </c>
      <c r="B41" s="102" t="s">
        <v>340</v>
      </c>
      <c r="C41" s="102" t="s">
        <v>6</v>
      </c>
      <c r="D41" s="114">
        <v>133.15651189127999</v>
      </c>
      <c r="E41" s="114"/>
      <c r="F41" s="114">
        <v>114.099811381132</v>
      </c>
      <c r="G41" s="133">
        <f>'APU Estándar'!F372</f>
        <v>94.736132276383501</v>
      </c>
      <c r="H41" s="127">
        <v>46056</v>
      </c>
      <c r="I41" s="128">
        <v>0.17</v>
      </c>
      <c r="J41" s="102" t="s">
        <v>680</v>
      </c>
    </row>
    <row r="42" spans="1:10" x14ac:dyDescent="0.25">
      <c r="A42" s="102" t="s">
        <v>337</v>
      </c>
      <c r="B42" s="102" t="s">
        <v>336</v>
      </c>
      <c r="C42" s="102" t="s">
        <v>6</v>
      </c>
      <c r="D42" s="114">
        <v>78.033076800000003</v>
      </c>
      <c r="E42" s="114">
        <v>110.222996515679</v>
      </c>
      <c r="F42" s="114">
        <v>139.11428571428601</v>
      </c>
      <c r="G42" s="133">
        <f>'APU Estándar'!F388</f>
        <v>150.20853383999241</v>
      </c>
      <c r="H42" s="127">
        <v>46084</v>
      </c>
      <c r="I42" s="128">
        <v>0.78</v>
      </c>
      <c r="J42" s="102" t="s">
        <v>680</v>
      </c>
    </row>
    <row r="43" spans="1:10" x14ac:dyDescent="0.25">
      <c r="A43" s="102" t="s">
        <v>333</v>
      </c>
      <c r="B43" s="102" t="s">
        <v>332</v>
      </c>
      <c r="C43" s="102" t="s">
        <v>6</v>
      </c>
      <c r="D43" s="114">
        <v>110.73527777777799</v>
      </c>
      <c r="E43" s="114">
        <v>102.10379241517001</v>
      </c>
      <c r="F43" s="114">
        <v>382.37799840000002</v>
      </c>
      <c r="G43" s="133">
        <f>'APU Estándar'!F406</f>
        <v>152.40665414396085</v>
      </c>
      <c r="H43" s="127">
        <v>46084</v>
      </c>
      <c r="I43" s="128">
        <v>2.74</v>
      </c>
      <c r="J43" s="102" t="s">
        <v>680</v>
      </c>
    </row>
    <row r="44" spans="1:10" x14ac:dyDescent="0.25">
      <c r="A44" s="102" t="s">
        <v>327</v>
      </c>
      <c r="B44" s="102" t="s">
        <v>326</v>
      </c>
      <c r="C44" s="102" t="s">
        <v>6</v>
      </c>
      <c r="D44" s="114">
        <v>125.76333333333299</v>
      </c>
      <c r="E44" s="114">
        <v>116.94305263157899</v>
      </c>
      <c r="F44" s="114"/>
      <c r="G44" s="133">
        <f>'APU Estándar'!F429</f>
        <v>126.38390005540926</v>
      </c>
      <c r="H44" s="127">
        <v>46056</v>
      </c>
      <c r="I44" s="128">
        <v>0.08</v>
      </c>
      <c r="J44" s="102" t="s">
        <v>680</v>
      </c>
    </row>
    <row r="45" spans="1:10" x14ac:dyDescent="0.25">
      <c r="A45" s="102" t="s">
        <v>319</v>
      </c>
      <c r="B45" s="102" t="s">
        <v>318</v>
      </c>
      <c r="C45" s="102" t="s">
        <v>6</v>
      </c>
      <c r="D45" s="114">
        <v>90.225789047747497</v>
      </c>
      <c r="E45" s="114">
        <v>93.932389937106905</v>
      </c>
      <c r="F45" s="114">
        <v>115.412744186046</v>
      </c>
      <c r="G45" s="133">
        <f>'APU Estándar'!F447</f>
        <v>103.28923886784328</v>
      </c>
      <c r="H45" s="127">
        <v>46084</v>
      </c>
      <c r="I45" s="128">
        <v>0.28000000000000003</v>
      </c>
      <c r="J45" s="102" t="s">
        <v>680</v>
      </c>
    </row>
    <row r="46" spans="1:10" x14ac:dyDescent="0.25">
      <c r="A46" s="102" t="s">
        <v>314</v>
      </c>
      <c r="B46" s="102" t="s">
        <v>313</v>
      </c>
      <c r="C46" s="102" t="s">
        <v>6</v>
      </c>
      <c r="D46" s="114">
        <v>103.11343978709201</v>
      </c>
      <c r="E46" s="114">
        <v>68.681954152574207</v>
      </c>
      <c r="F46" s="114"/>
      <c r="G46" s="133">
        <f>'APU Estándar'!F467</f>
        <v>90.201550771252755</v>
      </c>
      <c r="H46" s="127">
        <v>46056</v>
      </c>
      <c r="I46" s="128">
        <v>0.5</v>
      </c>
      <c r="J46" s="102" t="s">
        <v>680</v>
      </c>
    </row>
    <row r="47" spans="1:10" x14ac:dyDescent="0.25">
      <c r="A47" s="102" t="s">
        <v>309</v>
      </c>
      <c r="B47" s="102" t="s">
        <v>308</v>
      </c>
      <c r="C47" s="102" t="s">
        <v>3</v>
      </c>
      <c r="D47" s="114">
        <v>6.5793726768517402</v>
      </c>
      <c r="E47" s="114">
        <v>4.25</v>
      </c>
      <c r="F47" s="114"/>
      <c r="G47" s="133">
        <f>'APU Estándar'!F482</f>
        <v>6.5580859282150294</v>
      </c>
      <c r="H47" s="127">
        <v>46056</v>
      </c>
      <c r="I47" s="128">
        <v>0.55000000000000004</v>
      </c>
      <c r="J47" s="102" t="s">
        <v>680</v>
      </c>
    </row>
    <row r="48" spans="1:10" x14ac:dyDescent="0.25">
      <c r="A48" t="s">
        <v>305</v>
      </c>
      <c r="B48" t="s">
        <v>304</v>
      </c>
      <c r="C48" t="s">
        <v>88</v>
      </c>
      <c r="D48" s="112">
        <v>60</v>
      </c>
      <c r="E48" s="112">
        <v>40</v>
      </c>
      <c r="F48" s="112">
        <v>80</v>
      </c>
      <c r="G48" s="134">
        <f>'APU Estándar'!F488</f>
        <v>60</v>
      </c>
      <c r="H48" s="124">
        <v>46084</v>
      </c>
      <c r="I48" s="76">
        <v>1</v>
      </c>
    </row>
    <row r="49" spans="1:10" x14ac:dyDescent="0.25">
      <c r="A49" s="101" t="s">
        <v>302</v>
      </c>
      <c r="B49" s="101" t="s">
        <v>301</v>
      </c>
      <c r="C49" s="101" t="s">
        <v>6</v>
      </c>
      <c r="D49" s="113"/>
      <c r="E49" s="113">
        <v>58.989974937343398</v>
      </c>
      <c r="F49" s="113"/>
      <c r="G49" s="135">
        <f>'APU Estándar'!F498</f>
        <v>59.914443476543291</v>
      </c>
      <c r="H49" s="129">
        <v>46025</v>
      </c>
      <c r="I49" s="101"/>
      <c r="J49" s="101" t="s">
        <v>682</v>
      </c>
    </row>
    <row r="50" spans="1:10" x14ac:dyDescent="0.25">
      <c r="A50" s="101" t="s">
        <v>299</v>
      </c>
      <c r="B50" s="101" t="s">
        <v>298</v>
      </c>
      <c r="C50" s="101" t="s">
        <v>6</v>
      </c>
      <c r="D50" s="113"/>
      <c r="E50" s="113">
        <v>15</v>
      </c>
      <c r="F50" s="113"/>
      <c r="G50" s="135">
        <f>'APU Estándar'!F504</f>
        <v>15</v>
      </c>
      <c r="H50" s="129">
        <v>46025</v>
      </c>
      <c r="I50" s="101"/>
      <c r="J50" s="101" t="s">
        <v>682</v>
      </c>
    </row>
    <row r="51" spans="1:10" x14ac:dyDescent="0.25">
      <c r="A51" s="126" t="s">
        <v>296</v>
      </c>
      <c r="B51" s="126"/>
      <c r="C51" s="126"/>
      <c r="D51" s="130"/>
      <c r="E51" s="130"/>
      <c r="F51" s="130"/>
      <c r="G51" s="132"/>
      <c r="H51" s="126"/>
      <c r="I51" s="126"/>
      <c r="J51" s="126"/>
    </row>
    <row r="52" spans="1:10" x14ac:dyDescent="0.25">
      <c r="A52" t="s">
        <v>295</v>
      </c>
      <c r="B52" t="s">
        <v>294</v>
      </c>
      <c r="C52" t="s">
        <v>130</v>
      </c>
      <c r="D52" s="112">
        <v>13.89</v>
      </c>
      <c r="E52" s="112">
        <v>9.93</v>
      </c>
      <c r="F52" s="112">
        <v>9.93</v>
      </c>
      <c r="G52" s="134">
        <f>'APU Estándar'!F510</f>
        <v>11.25</v>
      </c>
      <c r="H52" s="124">
        <v>46084</v>
      </c>
      <c r="I52" s="76">
        <v>0.4</v>
      </c>
    </row>
    <row r="53" spans="1:10" x14ac:dyDescent="0.25">
      <c r="A53" s="101" t="s">
        <v>292</v>
      </c>
      <c r="B53" s="101" t="s">
        <v>291</v>
      </c>
      <c r="C53" s="101" t="s">
        <v>130</v>
      </c>
      <c r="D53" s="113">
        <v>25.09</v>
      </c>
      <c r="E53" s="113"/>
      <c r="F53" s="113"/>
      <c r="G53" s="135">
        <f>'APU Estándar'!F515</f>
        <v>25.09</v>
      </c>
      <c r="H53" s="129">
        <v>46025</v>
      </c>
      <c r="I53" s="101"/>
      <c r="J53" s="101" t="s">
        <v>682</v>
      </c>
    </row>
    <row r="54" spans="1:10" x14ac:dyDescent="0.25">
      <c r="A54" s="102" t="s">
        <v>289</v>
      </c>
      <c r="B54" s="102" t="s">
        <v>288</v>
      </c>
      <c r="C54" s="102" t="s">
        <v>130</v>
      </c>
      <c r="D54" s="114">
        <v>25.87</v>
      </c>
      <c r="E54" s="114">
        <v>11.166285412634201</v>
      </c>
      <c r="F54" s="114">
        <v>11.5</v>
      </c>
      <c r="G54" s="133">
        <f>'APU Estándar'!F523</f>
        <v>11.666107926768623</v>
      </c>
      <c r="H54" s="127">
        <v>46084</v>
      </c>
      <c r="I54" s="128">
        <v>1.32</v>
      </c>
      <c r="J54" s="102" t="s">
        <v>680</v>
      </c>
    </row>
    <row r="55" spans="1:10" x14ac:dyDescent="0.25">
      <c r="A55" s="101" t="s">
        <v>506</v>
      </c>
      <c r="B55" s="101" t="s">
        <v>286</v>
      </c>
      <c r="C55" s="101" t="s">
        <v>130</v>
      </c>
      <c r="D55" s="113"/>
      <c r="E55" s="113">
        <v>11.5</v>
      </c>
      <c r="F55" s="113"/>
      <c r="G55" s="135">
        <f>'APU Estándar'!F528</f>
        <v>12.565000000000001</v>
      </c>
      <c r="H55" s="129">
        <v>46025</v>
      </c>
      <c r="I55" s="101"/>
      <c r="J55" s="101" t="s">
        <v>682</v>
      </c>
    </row>
    <row r="56" spans="1:10" x14ac:dyDescent="0.25">
      <c r="A56" t="s">
        <v>284</v>
      </c>
      <c r="B56" t="s">
        <v>283</v>
      </c>
      <c r="C56" t="s">
        <v>3</v>
      </c>
      <c r="D56" s="112">
        <v>3.85</v>
      </c>
      <c r="E56" s="112">
        <v>3.88</v>
      </c>
      <c r="F56" s="112">
        <v>3.88</v>
      </c>
      <c r="G56" s="134">
        <f>'APU Estándar'!F533</f>
        <v>3.8699999999999997</v>
      </c>
      <c r="H56" s="124">
        <v>46084</v>
      </c>
      <c r="I56" s="76">
        <v>0.01</v>
      </c>
    </row>
    <row r="57" spans="1:10" x14ac:dyDescent="0.25">
      <c r="A57" t="s">
        <v>282</v>
      </c>
      <c r="B57" t="s">
        <v>281</v>
      </c>
      <c r="C57" t="s">
        <v>130</v>
      </c>
      <c r="D57" s="112">
        <v>12.77</v>
      </c>
      <c r="E57" s="112"/>
      <c r="F57" s="112">
        <v>9.8000000000000007</v>
      </c>
      <c r="G57" s="134">
        <f>'APU Estándar'!F538</f>
        <v>11.285</v>
      </c>
      <c r="H57" s="124">
        <v>46056</v>
      </c>
      <c r="I57" s="76">
        <v>0.3</v>
      </c>
    </row>
    <row r="58" spans="1:10" x14ac:dyDescent="0.25">
      <c r="A58" t="s">
        <v>279</v>
      </c>
      <c r="B58" t="s">
        <v>278</v>
      </c>
      <c r="C58" t="s">
        <v>130</v>
      </c>
      <c r="D58" s="112">
        <v>1.9</v>
      </c>
      <c r="E58" s="112">
        <v>1.36</v>
      </c>
      <c r="F58" s="112">
        <v>1.36</v>
      </c>
      <c r="G58" s="134">
        <f>'APU Estándar'!F543</f>
        <v>1.54</v>
      </c>
      <c r="H58" s="124">
        <v>46084</v>
      </c>
      <c r="I58" s="76">
        <v>0.4</v>
      </c>
    </row>
    <row r="59" spans="1:10" x14ac:dyDescent="0.25">
      <c r="A59" s="102" t="s">
        <v>276</v>
      </c>
      <c r="B59" s="102" t="s">
        <v>275</v>
      </c>
      <c r="C59" s="102" t="s">
        <v>3</v>
      </c>
      <c r="D59" s="114">
        <v>6.7875215534922004</v>
      </c>
      <c r="E59" s="114">
        <v>34.416761904761898</v>
      </c>
      <c r="F59" s="114">
        <v>6.5</v>
      </c>
      <c r="G59" s="133">
        <f>'APU Estándar'!F558</f>
        <v>31.842388634533688</v>
      </c>
      <c r="H59" s="127">
        <v>46084</v>
      </c>
      <c r="I59" s="128">
        <v>4.29</v>
      </c>
      <c r="J59" s="102" t="s">
        <v>680</v>
      </c>
    </row>
    <row r="60" spans="1:10" x14ac:dyDescent="0.25">
      <c r="A60" s="126" t="s">
        <v>272</v>
      </c>
      <c r="B60" s="126"/>
      <c r="C60" s="126"/>
      <c r="D60" s="130"/>
      <c r="E60" s="130"/>
      <c r="F60" s="130"/>
      <c r="G60" s="132"/>
      <c r="H60" s="126"/>
      <c r="I60" s="126"/>
      <c r="J60" s="126"/>
    </row>
    <row r="61" spans="1:10" x14ac:dyDescent="0.25">
      <c r="A61" s="102" t="s">
        <v>271</v>
      </c>
      <c r="B61" s="102" t="s">
        <v>270</v>
      </c>
      <c r="C61" s="102" t="s">
        <v>130</v>
      </c>
      <c r="D61" s="114">
        <v>16.034280607565801</v>
      </c>
      <c r="E61" s="114">
        <v>8.9156208973296796</v>
      </c>
      <c r="F61" s="114">
        <v>12.3279920629841</v>
      </c>
      <c r="G61" s="133">
        <f>'APU Estándar'!F576</f>
        <v>13.118031909016871</v>
      </c>
      <c r="H61" s="127">
        <v>46084</v>
      </c>
      <c r="I61" s="128">
        <v>0.8</v>
      </c>
      <c r="J61" s="102" t="s">
        <v>680</v>
      </c>
    </row>
    <row r="62" spans="1:10" x14ac:dyDescent="0.25">
      <c r="A62" s="102" t="s">
        <v>267</v>
      </c>
      <c r="B62" s="102" t="s">
        <v>266</v>
      </c>
      <c r="C62" s="102" t="s">
        <v>130</v>
      </c>
      <c r="D62" s="114">
        <v>13.5079091114288</v>
      </c>
      <c r="E62" s="114">
        <v>11.4793955784278</v>
      </c>
      <c r="F62" s="114">
        <v>10.466325408241</v>
      </c>
      <c r="G62" s="133">
        <f>'APU Estándar'!F594</f>
        <v>11.880469067079726</v>
      </c>
      <c r="H62" s="127">
        <v>46084</v>
      </c>
      <c r="I62" s="128">
        <v>0.28999999999999998</v>
      </c>
      <c r="J62" s="102" t="s">
        <v>680</v>
      </c>
    </row>
    <row r="63" spans="1:10" x14ac:dyDescent="0.25">
      <c r="A63" s="102" t="s">
        <v>263</v>
      </c>
      <c r="B63" s="102" t="s">
        <v>262</v>
      </c>
      <c r="C63" s="102" t="s">
        <v>130</v>
      </c>
      <c r="D63" s="114">
        <v>12.834391010149799</v>
      </c>
      <c r="E63" s="114">
        <v>10.4454376959937</v>
      </c>
      <c r="F63" s="114">
        <v>13.674655190080999</v>
      </c>
      <c r="G63" s="133">
        <f>'APU Estándar'!F610</f>
        <v>12.923071799318711</v>
      </c>
      <c r="H63" s="127">
        <v>46084</v>
      </c>
      <c r="I63" s="128">
        <v>0.31</v>
      </c>
      <c r="J63" s="102" t="s">
        <v>680</v>
      </c>
    </row>
    <row r="64" spans="1:10" x14ac:dyDescent="0.25">
      <c r="A64" s="102" t="s">
        <v>257</v>
      </c>
      <c r="B64" s="102" t="s">
        <v>256</v>
      </c>
      <c r="C64" s="102" t="s">
        <v>58</v>
      </c>
      <c r="D64" s="114">
        <v>21.224617828773201</v>
      </c>
      <c r="E64" s="114">
        <v>12.4249933462995</v>
      </c>
      <c r="F64" s="114">
        <v>23.190336416185001</v>
      </c>
      <c r="G64" s="133">
        <f>'APU Estándar'!F646</f>
        <v>23.357449165343137</v>
      </c>
      <c r="H64" s="127">
        <v>46084</v>
      </c>
      <c r="I64" s="128">
        <v>0.87</v>
      </c>
      <c r="J64" s="102" t="s">
        <v>680</v>
      </c>
    </row>
    <row r="65" spans="1:10" x14ac:dyDescent="0.25">
      <c r="A65" s="102" t="s">
        <v>254</v>
      </c>
      <c r="B65" s="102" t="s">
        <v>253</v>
      </c>
      <c r="C65" s="102" t="s">
        <v>3</v>
      </c>
      <c r="D65" s="114">
        <v>13.3097294797688</v>
      </c>
      <c r="E65" s="114">
        <v>14.7984002549395</v>
      </c>
      <c r="F65" s="114"/>
      <c r="G65" s="133">
        <f>'APU Estándar'!F683</f>
        <v>16.547391715422432</v>
      </c>
      <c r="H65" s="127">
        <v>46056</v>
      </c>
      <c r="I65" s="128">
        <v>0.11</v>
      </c>
      <c r="J65" s="102" t="s">
        <v>680</v>
      </c>
    </row>
    <row r="66" spans="1:10" x14ac:dyDescent="0.25">
      <c r="A66" s="102" t="s">
        <v>232</v>
      </c>
      <c r="B66" s="102" t="s">
        <v>231</v>
      </c>
      <c r="C66" s="102" t="s">
        <v>3</v>
      </c>
      <c r="D66" s="114">
        <v>14.397042796201999</v>
      </c>
      <c r="E66" s="114">
        <v>15.246262534184099</v>
      </c>
      <c r="F66" s="114"/>
      <c r="G66" s="133">
        <f>'APU Estándar'!F708</f>
        <v>16.067097560303768</v>
      </c>
      <c r="H66" s="127">
        <v>46056</v>
      </c>
      <c r="I66" s="128">
        <v>0.06</v>
      </c>
      <c r="J66" s="102" t="s">
        <v>680</v>
      </c>
    </row>
    <row r="67" spans="1:10" x14ac:dyDescent="0.25">
      <c r="A67" s="101" t="s">
        <v>220</v>
      </c>
      <c r="B67" s="101" t="s">
        <v>219</v>
      </c>
      <c r="C67" s="101" t="s">
        <v>3</v>
      </c>
      <c r="D67" s="113"/>
      <c r="E67" s="113">
        <v>2.8</v>
      </c>
      <c r="F67" s="113"/>
      <c r="G67" s="135">
        <f>'APU Estándar'!F713</f>
        <v>2.8</v>
      </c>
      <c r="H67" s="129">
        <v>46025</v>
      </c>
      <c r="I67" s="101"/>
      <c r="J67" s="101" t="s">
        <v>682</v>
      </c>
    </row>
    <row r="68" spans="1:10" x14ac:dyDescent="0.25">
      <c r="A68" s="102" t="s">
        <v>217</v>
      </c>
      <c r="B68" s="102" t="s">
        <v>216</v>
      </c>
      <c r="C68" s="102" t="s">
        <v>3</v>
      </c>
      <c r="D68" s="114">
        <v>6.9706250000000001</v>
      </c>
      <c r="E68" s="114">
        <v>8.3483852380299108</v>
      </c>
      <c r="F68" s="114">
        <v>7.4620174257986802</v>
      </c>
      <c r="G68" s="133">
        <f>'APU Estándar'!F726</f>
        <v>8.0123190448744079</v>
      </c>
      <c r="H68" s="127">
        <v>46084</v>
      </c>
      <c r="I68" s="128">
        <v>0.2</v>
      </c>
      <c r="J68" s="102" t="s">
        <v>680</v>
      </c>
    </row>
    <row r="69" spans="1:10" x14ac:dyDescent="0.25">
      <c r="A69" s="102" t="s">
        <v>214</v>
      </c>
      <c r="B69" s="102" t="s">
        <v>213</v>
      </c>
      <c r="C69" s="102" t="s">
        <v>210</v>
      </c>
      <c r="D69" s="114">
        <v>28.945</v>
      </c>
      <c r="E69" s="114">
        <v>28.158104649086301</v>
      </c>
      <c r="F69" s="114">
        <v>31.969150326797401</v>
      </c>
      <c r="G69" s="133">
        <f>'APU Estándar'!F738</f>
        <v>33.135478592542398</v>
      </c>
      <c r="H69" s="127">
        <v>46084</v>
      </c>
      <c r="I69" s="128">
        <v>0.14000000000000001</v>
      </c>
      <c r="J69" s="102" t="s">
        <v>680</v>
      </c>
    </row>
    <row r="70" spans="1:10" x14ac:dyDescent="0.25">
      <c r="A70" s="102" t="s">
        <v>209</v>
      </c>
      <c r="B70" s="102" t="s">
        <v>208</v>
      </c>
      <c r="C70" s="102" t="s">
        <v>130</v>
      </c>
      <c r="D70" s="114">
        <v>17.453893129771</v>
      </c>
      <c r="E70" s="114">
        <v>17.334</v>
      </c>
      <c r="F70" s="114">
        <v>13.26</v>
      </c>
      <c r="G70" s="133">
        <f>'APU Estándar'!F746</f>
        <v>17.935867395327321</v>
      </c>
      <c r="H70" s="127">
        <v>46084</v>
      </c>
      <c r="I70" s="128">
        <v>0.32</v>
      </c>
      <c r="J70" s="102" t="s">
        <v>680</v>
      </c>
    </row>
    <row r="71" spans="1:10" x14ac:dyDescent="0.25">
      <c r="A71" s="102" t="s">
        <v>547</v>
      </c>
      <c r="B71" s="102" t="s">
        <v>548</v>
      </c>
      <c r="C71" s="102" t="s">
        <v>550</v>
      </c>
      <c r="D71" s="114"/>
      <c r="E71" s="114"/>
      <c r="F71" s="114">
        <v>142.1</v>
      </c>
      <c r="G71" s="133">
        <f>'APU Estándar'!F754</f>
        <v>0</v>
      </c>
      <c r="H71" s="102" t="s">
        <v>681</v>
      </c>
      <c r="I71" s="102"/>
      <c r="J71" s="102" t="s">
        <v>680</v>
      </c>
    </row>
    <row r="72" spans="1:10" x14ac:dyDescent="0.25">
      <c r="A72" s="102" t="s">
        <v>206</v>
      </c>
      <c r="B72" s="102" t="s">
        <v>205</v>
      </c>
      <c r="C72" s="102" t="s">
        <v>130</v>
      </c>
      <c r="D72" s="114"/>
      <c r="E72" s="114">
        <v>4.21800507751857</v>
      </c>
      <c r="F72" s="114">
        <v>5.3626911314984698</v>
      </c>
      <c r="G72" s="133">
        <f>'APU Estándar'!F767</f>
        <v>5.5439144136602536</v>
      </c>
      <c r="H72" s="127">
        <v>46056</v>
      </c>
      <c r="I72" s="128">
        <v>0.27</v>
      </c>
      <c r="J72" s="102" t="s">
        <v>680</v>
      </c>
    </row>
    <row r="73" spans="1:10" x14ac:dyDescent="0.25">
      <c r="A73" s="126" t="s">
        <v>201</v>
      </c>
      <c r="B73" s="126"/>
      <c r="C73" s="126"/>
      <c r="D73" s="130"/>
      <c r="E73" s="130"/>
      <c r="F73" s="130"/>
      <c r="G73" s="132"/>
      <c r="H73" s="126"/>
      <c r="I73" s="126"/>
      <c r="J73" s="126"/>
    </row>
    <row r="74" spans="1:10" x14ac:dyDescent="0.25">
      <c r="A74" t="s">
        <v>200</v>
      </c>
      <c r="B74" t="s">
        <v>199</v>
      </c>
      <c r="C74" t="s">
        <v>130</v>
      </c>
      <c r="D74" s="112">
        <v>7.99</v>
      </c>
      <c r="E74" s="112">
        <v>6.8</v>
      </c>
      <c r="F74" s="112">
        <v>7.6</v>
      </c>
      <c r="G74" s="134">
        <f>'APU Estándar'!F773</f>
        <v>7.4633333333333338</v>
      </c>
      <c r="H74" s="124">
        <v>46084</v>
      </c>
      <c r="I74" s="76">
        <v>0.18</v>
      </c>
    </row>
    <row r="75" spans="1:10" x14ac:dyDescent="0.25">
      <c r="A75" t="s">
        <v>197</v>
      </c>
      <c r="B75" t="s">
        <v>196</v>
      </c>
      <c r="C75" t="s">
        <v>3</v>
      </c>
      <c r="D75" s="112">
        <v>3.4</v>
      </c>
      <c r="E75" s="112">
        <v>3.1</v>
      </c>
      <c r="F75" s="112"/>
      <c r="G75" s="134">
        <f>'APU Estándar'!F778</f>
        <v>3.25</v>
      </c>
      <c r="H75" s="124">
        <v>46056</v>
      </c>
      <c r="I75" s="76">
        <v>0.1</v>
      </c>
    </row>
    <row r="76" spans="1:10" x14ac:dyDescent="0.25">
      <c r="A76" t="s">
        <v>194</v>
      </c>
      <c r="B76" t="s">
        <v>193</v>
      </c>
      <c r="C76" t="s">
        <v>3</v>
      </c>
      <c r="D76" s="112">
        <v>1.4</v>
      </c>
      <c r="E76" s="112">
        <v>1.1000000000000001</v>
      </c>
      <c r="F76" s="112"/>
      <c r="G76" s="134">
        <f>'APU Estándar'!F783</f>
        <v>0</v>
      </c>
      <c r="H76" t="s">
        <v>681</v>
      </c>
      <c r="I76" s="76">
        <v>0.27</v>
      </c>
    </row>
    <row r="77" spans="1:10" x14ac:dyDescent="0.25">
      <c r="A77" t="s">
        <v>191</v>
      </c>
      <c r="B77" t="s">
        <v>190</v>
      </c>
      <c r="C77" t="s">
        <v>130</v>
      </c>
      <c r="D77" s="112">
        <v>5.0199999999999996</v>
      </c>
      <c r="E77" s="112">
        <v>4.8</v>
      </c>
      <c r="F77" s="112">
        <v>4.8499999999999996</v>
      </c>
      <c r="G77" s="134">
        <f>'APU Estándar'!F788</f>
        <v>4.8899999999999997</v>
      </c>
      <c r="H77" s="124">
        <v>46084</v>
      </c>
      <c r="I77" s="76">
        <v>0.05</v>
      </c>
    </row>
    <row r="78" spans="1:10" x14ac:dyDescent="0.25">
      <c r="A78" t="s">
        <v>188</v>
      </c>
      <c r="B78" t="s">
        <v>187</v>
      </c>
      <c r="C78" t="s">
        <v>3</v>
      </c>
      <c r="D78" s="112">
        <v>3.1</v>
      </c>
      <c r="E78" s="112">
        <v>2.9</v>
      </c>
      <c r="F78" s="112"/>
      <c r="G78" s="134">
        <f>'APU Estándar'!F793</f>
        <v>3</v>
      </c>
      <c r="H78" s="124">
        <v>46056</v>
      </c>
      <c r="I78" s="76">
        <v>7.0000000000000007E-2</v>
      </c>
    </row>
    <row r="79" spans="1:10" x14ac:dyDescent="0.25">
      <c r="A79" t="s">
        <v>185</v>
      </c>
      <c r="B79" t="s">
        <v>184</v>
      </c>
      <c r="C79" t="s">
        <v>3</v>
      </c>
      <c r="D79" s="112">
        <v>1.6</v>
      </c>
      <c r="E79" s="112">
        <v>1.3</v>
      </c>
      <c r="F79" s="112"/>
      <c r="G79" s="134">
        <f>'APU Estándar'!F798</f>
        <v>1.4500000000000002</v>
      </c>
      <c r="H79" s="124">
        <v>46056</v>
      </c>
      <c r="I79" s="76">
        <v>0.23</v>
      </c>
    </row>
    <row r="80" spans="1:10" x14ac:dyDescent="0.25">
      <c r="A80" s="102" t="s">
        <v>182</v>
      </c>
      <c r="B80" s="102" t="s">
        <v>181</v>
      </c>
      <c r="C80" s="102" t="s">
        <v>130</v>
      </c>
      <c r="D80" s="114">
        <v>1.22145257901631</v>
      </c>
      <c r="E80" s="114">
        <v>1.14286475573397</v>
      </c>
      <c r="F80" s="114">
        <v>2.7693820936770401</v>
      </c>
      <c r="G80" s="133">
        <f>'APU Estándar'!F815</f>
        <v>2.4681997982148607</v>
      </c>
      <c r="H80" s="127">
        <v>46084</v>
      </c>
      <c r="I80" s="128">
        <v>1.42</v>
      </c>
      <c r="J80" s="102" t="s">
        <v>680</v>
      </c>
    </row>
    <row r="81" spans="1:10" x14ac:dyDescent="0.25">
      <c r="A81" s="102" t="s">
        <v>178</v>
      </c>
      <c r="B81" s="102" t="s">
        <v>177</v>
      </c>
      <c r="C81" s="102" t="s">
        <v>3</v>
      </c>
      <c r="D81" s="114">
        <v>2.91605088881143</v>
      </c>
      <c r="E81" s="114">
        <v>1.2208000000000001</v>
      </c>
      <c r="F81" s="114">
        <v>1.41022742857143</v>
      </c>
      <c r="G81" s="133">
        <f>'APU Estándar'!F833</f>
        <v>2.5235102279527335</v>
      </c>
      <c r="H81" s="127">
        <v>46084</v>
      </c>
      <c r="I81" s="128">
        <v>1.39</v>
      </c>
      <c r="J81" s="102" t="s">
        <v>680</v>
      </c>
    </row>
    <row r="82" spans="1:10" x14ac:dyDescent="0.25">
      <c r="A82" t="s">
        <v>168</v>
      </c>
      <c r="B82" t="s">
        <v>167</v>
      </c>
      <c r="C82" t="s">
        <v>3</v>
      </c>
      <c r="D82" s="112">
        <v>1.5</v>
      </c>
      <c r="E82" s="112">
        <v>1.26</v>
      </c>
      <c r="F82" s="112">
        <v>1.26</v>
      </c>
      <c r="G82" s="134">
        <f>'APU Estándar'!F838</f>
        <v>1.3399999999999999</v>
      </c>
      <c r="H82" s="124">
        <v>46084</v>
      </c>
      <c r="I82" s="76">
        <v>0.19</v>
      </c>
    </row>
    <row r="83" spans="1:10" x14ac:dyDescent="0.25">
      <c r="A83" t="s">
        <v>507</v>
      </c>
      <c r="B83" t="s">
        <v>165</v>
      </c>
      <c r="C83" t="s">
        <v>130</v>
      </c>
      <c r="D83" s="112"/>
      <c r="E83" s="112">
        <v>3.1</v>
      </c>
      <c r="F83" s="112">
        <v>4.8</v>
      </c>
      <c r="G83" s="134">
        <f>'APU Estándar'!F843</f>
        <v>3.95</v>
      </c>
      <c r="H83" s="124">
        <v>46056</v>
      </c>
      <c r="I83" s="76">
        <v>0.55000000000000004</v>
      </c>
    </row>
    <row r="84" spans="1:10" x14ac:dyDescent="0.25">
      <c r="A84" s="101" t="s">
        <v>163</v>
      </c>
      <c r="B84" s="101" t="s">
        <v>162</v>
      </c>
      <c r="C84" s="101" t="s">
        <v>130</v>
      </c>
      <c r="D84" s="113">
        <v>5.4</v>
      </c>
      <c r="E84" s="113"/>
      <c r="F84" s="113"/>
      <c r="G84" s="135">
        <f>'APU Estándar'!F848</f>
        <v>5.4</v>
      </c>
      <c r="H84" s="129">
        <v>46025</v>
      </c>
      <c r="I84" s="101"/>
      <c r="J84" s="101" t="s">
        <v>682</v>
      </c>
    </row>
    <row r="85" spans="1:10" x14ac:dyDescent="0.25">
      <c r="A85" s="126" t="s">
        <v>160</v>
      </c>
      <c r="B85" s="126"/>
      <c r="C85" s="126"/>
      <c r="D85" s="130"/>
      <c r="E85" s="130"/>
      <c r="F85" s="130"/>
      <c r="G85" s="132"/>
      <c r="H85" s="126"/>
      <c r="I85" s="126"/>
      <c r="J85" s="126"/>
    </row>
    <row r="86" spans="1:10" x14ac:dyDescent="0.25">
      <c r="A86" s="102" t="s">
        <v>159</v>
      </c>
      <c r="B86" s="102" t="s">
        <v>158</v>
      </c>
      <c r="C86" s="102" t="s">
        <v>130</v>
      </c>
      <c r="D86" s="114"/>
      <c r="E86" s="114">
        <v>44.839945973112201</v>
      </c>
      <c r="F86" s="114">
        <v>47.898852571149398</v>
      </c>
      <c r="G86" s="133">
        <f>'APU Estándar'!F869</f>
        <v>47.958536643380725</v>
      </c>
      <c r="H86" s="127">
        <v>46056</v>
      </c>
      <c r="I86" s="128">
        <v>7.0000000000000007E-2</v>
      </c>
      <c r="J86" s="102" t="s">
        <v>680</v>
      </c>
    </row>
    <row r="87" spans="1:10" x14ac:dyDescent="0.25">
      <c r="A87" s="126" t="s">
        <v>152</v>
      </c>
      <c r="B87" s="126"/>
      <c r="C87" s="126"/>
      <c r="D87" s="130"/>
      <c r="E87" s="130"/>
      <c r="F87" s="130"/>
      <c r="G87" s="132"/>
      <c r="H87" s="126"/>
      <c r="I87" s="126"/>
      <c r="J87" s="126"/>
    </row>
    <row r="88" spans="1:10" x14ac:dyDescent="0.25">
      <c r="A88" s="102" t="s">
        <v>151</v>
      </c>
      <c r="B88" s="102" t="s">
        <v>150</v>
      </c>
      <c r="C88" s="102" t="s">
        <v>130</v>
      </c>
      <c r="D88" s="114"/>
      <c r="E88" s="114">
        <v>3.3897417057911299</v>
      </c>
      <c r="F88" s="114">
        <v>0.37686586050196402</v>
      </c>
      <c r="G88" s="133">
        <f>'APU Estándar'!F884</f>
        <v>2.1253283351970151</v>
      </c>
      <c r="H88" s="127">
        <v>46056</v>
      </c>
      <c r="I88" s="128">
        <v>7.99</v>
      </c>
      <c r="J88" s="102" t="s">
        <v>680</v>
      </c>
    </row>
    <row r="89" spans="1:10" x14ac:dyDescent="0.25">
      <c r="A89" s="126" t="s">
        <v>142</v>
      </c>
      <c r="B89" s="126"/>
      <c r="C89" s="126"/>
      <c r="D89" s="130"/>
      <c r="E89" s="130"/>
      <c r="F89" s="130"/>
      <c r="G89" s="132"/>
      <c r="H89" s="126"/>
      <c r="I89" s="126"/>
      <c r="J89" s="126"/>
    </row>
    <row r="90" spans="1:10" x14ac:dyDescent="0.25">
      <c r="A90" s="102" t="s">
        <v>141</v>
      </c>
      <c r="B90" s="102" t="s">
        <v>140</v>
      </c>
      <c r="C90" s="102" t="s">
        <v>88</v>
      </c>
      <c r="D90" s="114">
        <v>250.29499999999999</v>
      </c>
      <c r="E90" s="114">
        <v>1092.47</v>
      </c>
      <c r="F90" s="114">
        <v>1123.00591715976</v>
      </c>
      <c r="G90" s="133">
        <f>'APU Estándar'!F917</f>
        <v>1152.1418811637081</v>
      </c>
      <c r="H90" s="127">
        <v>46084</v>
      </c>
      <c r="I90" s="128">
        <v>3.49</v>
      </c>
      <c r="J90" s="102" t="s">
        <v>680</v>
      </c>
    </row>
    <row r="91" spans="1:10" x14ac:dyDescent="0.25">
      <c r="A91" s="102" t="s">
        <v>124</v>
      </c>
      <c r="B91" s="102" t="s">
        <v>123</v>
      </c>
      <c r="C91" s="102" t="s">
        <v>122</v>
      </c>
      <c r="D91" s="114">
        <v>50.505000000000003</v>
      </c>
      <c r="E91" s="114">
        <v>74.809523809523796</v>
      </c>
      <c r="F91" s="114">
        <v>53.325995547860501</v>
      </c>
      <c r="G91" s="133">
        <f>'APU Estándar'!F925</f>
        <v>55.107649023002722</v>
      </c>
      <c r="H91" s="127">
        <v>46084</v>
      </c>
      <c r="I91" s="128">
        <v>0.48</v>
      </c>
      <c r="J91" s="102" t="s">
        <v>680</v>
      </c>
    </row>
    <row r="92" spans="1:10" x14ac:dyDescent="0.25">
      <c r="A92" s="102" t="s">
        <v>524</v>
      </c>
      <c r="B92" s="102" t="s">
        <v>525</v>
      </c>
      <c r="C92" s="102" t="s">
        <v>130</v>
      </c>
      <c r="D92" s="114"/>
      <c r="E92" s="114"/>
      <c r="F92" s="114"/>
      <c r="G92" s="133">
        <f>'APU Estándar'!F936</f>
        <v>0</v>
      </c>
      <c r="H92" s="102" t="s">
        <v>681</v>
      </c>
      <c r="I92" s="102"/>
      <c r="J92" s="102" t="s">
        <v>680</v>
      </c>
    </row>
    <row r="93" spans="1:10" x14ac:dyDescent="0.25">
      <c r="A93" s="102" t="s">
        <v>121</v>
      </c>
      <c r="B93" s="102" t="s">
        <v>120</v>
      </c>
      <c r="C93" s="102" t="s">
        <v>88</v>
      </c>
      <c r="D93" s="114"/>
      <c r="E93" s="114"/>
      <c r="F93" s="114"/>
      <c r="G93" s="133">
        <f>'APU Estándar'!F947</f>
        <v>0</v>
      </c>
      <c r="H93" s="102" t="s">
        <v>681</v>
      </c>
      <c r="I93" s="102"/>
      <c r="J93" s="102" t="s">
        <v>680</v>
      </c>
    </row>
    <row r="94" spans="1:10" x14ac:dyDescent="0.25">
      <c r="A94" s="102" t="s">
        <v>112</v>
      </c>
      <c r="B94" s="102" t="s">
        <v>111</v>
      </c>
      <c r="C94" s="102" t="s">
        <v>88</v>
      </c>
      <c r="D94" s="114">
        <v>0.166020501551984</v>
      </c>
      <c r="E94" s="114">
        <v>4.3005901007586997</v>
      </c>
      <c r="F94" s="114">
        <v>1.80389416610625</v>
      </c>
      <c r="G94" s="133">
        <f>'APU Estándar'!F980</f>
        <v>5753.4683918540632</v>
      </c>
      <c r="H94" s="127">
        <v>46056</v>
      </c>
      <c r="I94" s="128">
        <v>24.9</v>
      </c>
      <c r="J94" s="102" t="s">
        <v>680</v>
      </c>
    </row>
    <row r="95" spans="1:10" x14ac:dyDescent="0.25">
      <c r="A95" s="102" t="s">
        <v>87</v>
      </c>
      <c r="B95" s="102" t="s">
        <v>85</v>
      </c>
      <c r="C95" s="102" t="s">
        <v>86</v>
      </c>
      <c r="D95" s="114">
        <v>172.5</v>
      </c>
      <c r="E95" s="114"/>
      <c r="F95" s="114"/>
      <c r="G95" s="133">
        <f>'APU Estándar'!F985</f>
        <v>0</v>
      </c>
      <c r="H95" s="102" t="s">
        <v>681</v>
      </c>
      <c r="I95" s="102"/>
      <c r="J95" s="102" t="s">
        <v>680</v>
      </c>
    </row>
    <row r="96" spans="1:10" x14ac:dyDescent="0.25">
      <c r="A96" s="102" t="s">
        <v>527</v>
      </c>
      <c r="B96" s="102" t="s">
        <v>528</v>
      </c>
      <c r="C96" s="102" t="s">
        <v>210</v>
      </c>
      <c r="D96" s="114"/>
      <c r="E96" s="114">
        <v>107.1</v>
      </c>
      <c r="F96" s="114"/>
      <c r="G96" s="133">
        <f>'APU Estándar'!F990</f>
        <v>0</v>
      </c>
      <c r="H96" s="102" t="s">
        <v>681</v>
      </c>
      <c r="I96" s="102"/>
      <c r="J96" s="102" t="s">
        <v>680</v>
      </c>
    </row>
    <row r="97" spans="1:10" x14ac:dyDescent="0.25">
      <c r="A97" s="102" t="s">
        <v>532</v>
      </c>
      <c r="B97" s="102" t="s">
        <v>530</v>
      </c>
      <c r="C97" s="102" t="s">
        <v>210</v>
      </c>
      <c r="D97" s="114"/>
      <c r="E97" s="114">
        <v>101.5</v>
      </c>
      <c r="F97" s="114"/>
      <c r="G97" s="133">
        <f>'APU Estándar'!F995</f>
        <v>0</v>
      </c>
      <c r="H97" s="102" t="s">
        <v>681</v>
      </c>
      <c r="I97" s="102"/>
      <c r="J97" s="102" t="s">
        <v>680</v>
      </c>
    </row>
    <row r="98" spans="1:10" x14ac:dyDescent="0.25">
      <c r="A98" s="126" t="s">
        <v>508</v>
      </c>
      <c r="B98" s="126"/>
      <c r="C98" s="126"/>
      <c r="D98" s="130"/>
      <c r="E98" s="130"/>
      <c r="F98" s="130"/>
      <c r="G98" s="132"/>
      <c r="H98" s="126"/>
      <c r="I98" s="126"/>
      <c r="J98" s="126"/>
    </row>
    <row r="99" spans="1:10" x14ac:dyDescent="0.25">
      <c r="A99" t="s">
        <v>509</v>
      </c>
      <c r="B99" t="s">
        <v>510</v>
      </c>
      <c r="C99" t="s">
        <v>84</v>
      </c>
      <c r="D99" s="112"/>
      <c r="E99" s="112"/>
      <c r="F99" s="112"/>
      <c r="G99" s="134">
        <f>'APU Estándar'!F999</f>
        <v>0</v>
      </c>
      <c r="H99" t="s">
        <v>681</v>
      </c>
    </row>
    <row r="100" spans="1:10" x14ac:dyDescent="0.25">
      <c r="A100" s="102" t="s">
        <v>511</v>
      </c>
      <c r="B100" s="102" t="s">
        <v>512</v>
      </c>
      <c r="C100" s="102" t="s">
        <v>84</v>
      </c>
      <c r="D100" s="114">
        <v>29.331900000000001</v>
      </c>
      <c r="E100" s="114">
        <v>148.3032</v>
      </c>
      <c r="F100" s="114">
        <v>48.92</v>
      </c>
      <c r="G100" s="133">
        <f>'APU Estándar'!F1008</f>
        <v>81.213800000000006</v>
      </c>
      <c r="H100" s="127">
        <v>46084</v>
      </c>
      <c r="I100" s="128">
        <v>4.0599999999999996</v>
      </c>
      <c r="J100" s="102" t="s">
        <v>680</v>
      </c>
    </row>
    <row r="101" spans="1:10" x14ac:dyDescent="0.25">
      <c r="A101" s="101" t="s">
        <v>513</v>
      </c>
      <c r="B101" s="101" t="s">
        <v>514</v>
      </c>
      <c r="C101" s="101" t="s">
        <v>84</v>
      </c>
      <c r="D101" s="113">
        <v>35</v>
      </c>
      <c r="E101" s="113"/>
      <c r="F101" s="113"/>
      <c r="G101" s="135">
        <f>'APU Estándar'!F1013</f>
        <v>35</v>
      </c>
      <c r="H101" s="129">
        <v>46025</v>
      </c>
      <c r="I101" s="101"/>
      <c r="J101" s="101" t="s">
        <v>682</v>
      </c>
    </row>
    <row r="102" spans="1:10" x14ac:dyDescent="0.25">
      <c r="A102" s="126" t="s">
        <v>83</v>
      </c>
      <c r="B102" s="126"/>
      <c r="C102" s="126"/>
      <c r="D102" s="130"/>
      <c r="E102" s="130"/>
      <c r="F102" s="130"/>
      <c r="G102" s="132"/>
      <c r="H102" s="126"/>
      <c r="I102" s="126"/>
      <c r="J102" s="126"/>
    </row>
    <row r="103" spans="1:10" x14ac:dyDescent="0.25">
      <c r="A103" s="102" t="s">
        <v>82</v>
      </c>
      <c r="B103" s="102" t="s">
        <v>81</v>
      </c>
      <c r="C103" s="102" t="s">
        <v>130</v>
      </c>
      <c r="D103" s="114">
        <v>1.7516970566140799</v>
      </c>
      <c r="E103" s="114">
        <v>1.20154320987654</v>
      </c>
      <c r="F103" s="114">
        <v>0.81157499259547805</v>
      </c>
      <c r="G103" s="133">
        <f>'APU Estándar'!F1021</f>
        <v>1.2113176031144781</v>
      </c>
      <c r="H103" s="127">
        <v>46084</v>
      </c>
      <c r="I103" s="128">
        <v>1.1599999999999999</v>
      </c>
      <c r="J103" s="102" t="s">
        <v>680</v>
      </c>
    </row>
    <row r="104" spans="1:10" x14ac:dyDescent="0.25">
      <c r="A104" s="102" t="s">
        <v>77</v>
      </c>
      <c r="B104" s="102" t="s">
        <v>76</v>
      </c>
      <c r="C104" s="102" t="s">
        <v>130</v>
      </c>
      <c r="D104" s="114">
        <v>0.72</v>
      </c>
      <c r="E104" s="114">
        <v>0.88888111888111898</v>
      </c>
      <c r="F104" s="114"/>
      <c r="G104" s="133">
        <f>'APU Estándar'!F1028</f>
        <v>0.87293123543123541</v>
      </c>
      <c r="H104" s="127">
        <v>46056</v>
      </c>
      <c r="I104" s="128">
        <v>0.23</v>
      </c>
      <c r="J104" s="102" t="s">
        <v>680</v>
      </c>
    </row>
    <row r="105" spans="1:10" x14ac:dyDescent="0.25">
      <c r="A105" s="102" t="s">
        <v>74</v>
      </c>
      <c r="B105" s="102" t="s">
        <v>73</v>
      </c>
      <c r="C105" s="102" t="s">
        <v>130</v>
      </c>
      <c r="D105" s="114">
        <v>0.7</v>
      </c>
      <c r="E105" s="114">
        <v>6.3472727272727303</v>
      </c>
      <c r="F105" s="114">
        <v>1.33397435897436</v>
      </c>
      <c r="G105" s="133">
        <f>'APU Estándar'!F1039</f>
        <v>6.9309391264782994</v>
      </c>
      <c r="H105" s="127">
        <v>46084</v>
      </c>
      <c r="I105" s="128">
        <v>8.07</v>
      </c>
      <c r="J105" s="102" t="s">
        <v>680</v>
      </c>
    </row>
    <row r="106" spans="1:10" x14ac:dyDescent="0.25">
      <c r="A106" s="102" t="s">
        <v>69</v>
      </c>
      <c r="B106" s="102" t="s">
        <v>516</v>
      </c>
      <c r="C106" s="102" t="s">
        <v>130</v>
      </c>
      <c r="D106" s="114">
        <v>7</v>
      </c>
      <c r="E106" s="114"/>
      <c r="F106" s="114">
        <v>27.347596153846201</v>
      </c>
      <c r="G106" s="133">
        <f>'APU Estándar'!F1059</f>
        <v>26.669532061986438</v>
      </c>
      <c r="H106" s="127">
        <v>46056</v>
      </c>
      <c r="I106" s="128">
        <v>2.91</v>
      </c>
      <c r="J106" s="102" t="s">
        <v>680</v>
      </c>
    </row>
    <row r="107" spans="1:10" x14ac:dyDescent="0.25">
      <c r="A107" s="102" t="s">
        <v>66</v>
      </c>
      <c r="B107" s="102" t="s">
        <v>68</v>
      </c>
      <c r="C107" s="102" t="s">
        <v>130</v>
      </c>
      <c r="D107" s="114">
        <v>0.36</v>
      </c>
      <c r="E107" s="114"/>
      <c r="F107" s="114">
        <v>1.61282051282051</v>
      </c>
      <c r="G107" s="133">
        <f>'APU Estándar'!F1070</f>
        <v>2.1601726938185273</v>
      </c>
      <c r="H107" s="127">
        <v>46056</v>
      </c>
      <c r="I107" s="128">
        <v>3.48</v>
      </c>
      <c r="J107" s="102" t="s">
        <v>680</v>
      </c>
    </row>
    <row r="108" spans="1:10" x14ac:dyDescent="0.25">
      <c r="A108" s="102" t="s">
        <v>60</v>
      </c>
      <c r="B108" s="102" t="s">
        <v>65</v>
      </c>
      <c r="C108" s="102" t="s">
        <v>130</v>
      </c>
      <c r="D108" s="114">
        <v>3.8348717948717899</v>
      </c>
      <c r="E108" s="114"/>
      <c r="F108" s="114">
        <v>3.1921474358974402</v>
      </c>
      <c r="G108" s="133">
        <f>'APU Estándar'!F1079</f>
        <v>5.3298004373664538</v>
      </c>
      <c r="H108" s="127">
        <v>46056</v>
      </c>
      <c r="I108" s="128">
        <v>0.2</v>
      </c>
      <c r="J108" s="102" t="s">
        <v>680</v>
      </c>
    </row>
    <row r="109" spans="1:10" x14ac:dyDescent="0.25">
      <c r="A109" s="102" t="s">
        <v>51</v>
      </c>
      <c r="B109" s="102" t="s">
        <v>59</v>
      </c>
      <c r="C109" s="102" t="s">
        <v>58</v>
      </c>
      <c r="D109" s="114">
        <v>7.9725498248580697</v>
      </c>
      <c r="E109" s="114"/>
      <c r="F109" s="114"/>
      <c r="G109" s="133">
        <f>'APU Estándar'!F1090</f>
        <v>0</v>
      </c>
      <c r="H109" s="102" t="s">
        <v>681</v>
      </c>
      <c r="I109" s="102"/>
      <c r="J109" s="102" t="s">
        <v>680</v>
      </c>
    </row>
    <row r="110" spans="1:10" x14ac:dyDescent="0.25">
      <c r="A110" s="101" t="s">
        <v>40</v>
      </c>
      <c r="B110" s="101" t="s">
        <v>50</v>
      </c>
      <c r="C110" s="101" t="s">
        <v>6</v>
      </c>
      <c r="D110" s="113">
        <v>135.36229103864099</v>
      </c>
      <c r="E110" s="113"/>
      <c r="F110" s="113"/>
      <c r="G110" s="135">
        <f>'APU Estándar'!F1104</f>
        <v>136.76249200694255</v>
      </c>
      <c r="H110" s="129">
        <v>46025</v>
      </c>
      <c r="I110" s="101"/>
      <c r="J110" s="101" t="s">
        <v>682</v>
      </c>
    </row>
    <row r="111" spans="1:10" x14ac:dyDescent="0.25">
      <c r="A111" s="101" t="s">
        <v>37</v>
      </c>
      <c r="B111" s="101" t="s">
        <v>39</v>
      </c>
      <c r="C111" s="101" t="s">
        <v>130</v>
      </c>
      <c r="D111" s="113"/>
      <c r="E111" s="113">
        <v>2</v>
      </c>
      <c r="F111" s="113"/>
      <c r="G111" s="135">
        <f>'APU Estándar'!F1109</f>
        <v>2</v>
      </c>
      <c r="H111" s="129">
        <v>46025</v>
      </c>
      <c r="I111" s="101"/>
      <c r="J111" s="101" t="s">
        <v>682</v>
      </c>
    </row>
    <row r="112" spans="1:10" x14ac:dyDescent="0.25">
      <c r="A112" s="101" t="s">
        <v>34</v>
      </c>
      <c r="B112" s="101" t="s">
        <v>36</v>
      </c>
      <c r="C112" s="101" t="s">
        <v>130</v>
      </c>
      <c r="D112" s="113"/>
      <c r="E112" s="113">
        <v>12.4459281084266</v>
      </c>
      <c r="F112" s="113"/>
      <c r="G112" s="135">
        <f>'APU Estándar'!F1122</f>
        <v>12.410565328866083</v>
      </c>
      <c r="H112" s="129">
        <v>46025</v>
      </c>
      <c r="I112" s="101"/>
      <c r="J112" s="101" t="s">
        <v>682</v>
      </c>
    </row>
    <row r="113" spans="1:10" x14ac:dyDescent="0.25">
      <c r="A113" s="101" t="s">
        <v>29</v>
      </c>
      <c r="B113" s="101" t="s">
        <v>33</v>
      </c>
      <c r="C113" s="101" t="s">
        <v>130</v>
      </c>
      <c r="D113" s="113"/>
      <c r="E113" s="113">
        <v>0.78755983052788303</v>
      </c>
      <c r="F113" s="113"/>
      <c r="G113" s="135">
        <f>'APU Estándar'!F1130</f>
        <v>0.80607440487550408</v>
      </c>
      <c r="H113" s="129">
        <v>46025</v>
      </c>
      <c r="I113" s="101"/>
      <c r="J113" s="101" t="s">
        <v>682</v>
      </c>
    </row>
    <row r="114" spans="1:10" x14ac:dyDescent="0.25">
      <c r="A114" t="s">
        <v>26</v>
      </c>
      <c r="B114" t="s">
        <v>28</v>
      </c>
      <c r="C114" t="s">
        <v>130</v>
      </c>
      <c r="D114" s="112"/>
      <c r="E114" s="112">
        <v>0.75</v>
      </c>
      <c r="F114" s="112">
        <v>0.75</v>
      </c>
      <c r="G114" s="134">
        <f>'APU Estándar'!F1135</f>
        <v>0.73999999999999988</v>
      </c>
      <c r="H114" s="124">
        <v>46056</v>
      </c>
      <c r="I114" s="76">
        <v>0</v>
      </c>
    </row>
    <row r="115" spans="1:10" x14ac:dyDescent="0.25">
      <c r="A115" s="101" t="s">
        <v>518</v>
      </c>
      <c r="B115" s="101" t="s">
        <v>25</v>
      </c>
      <c r="C115" s="101" t="s">
        <v>130</v>
      </c>
      <c r="D115" s="113"/>
      <c r="E115" s="113">
        <v>5.32874153630633</v>
      </c>
      <c r="F115" s="113"/>
      <c r="G115" s="135">
        <f>'APU Estándar'!F1145</f>
        <v>5.2426647988170281</v>
      </c>
      <c r="H115" s="129">
        <v>46025</v>
      </c>
      <c r="I115" s="101"/>
      <c r="J115" s="101" t="s">
        <v>682</v>
      </c>
    </row>
    <row r="116" spans="1:10" x14ac:dyDescent="0.25">
      <c r="A116" s="101" t="s">
        <v>519</v>
      </c>
      <c r="B116" s="101" t="s">
        <v>20</v>
      </c>
      <c r="C116" s="101" t="s">
        <v>130</v>
      </c>
      <c r="D116" s="113"/>
      <c r="E116" s="113">
        <v>19.628899637242998</v>
      </c>
      <c r="F116" s="113"/>
      <c r="G116" s="135">
        <f>'APU Estándar'!F1158</f>
        <v>19.59293797677277</v>
      </c>
      <c r="H116" s="129">
        <v>46025</v>
      </c>
      <c r="I116" s="101"/>
      <c r="J116" s="101" t="s">
        <v>682</v>
      </c>
    </row>
    <row r="117" spans="1:10" x14ac:dyDescent="0.25">
      <c r="A117" s="101" t="s">
        <v>520</v>
      </c>
      <c r="B117" s="101" t="s">
        <v>12</v>
      </c>
      <c r="C117" s="101" t="s">
        <v>3</v>
      </c>
      <c r="D117" s="113"/>
      <c r="E117" s="113">
        <v>7.52861728395062</v>
      </c>
      <c r="F117" s="113"/>
      <c r="G117" s="135">
        <f>'APU Estándar'!F1167</f>
        <v>7.4927850866143366</v>
      </c>
      <c r="H117" s="129">
        <v>46025</v>
      </c>
      <c r="I117" s="101"/>
      <c r="J117" s="101" t="s">
        <v>682</v>
      </c>
    </row>
    <row r="118" spans="1:10" x14ac:dyDescent="0.25">
      <c r="A118" s="102" t="s">
        <v>598</v>
      </c>
      <c r="B118" s="102" t="s">
        <v>600</v>
      </c>
      <c r="C118" s="102" t="s">
        <v>3</v>
      </c>
      <c r="D118" s="114">
        <v>15.8</v>
      </c>
      <c r="E118" s="114">
        <v>15.8</v>
      </c>
      <c r="F118" s="114"/>
      <c r="G118" s="133">
        <f>'APU Estándar'!F1181</f>
        <v>18.873223775440742</v>
      </c>
      <c r="H118" s="127">
        <v>46056</v>
      </c>
      <c r="I118" s="128">
        <v>0</v>
      </c>
      <c r="J118" s="102" t="s">
        <v>680</v>
      </c>
    </row>
    <row r="119" spans="1:10" x14ac:dyDescent="0.25">
      <c r="A119" s="126" t="s">
        <v>536</v>
      </c>
      <c r="B119" s="126"/>
      <c r="C119" s="126"/>
      <c r="D119" s="130"/>
      <c r="E119" s="130"/>
      <c r="F119" s="130"/>
      <c r="G119" s="132"/>
      <c r="H119" s="126"/>
      <c r="I119" s="126"/>
      <c r="J119" s="126"/>
    </row>
    <row r="120" spans="1:10" x14ac:dyDescent="0.25">
      <c r="A120" s="101" t="s">
        <v>537</v>
      </c>
      <c r="B120" s="101" t="s">
        <v>538</v>
      </c>
      <c r="C120" s="101" t="s">
        <v>130</v>
      </c>
      <c r="D120" s="113"/>
      <c r="E120" s="113">
        <v>27.907639236632701</v>
      </c>
      <c r="F120" s="113"/>
      <c r="G120" s="135">
        <f>'APU Estándar'!F1198</f>
        <v>28.790532327796971</v>
      </c>
      <c r="H120" s="129">
        <v>46025</v>
      </c>
      <c r="I120" s="101"/>
      <c r="J120" s="101" t="s">
        <v>682</v>
      </c>
    </row>
    <row r="121" spans="1:10" x14ac:dyDescent="0.25">
      <c r="A121" s="102" t="s">
        <v>576</v>
      </c>
      <c r="B121" s="102" t="s">
        <v>577</v>
      </c>
      <c r="C121" s="102" t="s">
        <v>88</v>
      </c>
      <c r="D121" s="114"/>
      <c r="E121" s="114"/>
      <c r="F121" s="114">
        <v>2920.13</v>
      </c>
      <c r="G121" s="133">
        <f>'APU Estándar'!F1261</f>
        <v>0</v>
      </c>
      <c r="H121" s="102" t="s">
        <v>681</v>
      </c>
      <c r="I121" s="102"/>
      <c r="J121" s="102" t="s">
        <v>680</v>
      </c>
    </row>
    <row r="122" spans="1:10" x14ac:dyDescent="0.25">
      <c r="A122" s="102" t="s">
        <v>576</v>
      </c>
      <c r="B122" s="102" t="s">
        <v>581</v>
      </c>
      <c r="C122" s="102" t="s">
        <v>88</v>
      </c>
      <c r="D122" s="114"/>
      <c r="E122" s="114"/>
      <c r="F122" s="114">
        <v>12906.91</v>
      </c>
      <c r="G122" s="133">
        <f>'APU Estándar'!F1261</f>
        <v>0</v>
      </c>
      <c r="H122" s="102" t="s">
        <v>681</v>
      </c>
      <c r="I122" s="102"/>
      <c r="J122" s="102" t="s">
        <v>680</v>
      </c>
    </row>
  </sheetData>
  <mergeCells count="14">
    <mergeCell ref="A102:J102"/>
    <mergeCell ref="A119:J119"/>
    <mergeCell ref="A60:J60"/>
    <mergeCell ref="A73:J73"/>
    <mergeCell ref="A85:J85"/>
    <mergeCell ref="A87:J87"/>
    <mergeCell ref="A89:J89"/>
    <mergeCell ref="A98:J98"/>
    <mergeCell ref="A1:J1"/>
    <mergeCell ref="A2:J2"/>
    <mergeCell ref="A5:J5"/>
    <mergeCell ref="A13:J13"/>
    <mergeCell ref="A27:J27"/>
    <mergeCell ref="A51:J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D6E4-AD3F-444B-861C-47C39EEAC62E}">
  <dimension ref="A1:J214"/>
  <sheetViews>
    <sheetView workbookViewId="0">
      <pane ySplit="4" topLeftCell="A5" activePane="bottomLeft" state="frozen"/>
      <selection pane="bottomLeft" activeCell="R12" sqref="R12"/>
    </sheetView>
  </sheetViews>
  <sheetFormatPr baseColWidth="10" defaultRowHeight="15" x14ac:dyDescent="0.25"/>
  <cols>
    <col min="1" max="1" width="13.28515625" customWidth="1"/>
    <col min="2" max="2" width="68.5703125" customWidth="1"/>
    <col min="4" max="7" width="18.140625" customWidth="1"/>
    <col min="8" max="8" width="12.42578125" customWidth="1"/>
    <col min="9" max="9" width="17.140625" customWidth="1"/>
    <col min="10" max="10" width="41.85546875" customWidth="1"/>
  </cols>
  <sheetData>
    <row r="1" spans="1:10" ht="21" x14ac:dyDescent="0.35">
      <c r="A1" s="92" t="s">
        <v>683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25">
      <c r="A2" s="136" t="s">
        <v>684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x14ac:dyDescent="0.25">
      <c r="A4" s="144" t="s">
        <v>671</v>
      </c>
      <c r="B4" s="144" t="s">
        <v>672</v>
      </c>
      <c r="C4" s="144" t="s">
        <v>617</v>
      </c>
      <c r="D4" s="144" t="s">
        <v>685</v>
      </c>
      <c r="E4" s="144" t="s">
        <v>618</v>
      </c>
      <c r="F4" s="144" t="s">
        <v>619</v>
      </c>
      <c r="G4" s="144" t="s">
        <v>620</v>
      </c>
      <c r="H4" s="144" t="s">
        <v>686</v>
      </c>
      <c r="I4" s="144" t="s">
        <v>687</v>
      </c>
      <c r="J4" s="144" t="s">
        <v>644</v>
      </c>
    </row>
    <row r="5" spans="1:10" x14ac:dyDescent="0.25">
      <c r="A5" s="137" t="s">
        <v>688</v>
      </c>
      <c r="B5" s="137" t="s">
        <v>689</v>
      </c>
      <c r="C5" s="137" t="s">
        <v>15</v>
      </c>
      <c r="D5" s="138">
        <v>6.25</v>
      </c>
      <c r="E5" s="139"/>
      <c r="F5" s="139">
        <v>6.25</v>
      </c>
      <c r="G5" s="139"/>
      <c r="H5" s="137">
        <v>1</v>
      </c>
      <c r="I5" s="137" t="s">
        <v>690</v>
      </c>
      <c r="J5" s="137" t="s">
        <v>691</v>
      </c>
    </row>
    <row r="6" spans="1:10" x14ac:dyDescent="0.25">
      <c r="A6" s="137" t="s">
        <v>692</v>
      </c>
      <c r="B6" s="137" t="s">
        <v>693</v>
      </c>
      <c r="C6" s="137" t="s">
        <v>15</v>
      </c>
      <c r="D6" s="138">
        <v>1.18</v>
      </c>
      <c r="E6" s="139"/>
      <c r="F6" s="139"/>
      <c r="G6" s="139">
        <v>1.18</v>
      </c>
      <c r="H6" s="137">
        <v>1</v>
      </c>
      <c r="I6" s="137" t="s">
        <v>690</v>
      </c>
      <c r="J6" s="137" t="s">
        <v>691</v>
      </c>
    </row>
    <row r="7" spans="1:10" x14ac:dyDescent="0.25">
      <c r="A7" s="140" t="s">
        <v>694</v>
      </c>
      <c r="B7" s="140" t="s">
        <v>695</v>
      </c>
      <c r="C7" s="140" t="s">
        <v>3</v>
      </c>
      <c r="D7" s="138">
        <v>15.56</v>
      </c>
      <c r="E7" s="141"/>
      <c r="F7" s="141">
        <v>15.56</v>
      </c>
      <c r="G7" s="141"/>
      <c r="H7" s="140">
        <v>2</v>
      </c>
      <c r="I7" s="140" t="s">
        <v>696</v>
      </c>
      <c r="J7" s="140"/>
    </row>
    <row r="8" spans="1:10" x14ac:dyDescent="0.25">
      <c r="A8" s="140" t="s">
        <v>697</v>
      </c>
      <c r="B8" s="140" t="s">
        <v>533</v>
      </c>
      <c r="C8" s="140" t="s">
        <v>3</v>
      </c>
      <c r="D8" s="138">
        <v>15.56</v>
      </c>
      <c r="E8" s="141"/>
      <c r="F8" s="141">
        <v>15.56</v>
      </c>
      <c r="G8" s="141"/>
      <c r="H8" s="140">
        <v>2</v>
      </c>
      <c r="I8" s="140" t="s">
        <v>696</v>
      </c>
      <c r="J8" s="140"/>
    </row>
    <row r="9" spans="1:10" x14ac:dyDescent="0.25">
      <c r="A9" s="140" t="s">
        <v>698</v>
      </c>
      <c r="B9" s="140" t="s">
        <v>699</v>
      </c>
      <c r="C9" s="140" t="s">
        <v>3</v>
      </c>
      <c r="D9" s="138">
        <v>15.56</v>
      </c>
      <c r="E9" s="141"/>
      <c r="F9" s="141">
        <v>15.56</v>
      </c>
      <c r="G9" s="141"/>
      <c r="H9" s="140">
        <v>2</v>
      </c>
      <c r="I9" s="140" t="s">
        <v>696</v>
      </c>
      <c r="J9" s="140"/>
    </row>
    <row r="10" spans="1:10" x14ac:dyDescent="0.25">
      <c r="A10" s="140" t="s">
        <v>700</v>
      </c>
      <c r="B10" s="140" t="s">
        <v>701</v>
      </c>
      <c r="C10" s="140" t="s">
        <v>144</v>
      </c>
      <c r="D10" s="138">
        <v>82.972500000000011</v>
      </c>
      <c r="E10" s="141">
        <v>82.972500000000011</v>
      </c>
      <c r="F10" s="141"/>
      <c r="G10" s="141"/>
      <c r="H10" s="140">
        <v>4</v>
      </c>
      <c r="I10" s="140" t="s">
        <v>696</v>
      </c>
      <c r="J10" s="140"/>
    </row>
    <row r="11" spans="1:10" x14ac:dyDescent="0.25">
      <c r="A11" s="137" t="s">
        <v>702</v>
      </c>
      <c r="B11" s="137" t="s">
        <v>703</v>
      </c>
      <c r="C11" s="137" t="s">
        <v>105</v>
      </c>
      <c r="D11" s="138">
        <v>96.23</v>
      </c>
      <c r="E11" s="139"/>
      <c r="F11" s="139">
        <v>96.23</v>
      </c>
      <c r="G11" s="139"/>
      <c r="H11" s="137">
        <v>1</v>
      </c>
      <c r="I11" s="137" t="s">
        <v>690</v>
      </c>
      <c r="J11" s="137" t="s">
        <v>691</v>
      </c>
    </row>
    <row r="12" spans="1:10" x14ac:dyDescent="0.25">
      <c r="A12" s="137" t="s">
        <v>704</v>
      </c>
      <c r="B12" s="137" t="s">
        <v>703</v>
      </c>
      <c r="C12" s="137" t="s">
        <v>144</v>
      </c>
      <c r="D12" s="138">
        <v>92.45</v>
      </c>
      <c r="E12" s="139"/>
      <c r="F12" s="139">
        <v>92.45</v>
      </c>
      <c r="G12" s="139"/>
      <c r="H12" s="137">
        <v>1</v>
      </c>
      <c r="I12" s="137" t="s">
        <v>690</v>
      </c>
      <c r="J12" s="137" t="s">
        <v>691</v>
      </c>
    </row>
    <row r="13" spans="1:10" x14ac:dyDescent="0.25">
      <c r="A13" s="140" t="s">
        <v>705</v>
      </c>
      <c r="B13" s="140" t="s">
        <v>543</v>
      </c>
      <c r="C13" s="140" t="s">
        <v>105</v>
      </c>
      <c r="D13" s="138">
        <v>31.17</v>
      </c>
      <c r="E13" s="141"/>
      <c r="F13" s="141"/>
      <c r="G13" s="141">
        <v>31.17</v>
      </c>
      <c r="H13" s="140">
        <v>1</v>
      </c>
      <c r="I13" s="140" t="s">
        <v>696</v>
      </c>
      <c r="J13" s="140"/>
    </row>
    <row r="14" spans="1:10" x14ac:dyDescent="0.25">
      <c r="A14" s="137" t="s">
        <v>706</v>
      </c>
      <c r="B14" s="137" t="s">
        <v>543</v>
      </c>
      <c r="C14" s="137" t="s">
        <v>144</v>
      </c>
      <c r="D14" s="138">
        <v>31.8</v>
      </c>
      <c r="E14" s="139"/>
      <c r="F14" s="139"/>
      <c r="G14" s="139">
        <v>31.8</v>
      </c>
      <c r="H14" s="137">
        <v>1</v>
      </c>
      <c r="I14" s="137" t="s">
        <v>690</v>
      </c>
      <c r="J14" s="137" t="s">
        <v>691</v>
      </c>
    </row>
    <row r="15" spans="1:10" x14ac:dyDescent="0.25">
      <c r="A15" s="140" t="s">
        <v>707</v>
      </c>
      <c r="B15" s="140" t="s">
        <v>383</v>
      </c>
      <c r="C15" s="140" t="s">
        <v>382</v>
      </c>
      <c r="D15" s="138">
        <v>32.625000000000007</v>
      </c>
      <c r="E15" s="141">
        <v>29.145</v>
      </c>
      <c r="F15" s="141">
        <v>34.494999999999997</v>
      </c>
      <c r="G15" s="141">
        <v>34.234999999999999</v>
      </c>
      <c r="H15" s="140">
        <v>4</v>
      </c>
      <c r="I15" s="140" t="s">
        <v>696</v>
      </c>
      <c r="J15" s="140"/>
    </row>
    <row r="16" spans="1:10" x14ac:dyDescent="0.25">
      <c r="A16" s="142" t="s">
        <v>708</v>
      </c>
      <c r="B16" s="142" t="s">
        <v>709</v>
      </c>
      <c r="C16" s="142" t="s">
        <v>15</v>
      </c>
      <c r="D16" s="138">
        <v>0.67500000000000004</v>
      </c>
      <c r="E16" s="143">
        <v>0.32</v>
      </c>
      <c r="F16" s="143">
        <v>1.03</v>
      </c>
      <c r="G16" s="143"/>
      <c r="H16" s="142">
        <v>1</v>
      </c>
      <c r="I16" s="142" t="s">
        <v>710</v>
      </c>
      <c r="J16" s="142" t="s">
        <v>711</v>
      </c>
    </row>
    <row r="17" spans="1:10" x14ac:dyDescent="0.25">
      <c r="A17" s="137" t="s">
        <v>712</v>
      </c>
      <c r="B17" s="137" t="s">
        <v>713</v>
      </c>
      <c r="C17" s="137" t="s">
        <v>130</v>
      </c>
      <c r="D17" s="138">
        <v>17.32</v>
      </c>
      <c r="E17" s="139"/>
      <c r="F17" s="139"/>
      <c r="G17" s="139">
        <v>17.32</v>
      </c>
      <c r="H17" s="137">
        <v>1</v>
      </c>
      <c r="I17" s="137" t="s">
        <v>690</v>
      </c>
      <c r="J17" s="137" t="s">
        <v>691</v>
      </c>
    </row>
    <row r="18" spans="1:10" x14ac:dyDescent="0.25">
      <c r="A18" s="140" t="s">
        <v>714</v>
      </c>
      <c r="B18" s="140" t="s">
        <v>715</v>
      </c>
      <c r="C18" s="140" t="s">
        <v>15</v>
      </c>
      <c r="D18" s="138">
        <v>137.95499999999998</v>
      </c>
      <c r="E18" s="141"/>
      <c r="F18" s="141">
        <v>134.16</v>
      </c>
      <c r="G18" s="141">
        <v>141.75</v>
      </c>
      <c r="H18" s="140">
        <v>1</v>
      </c>
      <c r="I18" s="140" t="s">
        <v>696</v>
      </c>
      <c r="J18" s="140"/>
    </row>
    <row r="19" spans="1:10" x14ac:dyDescent="0.25">
      <c r="A19" s="140" t="s">
        <v>716</v>
      </c>
      <c r="B19" s="140" t="s">
        <v>717</v>
      </c>
      <c r="C19" s="140"/>
      <c r="D19" s="138">
        <v>9.43</v>
      </c>
      <c r="E19" s="141">
        <v>6.59</v>
      </c>
      <c r="F19" s="141"/>
      <c r="G19" s="141">
        <v>12.27</v>
      </c>
      <c r="H19" s="140">
        <v>1</v>
      </c>
      <c r="I19" s="140" t="s">
        <v>696</v>
      </c>
      <c r="J19" s="140"/>
    </row>
    <row r="20" spans="1:10" x14ac:dyDescent="0.25">
      <c r="A20" s="140" t="s">
        <v>718</v>
      </c>
      <c r="B20" s="140" t="s">
        <v>717</v>
      </c>
      <c r="C20" s="140" t="s">
        <v>6</v>
      </c>
      <c r="D20" s="138">
        <v>13.481308512224201</v>
      </c>
      <c r="E20" s="141"/>
      <c r="F20" s="141">
        <v>16.3095930232558</v>
      </c>
      <c r="G20" s="141">
        <v>12.538547008546999</v>
      </c>
      <c r="H20" s="140">
        <v>4</v>
      </c>
      <c r="I20" s="140" t="s">
        <v>696</v>
      </c>
      <c r="J20" s="140"/>
    </row>
    <row r="21" spans="1:10" x14ac:dyDescent="0.25">
      <c r="A21" s="140" t="s">
        <v>719</v>
      </c>
      <c r="B21" s="140" t="s">
        <v>720</v>
      </c>
      <c r="C21" s="140" t="s">
        <v>6</v>
      </c>
      <c r="D21" s="138">
        <v>13.25016774891775</v>
      </c>
      <c r="E21" s="141">
        <v>13.116666666666667</v>
      </c>
      <c r="F21" s="141">
        <v>12.163422619047623</v>
      </c>
      <c r="G21" s="141">
        <v>13.866666666666667</v>
      </c>
      <c r="H21" s="140">
        <v>12</v>
      </c>
      <c r="I21" s="140" t="s">
        <v>696</v>
      </c>
      <c r="J21" s="140"/>
    </row>
    <row r="22" spans="1:10" x14ac:dyDescent="0.25">
      <c r="A22" s="140" t="s">
        <v>721</v>
      </c>
      <c r="B22" s="140" t="s">
        <v>470</v>
      </c>
      <c r="C22" s="140" t="s">
        <v>15</v>
      </c>
      <c r="D22" s="138">
        <v>0.55000000000000004</v>
      </c>
      <c r="E22" s="141"/>
      <c r="F22" s="141">
        <v>0.53</v>
      </c>
      <c r="G22" s="141">
        <v>0.56999999999999995</v>
      </c>
      <c r="H22" s="140">
        <v>1</v>
      </c>
      <c r="I22" s="140" t="s">
        <v>696</v>
      </c>
      <c r="J22" s="140"/>
    </row>
    <row r="23" spans="1:10" x14ac:dyDescent="0.25">
      <c r="A23" s="140" t="s">
        <v>722</v>
      </c>
      <c r="B23" s="140" t="s">
        <v>723</v>
      </c>
      <c r="C23" s="140" t="s">
        <v>15</v>
      </c>
      <c r="D23" s="138">
        <v>1.5633333333333332</v>
      </c>
      <c r="E23" s="141">
        <v>1.38</v>
      </c>
      <c r="F23" s="141">
        <v>1.39</v>
      </c>
      <c r="G23" s="141">
        <v>1.92</v>
      </c>
      <c r="H23" s="140">
        <v>1</v>
      </c>
      <c r="I23" s="140" t="s">
        <v>696</v>
      </c>
      <c r="J23" s="140"/>
    </row>
    <row r="24" spans="1:10" x14ac:dyDescent="0.25">
      <c r="A24" s="140" t="s">
        <v>724</v>
      </c>
      <c r="B24" s="140" t="s">
        <v>725</v>
      </c>
      <c r="C24" s="140" t="s">
        <v>15</v>
      </c>
      <c r="D24" s="138">
        <v>17.085000000000001</v>
      </c>
      <c r="E24" s="141"/>
      <c r="F24" s="141">
        <v>16.95</v>
      </c>
      <c r="G24" s="141">
        <v>17.22</v>
      </c>
      <c r="H24" s="140">
        <v>1</v>
      </c>
      <c r="I24" s="140" t="s">
        <v>696</v>
      </c>
      <c r="J24" s="140"/>
    </row>
    <row r="25" spans="1:10" x14ac:dyDescent="0.25">
      <c r="A25" s="140" t="s">
        <v>726</v>
      </c>
      <c r="B25" s="140" t="s">
        <v>727</v>
      </c>
      <c r="C25" s="140" t="s">
        <v>15</v>
      </c>
      <c r="D25" s="138">
        <v>0.61</v>
      </c>
      <c r="E25" s="141">
        <v>0.48</v>
      </c>
      <c r="F25" s="141">
        <v>0.74</v>
      </c>
      <c r="G25" s="141"/>
      <c r="H25" s="140">
        <v>1</v>
      </c>
      <c r="I25" s="140" t="s">
        <v>696</v>
      </c>
      <c r="J25" s="140"/>
    </row>
    <row r="26" spans="1:10" x14ac:dyDescent="0.25">
      <c r="A26" s="140" t="s">
        <v>728</v>
      </c>
      <c r="B26" s="140" t="s">
        <v>729</v>
      </c>
      <c r="C26" s="140" t="s">
        <v>15</v>
      </c>
      <c r="D26" s="138">
        <v>0.33433333333333337</v>
      </c>
      <c r="E26" s="141">
        <v>0.34</v>
      </c>
      <c r="F26" s="141">
        <v>0.33</v>
      </c>
      <c r="G26" s="141">
        <v>0.33300000000000002</v>
      </c>
      <c r="H26" s="140">
        <v>1</v>
      </c>
      <c r="I26" s="140" t="s">
        <v>696</v>
      </c>
      <c r="J26" s="140"/>
    </row>
    <row r="27" spans="1:10" x14ac:dyDescent="0.25">
      <c r="A27" s="140" t="s">
        <v>730</v>
      </c>
      <c r="B27" s="140" t="s">
        <v>731</v>
      </c>
      <c r="C27" s="140" t="s">
        <v>15</v>
      </c>
      <c r="D27" s="138">
        <v>0.34599999999999997</v>
      </c>
      <c r="E27" s="141">
        <v>0.35</v>
      </c>
      <c r="F27" s="141">
        <v>0.34</v>
      </c>
      <c r="G27" s="141">
        <v>0.34399999999999997</v>
      </c>
      <c r="H27" s="140">
        <v>2</v>
      </c>
      <c r="I27" s="140" t="s">
        <v>696</v>
      </c>
      <c r="J27" s="140"/>
    </row>
    <row r="28" spans="1:10" x14ac:dyDescent="0.25">
      <c r="A28" s="140" t="s">
        <v>732</v>
      </c>
      <c r="B28" s="140" t="s">
        <v>733</v>
      </c>
      <c r="C28" s="140" t="s">
        <v>15</v>
      </c>
      <c r="D28" s="138">
        <v>0.44341249999999999</v>
      </c>
      <c r="E28" s="141">
        <v>0.45390000000000003</v>
      </c>
      <c r="F28" s="141">
        <v>0.42</v>
      </c>
      <c r="G28" s="141">
        <v>0.44987500000000002</v>
      </c>
      <c r="H28" s="140">
        <v>2</v>
      </c>
      <c r="I28" s="140" t="s">
        <v>696</v>
      </c>
      <c r="J28" s="140"/>
    </row>
    <row r="29" spans="1:10" x14ac:dyDescent="0.25">
      <c r="A29" s="140" t="s">
        <v>734</v>
      </c>
      <c r="B29" s="140" t="s">
        <v>735</v>
      </c>
      <c r="C29" s="140" t="s">
        <v>15</v>
      </c>
      <c r="D29" s="138">
        <v>6.63</v>
      </c>
      <c r="E29" s="141">
        <v>6.63</v>
      </c>
      <c r="F29" s="141"/>
      <c r="G29" s="141"/>
      <c r="H29" s="140">
        <v>2</v>
      </c>
      <c r="I29" s="140" t="s">
        <v>696</v>
      </c>
      <c r="J29" s="140"/>
    </row>
    <row r="30" spans="1:10" x14ac:dyDescent="0.25">
      <c r="A30" s="137" t="s">
        <v>736</v>
      </c>
      <c r="B30" s="137" t="s">
        <v>737</v>
      </c>
      <c r="C30" s="137" t="s">
        <v>15</v>
      </c>
      <c r="D30" s="138">
        <v>11.4725</v>
      </c>
      <c r="E30" s="139"/>
      <c r="F30" s="139">
        <v>11.4725</v>
      </c>
      <c r="G30" s="139"/>
      <c r="H30" s="137">
        <v>1</v>
      </c>
      <c r="I30" s="137" t="s">
        <v>690</v>
      </c>
      <c r="J30" s="137" t="s">
        <v>691</v>
      </c>
    </row>
    <row r="31" spans="1:10" x14ac:dyDescent="0.25">
      <c r="A31" s="137" t="s">
        <v>738</v>
      </c>
      <c r="B31" s="137" t="s">
        <v>739</v>
      </c>
      <c r="C31" s="137" t="s">
        <v>15</v>
      </c>
      <c r="D31" s="138">
        <v>4.17</v>
      </c>
      <c r="E31" s="139"/>
      <c r="F31" s="139"/>
      <c r="G31" s="139">
        <v>4.17</v>
      </c>
      <c r="H31" s="137">
        <v>1</v>
      </c>
      <c r="I31" s="137" t="s">
        <v>690</v>
      </c>
      <c r="J31" s="137" t="s">
        <v>691</v>
      </c>
    </row>
    <row r="32" spans="1:10" x14ac:dyDescent="0.25">
      <c r="A32" s="137" t="s">
        <v>740</v>
      </c>
      <c r="B32" s="137" t="s">
        <v>741</v>
      </c>
      <c r="C32" s="137" t="s">
        <v>3</v>
      </c>
      <c r="D32" s="138">
        <v>6.79</v>
      </c>
      <c r="E32" s="139"/>
      <c r="F32" s="139">
        <v>6.79</v>
      </c>
      <c r="G32" s="139"/>
      <c r="H32" s="137">
        <v>1</v>
      </c>
      <c r="I32" s="137" t="s">
        <v>690</v>
      </c>
      <c r="J32" s="137" t="s">
        <v>691</v>
      </c>
    </row>
    <row r="33" spans="1:10" x14ac:dyDescent="0.25">
      <c r="A33" s="137" t="s">
        <v>742</v>
      </c>
      <c r="B33" s="137" t="s">
        <v>743</v>
      </c>
      <c r="C33" s="137" t="s">
        <v>15</v>
      </c>
      <c r="D33" s="138">
        <v>4.57</v>
      </c>
      <c r="E33" s="139"/>
      <c r="F33" s="139"/>
      <c r="G33" s="139">
        <v>4.57</v>
      </c>
      <c r="H33" s="137">
        <v>1</v>
      </c>
      <c r="I33" s="137" t="s">
        <v>690</v>
      </c>
      <c r="J33" s="137" t="s">
        <v>691</v>
      </c>
    </row>
    <row r="34" spans="1:10" x14ac:dyDescent="0.25">
      <c r="A34" s="140" t="s">
        <v>744</v>
      </c>
      <c r="B34" s="140" t="s">
        <v>745</v>
      </c>
      <c r="C34" s="140" t="s">
        <v>15</v>
      </c>
      <c r="D34" s="138">
        <v>1.5049999999999999</v>
      </c>
      <c r="E34" s="141"/>
      <c r="F34" s="141">
        <v>1.5049999999999999</v>
      </c>
      <c r="G34" s="141"/>
      <c r="H34" s="140">
        <v>2</v>
      </c>
      <c r="I34" s="140" t="s">
        <v>696</v>
      </c>
      <c r="J34" s="140"/>
    </row>
    <row r="35" spans="1:10" x14ac:dyDescent="0.25">
      <c r="A35" s="137" t="s">
        <v>746</v>
      </c>
      <c r="B35" s="137" t="s">
        <v>747</v>
      </c>
      <c r="C35" s="137" t="s">
        <v>15</v>
      </c>
      <c r="D35" s="138">
        <v>4.25</v>
      </c>
      <c r="E35" s="139">
        <v>4.25</v>
      </c>
      <c r="F35" s="139"/>
      <c r="G35" s="139"/>
      <c r="H35" s="137">
        <v>1</v>
      </c>
      <c r="I35" s="137" t="s">
        <v>690</v>
      </c>
      <c r="J35" s="137" t="s">
        <v>691</v>
      </c>
    </row>
    <row r="36" spans="1:10" x14ac:dyDescent="0.25">
      <c r="A36" s="142" t="s">
        <v>748</v>
      </c>
      <c r="B36" s="142" t="s">
        <v>749</v>
      </c>
      <c r="C36" s="142" t="s">
        <v>15</v>
      </c>
      <c r="D36" s="138">
        <v>5.0999999999999996</v>
      </c>
      <c r="E36" s="143">
        <v>5.0824999999999996</v>
      </c>
      <c r="F36" s="143"/>
      <c r="G36" s="143">
        <v>3.4949999999999997</v>
      </c>
      <c r="H36" s="142">
        <v>4</v>
      </c>
      <c r="I36" s="142" t="s">
        <v>710</v>
      </c>
      <c r="J36" s="142" t="s">
        <v>750</v>
      </c>
    </row>
    <row r="37" spans="1:10" x14ac:dyDescent="0.25">
      <c r="A37" s="137" t="s">
        <v>751</v>
      </c>
      <c r="B37" s="137" t="s">
        <v>752</v>
      </c>
      <c r="C37" s="137" t="s">
        <v>15</v>
      </c>
      <c r="D37" s="138">
        <v>5.0529999999999999</v>
      </c>
      <c r="E37" s="139">
        <v>5.0529999999999999</v>
      </c>
      <c r="F37" s="139"/>
      <c r="G37" s="139"/>
      <c r="H37" s="137">
        <v>1</v>
      </c>
      <c r="I37" s="137" t="s">
        <v>690</v>
      </c>
      <c r="J37" s="137" t="s">
        <v>691</v>
      </c>
    </row>
    <row r="38" spans="1:10" x14ac:dyDescent="0.25">
      <c r="A38" s="140" t="s">
        <v>753</v>
      </c>
      <c r="B38" s="140" t="s">
        <v>754</v>
      </c>
      <c r="C38" s="140" t="s">
        <v>15</v>
      </c>
      <c r="D38" s="138">
        <v>1.02</v>
      </c>
      <c r="E38" s="141"/>
      <c r="F38" s="141"/>
      <c r="G38" s="141">
        <v>1.02</v>
      </c>
      <c r="H38" s="140">
        <v>2</v>
      </c>
      <c r="I38" s="140" t="s">
        <v>696</v>
      </c>
      <c r="J38" s="140"/>
    </row>
    <row r="39" spans="1:10" x14ac:dyDescent="0.25">
      <c r="A39" s="137" t="s">
        <v>755</v>
      </c>
      <c r="B39" s="137" t="s">
        <v>756</v>
      </c>
      <c r="C39" s="137" t="s">
        <v>15</v>
      </c>
      <c r="D39" s="138">
        <v>1.61</v>
      </c>
      <c r="E39" s="139"/>
      <c r="F39" s="139"/>
      <c r="G39" s="139">
        <v>1.61</v>
      </c>
      <c r="H39" s="137">
        <v>1</v>
      </c>
      <c r="I39" s="137" t="s">
        <v>690</v>
      </c>
      <c r="J39" s="137" t="s">
        <v>691</v>
      </c>
    </row>
    <row r="40" spans="1:10" x14ac:dyDescent="0.25">
      <c r="A40" s="137" t="s">
        <v>757</v>
      </c>
      <c r="B40" s="137" t="s">
        <v>526</v>
      </c>
      <c r="C40" s="137" t="s">
        <v>15</v>
      </c>
      <c r="D40" s="138">
        <v>1.07</v>
      </c>
      <c r="E40" s="139"/>
      <c r="F40" s="139">
        <v>1.07</v>
      </c>
      <c r="G40" s="139"/>
      <c r="H40" s="137">
        <v>1</v>
      </c>
      <c r="I40" s="137" t="s">
        <v>690</v>
      </c>
      <c r="J40" s="137" t="s">
        <v>691</v>
      </c>
    </row>
    <row r="41" spans="1:10" x14ac:dyDescent="0.25">
      <c r="A41" s="137" t="s">
        <v>758</v>
      </c>
      <c r="B41" s="137" t="s">
        <v>526</v>
      </c>
      <c r="C41" s="137" t="s">
        <v>15</v>
      </c>
      <c r="D41" s="138">
        <v>2.0099999999999998</v>
      </c>
      <c r="E41" s="139"/>
      <c r="F41" s="139">
        <v>2.0099999999999998</v>
      </c>
      <c r="G41" s="139"/>
      <c r="H41" s="137">
        <v>1</v>
      </c>
      <c r="I41" s="137" t="s">
        <v>690</v>
      </c>
      <c r="J41" s="137" t="s">
        <v>691</v>
      </c>
    </row>
    <row r="42" spans="1:10" x14ac:dyDescent="0.25">
      <c r="A42" s="140" t="s">
        <v>759</v>
      </c>
      <c r="B42" s="140" t="s">
        <v>760</v>
      </c>
      <c r="C42" s="140" t="s">
        <v>15</v>
      </c>
      <c r="D42" s="138">
        <v>1.0900000000000001</v>
      </c>
      <c r="E42" s="141">
        <v>1.0900000000000001</v>
      </c>
      <c r="F42" s="141"/>
      <c r="G42" s="141">
        <v>1.0900000000000001</v>
      </c>
      <c r="H42" s="140">
        <v>1</v>
      </c>
      <c r="I42" s="140" t="s">
        <v>696</v>
      </c>
      <c r="J42" s="140"/>
    </row>
    <row r="43" spans="1:10" x14ac:dyDescent="0.25">
      <c r="A43" s="142" t="s">
        <v>761</v>
      </c>
      <c r="B43" s="142" t="s">
        <v>762</v>
      </c>
      <c r="C43" s="142" t="s">
        <v>149</v>
      </c>
      <c r="D43" s="138">
        <v>50.155000000000001</v>
      </c>
      <c r="E43" s="143"/>
      <c r="F43" s="143">
        <v>99.11</v>
      </c>
      <c r="G43" s="143">
        <v>1.2</v>
      </c>
      <c r="H43" s="142">
        <v>1</v>
      </c>
      <c r="I43" s="142" t="s">
        <v>763</v>
      </c>
      <c r="J43" s="142" t="s">
        <v>764</v>
      </c>
    </row>
    <row r="44" spans="1:10" x14ac:dyDescent="0.25">
      <c r="A44" s="137" t="s">
        <v>765</v>
      </c>
      <c r="B44" s="137" t="s">
        <v>766</v>
      </c>
      <c r="C44" s="137" t="s">
        <v>15</v>
      </c>
      <c r="D44" s="138">
        <v>1.34</v>
      </c>
      <c r="E44" s="139"/>
      <c r="F44" s="139">
        <v>1.34</v>
      </c>
      <c r="G44" s="139"/>
      <c r="H44" s="137">
        <v>1</v>
      </c>
      <c r="I44" s="137" t="s">
        <v>690</v>
      </c>
      <c r="J44" s="137" t="s">
        <v>691</v>
      </c>
    </row>
    <row r="45" spans="1:10" x14ac:dyDescent="0.25">
      <c r="A45" s="140" t="s">
        <v>767</v>
      </c>
      <c r="B45" s="140" t="s">
        <v>103</v>
      </c>
      <c r="C45" s="140" t="s">
        <v>102</v>
      </c>
      <c r="D45" s="138">
        <v>0.28999999999999998</v>
      </c>
      <c r="E45" s="141"/>
      <c r="F45" s="141">
        <v>0.28999999999999998</v>
      </c>
      <c r="G45" s="141">
        <v>0.28999999999999998</v>
      </c>
      <c r="H45" s="140">
        <v>1</v>
      </c>
      <c r="I45" s="140" t="s">
        <v>696</v>
      </c>
      <c r="J45" s="140"/>
    </row>
    <row r="46" spans="1:10" x14ac:dyDescent="0.25">
      <c r="A46" s="137" t="s">
        <v>768</v>
      </c>
      <c r="B46" s="137" t="s">
        <v>769</v>
      </c>
      <c r="C46" s="137" t="s">
        <v>15</v>
      </c>
      <c r="D46" s="138">
        <v>27.1</v>
      </c>
      <c r="E46" s="139"/>
      <c r="F46" s="139"/>
      <c r="G46" s="139">
        <v>27.1</v>
      </c>
      <c r="H46" s="137">
        <v>1</v>
      </c>
      <c r="I46" s="137" t="s">
        <v>690</v>
      </c>
      <c r="J46" s="137" t="s">
        <v>691</v>
      </c>
    </row>
    <row r="47" spans="1:10" x14ac:dyDescent="0.25">
      <c r="A47" s="137" t="s">
        <v>770</v>
      </c>
      <c r="B47" s="137" t="s">
        <v>771</v>
      </c>
      <c r="C47" s="137" t="s">
        <v>15</v>
      </c>
      <c r="D47" s="138">
        <v>2.39</v>
      </c>
      <c r="E47" s="139"/>
      <c r="F47" s="139">
        <v>2.39</v>
      </c>
      <c r="G47" s="139"/>
      <c r="H47" s="137">
        <v>1</v>
      </c>
      <c r="I47" s="137" t="s">
        <v>690</v>
      </c>
      <c r="J47" s="137" t="s">
        <v>691</v>
      </c>
    </row>
    <row r="48" spans="1:10" x14ac:dyDescent="0.25">
      <c r="A48" s="137" t="s">
        <v>772</v>
      </c>
      <c r="B48" s="137" t="s">
        <v>773</v>
      </c>
      <c r="C48" s="137" t="s">
        <v>15</v>
      </c>
      <c r="D48" s="138">
        <v>3.6</v>
      </c>
      <c r="E48" s="139"/>
      <c r="F48" s="139"/>
      <c r="G48" s="139">
        <v>3.6</v>
      </c>
      <c r="H48" s="137">
        <v>1</v>
      </c>
      <c r="I48" s="137" t="s">
        <v>690</v>
      </c>
      <c r="J48" s="137" t="s">
        <v>691</v>
      </c>
    </row>
    <row r="49" spans="1:10" x14ac:dyDescent="0.25">
      <c r="A49" s="140" t="s">
        <v>774</v>
      </c>
      <c r="B49" s="140" t="s">
        <v>775</v>
      </c>
      <c r="C49" s="140" t="s">
        <v>222</v>
      </c>
      <c r="D49" s="138">
        <v>0.51700000000000002</v>
      </c>
      <c r="E49" s="141">
        <v>0.53200000000000003</v>
      </c>
      <c r="F49" s="141">
        <v>0.50750000000000006</v>
      </c>
      <c r="G49" s="141">
        <v>0.54</v>
      </c>
      <c r="H49" s="140">
        <v>4</v>
      </c>
      <c r="I49" s="140" t="s">
        <v>696</v>
      </c>
      <c r="J49" s="140"/>
    </row>
    <row r="50" spans="1:10" x14ac:dyDescent="0.25">
      <c r="A50" s="140" t="s">
        <v>776</v>
      </c>
      <c r="B50" s="140" t="s">
        <v>777</v>
      </c>
      <c r="C50" s="140" t="s">
        <v>15</v>
      </c>
      <c r="D50" s="138">
        <v>1.131875</v>
      </c>
      <c r="E50" s="141"/>
      <c r="F50" s="141"/>
      <c r="G50" s="141">
        <v>1.131875</v>
      </c>
      <c r="H50" s="140">
        <v>2</v>
      </c>
      <c r="I50" s="140" t="s">
        <v>696</v>
      </c>
      <c r="J50" s="140"/>
    </row>
    <row r="51" spans="1:10" x14ac:dyDescent="0.25">
      <c r="A51" s="137" t="s">
        <v>778</v>
      </c>
      <c r="B51" s="137" t="s">
        <v>779</v>
      </c>
      <c r="C51" s="137" t="s">
        <v>15</v>
      </c>
      <c r="D51" s="138">
        <v>1.1339999999999999</v>
      </c>
      <c r="E51" s="139"/>
      <c r="F51" s="139"/>
      <c r="G51" s="139">
        <v>1.1339999999999999</v>
      </c>
      <c r="H51" s="137">
        <v>1</v>
      </c>
      <c r="I51" s="137" t="s">
        <v>690</v>
      </c>
      <c r="J51" s="137" t="s">
        <v>691</v>
      </c>
    </row>
    <row r="52" spans="1:10" x14ac:dyDescent="0.25">
      <c r="A52" s="140" t="s">
        <v>780</v>
      </c>
      <c r="B52" s="140" t="s">
        <v>781</v>
      </c>
      <c r="C52" s="140" t="s">
        <v>15</v>
      </c>
      <c r="D52" s="138">
        <v>60.465000000000003</v>
      </c>
      <c r="E52" s="141"/>
      <c r="F52" s="141">
        <v>61.86</v>
      </c>
      <c r="G52" s="141">
        <v>59.07</v>
      </c>
      <c r="H52" s="140">
        <v>1</v>
      </c>
      <c r="I52" s="140" t="s">
        <v>696</v>
      </c>
      <c r="J52" s="140"/>
    </row>
    <row r="53" spans="1:10" x14ac:dyDescent="0.25">
      <c r="A53" s="140" t="s">
        <v>782</v>
      </c>
      <c r="B53" s="140" t="s">
        <v>783</v>
      </c>
      <c r="C53" s="140" t="s">
        <v>174</v>
      </c>
      <c r="D53" s="138">
        <v>1.6360000000000001</v>
      </c>
      <c r="E53" s="141">
        <v>1.488</v>
      </c>
      <c r="F53" s="141">
        <v>1.47</v>
      </c>
      <c r="G53" s="141">
        <v>1.95</v>
      </c>
      <c r="H53" s="140">
        <v>1</v>
      </c>
      <c r="I53" s="140" t="s">
        <v>696</v>
      </c>
      <c r="J53" s="140"/>
    </row>
    <row r="54" spans="1:10" x14ac:dyDescent="0.25">
      <c r="A54" s="140" t="s">
        <v>784</v>
      </c>
      <c r="B54" s="140" t="s">
        <v>785</v>
      </c>
      <c r="C54" s="140" t="s">
        <v>8</v>
      </c>
      <c r="D54" s="138">
        <v>6.6975000000000007</v>
      </c>
      <c r="E54" s="141">
        <v>6.6019999999999994</v>
      </c>
      <c r="F54" s="141">
        <v>6.7949999999999999</v>
      </c>
      <c r="G54" s="141">
        <v>6.7266666666666666</v>
      </c>
      <c r="H54" s="140">
        <v>5</v>
      </c>
      <c r="I54" s="140" t="s">
        <v>696</v>
      </c>
      <c r="J54" s="140"/>
    </row>
    <row r="55" spans="1:10" x14ac:dyDescent="0.25">
      <c r="A55" s="140" t="s">
        <v>786</v>
      </c>
      <c r="B55" s="140" t="s">
        <v>785</v>
      </c>
      <c r="C55" s="140" t="s">
        <v>174</v>
      </c>
      <c r="D55" s="138">
        <v>6.7118947368421074</v>
      </c>
      <c r="E55" s="141">
        <v>6.6008571428571434</v>
      </c>
      <c r="F55" s="141">
        <v>6.791666666666667</v>
      </c>
      <c r="G55" s="141">
        <v>6.7616666666666667</v>
      </c>
      <c r="H55" s="140">
        <v>8</v>
      </c>
      <c r="I55" s="140" t="s">
        <v>696</v>
      </c>
      <c r="J55" s="140"/>
    </row>
    <row r="56" spans="1:10" x14ac:dyDescent="0.25">
      <c r="A56" s="140" t="s">
        <v>787</v>
      </c>
      <c r="B56" s="140" t="s">
        <v>788</v>
      </c>
      <c r="C56" s="140" t="s">
        <v>8</v>
      </c>
      <c r="D56" s="138">
        <v>6.7489472778273614</v>
      </c>
      <c r="E56" s="141"/>
      <c r="F56" s="141">
        <v>6.743733333333334</v>
      </c>
      <c r="G56" s="141">
        <v>6.7532922315723871</v>
      </c>
      <c r="H56" s="140">
        <v>9</v>
      </c>
      <c r="I56" s="140" t="s">
        <v>696</v>
      </c>
      <c r="J56" s="140"/>
    </row>
    <row r="57" spans="1:10" x14ac:dyDescent="0.25">
      <c r="A57" s="142" t="s">
        <v>789</v>
      </c>
      <c r="B57" s="142" t="s">
        <v>790</v>
      </c>
      <c r="C57" s="142" t="s">
        <v>8</v>
      </c>
      <c r="D57" s="138">
        <v>6.7</v>
      </c>
      <c r="E57" s="143">
        <v>6.6422857142857135</v>
      </c>
      <c r="F57" s="143">
        <v>5.9561111111111105</v>
      </c>
      <c r="G57" s="143">
        <v>6.7275</v>
      </c>
      <c r="H57" s="142">
        <v>8</v>
      </c>
      <c r="I57" s="142" t="s">
        <v>710</v>
      </c>
      <c r="J57" s="142" t="s">
        <v>791</v>
      </c>
    </row>
    <row r="58" spans="1:10" x14ac:dyDescent="0.25">
      <c r="A58" s="140" t="s">
        <v>792</v>
      </c>
      <c r="B58" s="140" t="s">
        <v>790</v>
      </c>
      <c r="C58" s="140" t="s">
        <v>174</v>
      </c>
      <c r="D58" s="138">
        <v>6.6886666666666672</v>
      </c>
      <c r="E58" s="141">
        <v>6.6660000000000004</v>
      </c>
      <c r="F58" s="141">
        <v>6.7</v>
      </c>
      <c r="G58" s="141">
        <v>6.7</v>
      </c>
      <c r="H58" s="140">
        <v>2</v>
      </c>
      <c r="I58" s="140" t="s">
        <v>696</v>
      </c>
      <c r="J58" s="140"/>
    </row>
    <row r="59" spans="1:10" x14ac:dyDescent="0.25">
      <c r="A59" s="140" t="s">
        <v>793</v>
      </c>
      <c r="B59" s="140" t="s">
        <v>601</v>
      </c>
      <c r="C59" s="140" t="s">
        <v>8</v>
      </c>
      <c r="D59" s="138"/>
      <c r="E59" s="141"/>
      <c r="F59" s="141"/>
      <c r="G59" s="141"/>
      <c r="H59" s="140">
        <v>1</v>
      </c>
      <c r="I59" s="140" t="s">
        <v>794</v>
      </c>
      <c r="J59" s="140"/>
    </row>
    <row r="60" spans="1:10" x14ac:dyDescent="0.25">
      <c r="A60" s="140" t="s">
        <v>795</v>
      </c>
      <c r="B60" s="140" t="s">
        <v>796</v>
      </c>
      <c r="C60" s="140" t="s">
        <v>15</v>
      </c>
      <c r="D60" s="138">
        <v>1.2999999999999998</v>
      </c>
      <c r="E60" s="141"/>
      <c r="F60" s="141">
        <v>1.45</v>
      </c>
      <c r="G60" s="141">
        <v>1.1499999999999999</v>
      </c>
      <c r="H60" s="140">
        <v>2</v>
      </c>
      <c r="I60" s="140" t="s">
        <v>696</v>
      </c>
      <c r="J60" s="140"/>
    </row>
    <row r="61" spans="1:10" x14ac:dyDescent="0.25">
      <c r="A61" s="140" t="s">
        <v>797</v>
      </c>
      <c r="B61" s="140" t="s">
        <v>798</v>
      </c>
      <c r="C61" s="140" t="s">
        <v>15</v>
      </c>
      <c r="D61" s="138">
        <v>7.6570634920634939</v>
      </c>
      <c r="E61" s="141">
        <v>7.4</v>
      </c>
      <c r="F61" s="141">
        <v>8.06</v>
      </c>
      <c r="G61" s="141">
        <v>7.3183928571428574</v>
      </c>
      <c r="H61" s="140">
        <v>6</v>
      </c>
      <c r="I61" s="140" t="s">
        <v>696</v>
      </c>
      <c r="J61" s="140"/>
    </row>
    <row r="62" spans="1:10" x14ac:dyDescent="0.25">
      <c r="A62" s="140" t="s">
        <v>799</v>
      </c>
      <c r="B62" s="140" t="s">
        <v>800</v>
      </c>
      <c r="C62" s="140" t="s">
        <v>15</v>
      </c>
      <c r="D62" s="138">
        <v>1.4500000000000002</v>
      </c>
      <c r="E62" s="141">
        <v>1.58</v>
      </c>
      <c r="F62" s="141">
        <v>1.57</v>
      </c>
      <c r="G62" s="141">
        <v>1.2</v>
      </c>
      <c r="H62" s="140">
        <v>2</v>
      </c>
      <c r="I62" s="140" t="s">
        <v>696</v>
      </c>
      <c r="J62" s="140"/>
    </row>
    <row r="63" spans="1:10" x14ac:dyDescent="0.25">
      <c r="A63" s="137" t="s">
        <v>801</v>
      </c>
      <c r="B63" s="137" t="s">
        <v>556</v>
      </c>
      <c r="C63" s="137" t="s">
        <v>15</v>
      </c>
      <c r="D63" s="138">
        <v>0.02</v>
      </c>
      <c r="E63" s="139"/>
      <c r="F63" s="139"/>
      <c r="G63" s="139">
        <v>0.02</v>
      </c>
      <c r="H63" s="137">
        <v>1</v>
      </c>
      <c r="I63" s="137" t="s">
        <v>690</v>
      </c>
      <c r="J63" s="137" t="s">
        <v>691</v>
      </c>
    </row>
    <row r="64" spans="1:10" x14ac:dyDescent="0.25">
      <c r="A64" s="140" t="s">
        <v>802</v>
      </c>
      <c r="B64" s="140" t="s">
        <v>803</v>
      </c>
      <c r="C64" s="140" t="s">
        <v>15</v>
      </c>
      <c r="D64" s="138">
        <v>0.64500000000000002</v>
      </c>
      <c r="E64" s="141"/>
      <c r="F64" s="141"/>
      <c r="G64" s="141">
        <v>0.64500000000000002</v>
      </c>
      <c r="H64" s="140">
        <v>2</v>
      </c>
      <c r="I64" s="140" t="s">
        <v>696</v>
      </c>
      <c r="J64" s="140"/>
    </row>
    <row r="65" spans="1:10" x14ac:dyDescent="0.25">
      <c r="A65" s="140" t="s">
        <v>804</v>
      </c>
      <c r="B65" s="140" t="s">
        <v>607</v>
      </c>
      <c r="C65" s="140" t="s">
        <v>608</v>
      </c>
      <c r="D65" s="138"/>
      <c r="E65" s="141"/>
      <c r="F65" s="141"/>
      <c r="G65" s="141"/>
      <c r="H65" s="140">
        <v>1</v>
      </c>
      <c r="I65" s="140" t="s">
        <v>794</v>
      </c>
      <c r="J65" s="140"/>
    </row>
    <row r="66" spans="1:10" x14ac:dyDescent="0.25">
      <c r="A66" s="140" t="s">
        <v>805</v>
      </c>
      <c r="B66" s="140" t="s">
        <v>806</v>
      </c>
      <c r="C66" s="140" t="s">
        <v>30</v>
      </c>
      <c r="D66" s="138">
        <v>3.145</v>
      </c>
      <c r="E66" s="141">
        <v>3.145</v>
      </c>
      <c r="F66" s="141"/>
      <c r="G66" s="141"/>
      <c r="H66" s="140">
        <v>4</v>
      </c>
      <c r="I66" s="140" t="s">
        <v>696</v>
      </c>
      <c r="J66" s="140"/>
    </row>
    <row r="67" spans="1:10" x14ac:dyDescent="0.25">
      <c r="A67" s="140" t="s">
        <v>807</v>
      </c>
      <c r="B67" s="140" t="s">
        <v>463</v>
      </c>
      <c r="C67" s="140" t="s">
        <v>30</v>
      </c>
      <c r="D67" s="138">
        <v>3.125</v>
      </c>
      <c r="E67" s="141"/>
      <c r="F67" s="141">
        <v>3.04</v>
      </c>
      <c r="G67" s="141">
        <v>3.21</v>
      </c>
      <c r="H67" s="140">
        <v>1</v>
      </c>
      <c r="I67" s="140" t="s">
        <v>696</v>
      </c>
      <c r="J67" s="140"/>
    </row>
    <row r="68" spans="1:10" x14ac:dyDescent="0.25">
      <c r="A68" s="140" t="s">
        <v>808</v>
      </c>
      <c r="B68" s="140" t="s">
        <v>156</v>
      </c>
      <c r="C68" s="140" t="s">
        <v>30</v>
      </c>
      <c r="D68" s="138">
        <v>9.0133333333333336</v>
      </c>
      <c r="E68" s="141"/>
      <c r="F68" s="141">
        <v>9.08</v>
      </c>
      <c r="G68" s="141">
        <v>8.8800000000000008</v>
      </c>
      <c r="H68" s="140">
        <v>2</v>
      </c>
      <c r="I68" s="140" t="s">
        <v>696</v>
      </c>
      <c r="J68" s="140"/>
    </row>
    <row r="69" spans="1:10" x14ac:dyDescent="0.25">
      <c r="A69" s="142" t="s">
        <v>809</v>
      </c>
      <c r="B69" s="142" t="s">
        <v>810</v>
      </c>
      <c r="C69" s="142" t="s">
        <v>30</v>
      </c>
      <c r="D69" s="138">
        <v>3.2450000000000001</v>
      </c>
      <c r="E69" s="143">
        <v>3.1425000000000001</v>
      </c>
      <c r="F69" s="143">
        <v>7.2</v>
      </c>
      <c r="G69" s="143"/>
      <c r="H69" s="142">
        <v>4</v>
      </c>
      <c r="I69" s="142" t="s">
        <v>710</v>
      </c>
      <c r="J69" s="142" t="s">
        <v>811</v>
      </c>
    </row>
    <row r="70" spans="1:10" x14ac:dyDescent="0.25">
      <c r="A70" s="140" t="s">
        <v>812</v>
      </c>
      <c r="B70" s="140" t="s">
        <v>364</v>
      </c>
      <c r="C70" s="140" t="s">
        <v>30</v>
      </c>
      <c r="D70" s="138">
        <v>3.94</v>
      </c>
      <c r="E70" s="141"/>
      <c r="F70" s="141"/>
      <c r="G70" s="141">
        <v>3.94</v>
      </c>
      <c r="H70" s="140">
        <v>2</v>
      </c>
      <c r="I70" s="140" t="s">
        <v>696</v>
      </c>
      <c r="J70" s="140"/>
    </row>
    <row r="71" spans="1:10" x14ac:dyDescent="0.25">
      <c r="A71" s="137" t="s">
        <v>813</v>
      </c>
      <c r="B71" s="137" t="s">
        <v>814</v>
      </c>
      <c r="C71" s="137" t="s">
        <v>30</v>
      </c>
      <c r="D71" s="138">
        <v>8.82</v>
      </c>
      <c r="E71" s="139"/>
      <c r="F71" s="139"/>
      <c r="G71" s="139">
        <v>8.82</v>
      </c>
      <c r="H71" s="137">
        <v>1</v>
      </c>
      <c r="I71" s="137" t="s">
        <v>690</v>
      </c>
      <c r="J71" s="137" t="s">
        <v>691</v>
      </c>
    </row>
    <row r="72" spans="1:10" x14ac:dyDescent="0.25">
      <c r="A72" s="140" t="s">
        <v>815</v>
      </c>
      <c r="B72" s="140" t="s">
        <v>816</v>
      </c>
      <c r="C72" s="140" t="s">
        <v>30</v>
      </c>
      <c r="D72" s="138">
        <v>3.5214999999999996</v>
      </c>
      <c r="E72" s="141">
        <v>3.16425</v>
      </c>
      <c r="F72" s="141">
        <v>3.6695000000000002</v>
      </c>
      <c r="G72" s="141">
        <v>3.94</v>
      </c>
      <c r="H72" s="140">
        <v>4</v>
      </c>
      <c r="I72" s="140" t="s">
        <v>696</v>
      </c>
      <c r="J72" s="140"/>
    </row>
    <row r="73" spans="1:10" x14ac:dyDescent="0.25">
      <c r="A73" s="140" t="s">
        <v>817</v>
      </c>
      <c r="B73" s="140" t="s">
        <v>818</v>
      </c>
      <c r="C73" s="140" t="s">
        <v>30</v>
      </c>
      <c r="D73" s="138">
        <v>1.84375</v>
      </c>
      <c r="E73" s="141"/>
      <c r="F73" s="141">
        <v>1.87</v>
      </c>
      <c r="G73" s="141">
        <v>1.8174999999999999</v>
      </c>
      <c r="H73" s="140">
        <v>4</v>
      </c>
      <c r="I73" s="140" t="s">
        <v>696</v>
      </c>
      <c r="J73" s="140"/>
    </row>
    <row r="74" spans="1:10" x14ac:dyDescent="0.25">
      <c r="A74" s="140" t="s">
        <v>819</v>
      </c>
      <c r="B74" s="140" t="s">
        <v>820</v>
      </c>
      <c r="C74" s="140" t="s">
        <v>30</v>
      </c>
      <c r="D74" s="138">
        <v>1.8223333333333334</v>
      </c>
      <c r="E74" s="141">
        <v>1.6935555555555555</v>
      </c>
      <c r="F74" s="141">
        <v>1.9449999999999998</v>
      </c>
      <c r="G74" s="141">
        <v>1.956</v>
      </c>
      <c r="H74" s="140">
        <v>9</v>
      </c>
      <c r="I74" s="140" t="s">
        <v>696</v>
      </c>
      <c r="J74" s="140"/>
    </row>
    <row r="75" spans="1:10" x14ac:dyDescent="0.25">
      <c r="A75" s="140" t="s">
        <v>821</v>
      </c>
      <c r="B75" s="140" t="s">
        <v>822</v>
      </c>
      <c r="C75" s="140" t="s">
        <v>30</v>
      </c>
      <c r="D75" s="138">
        <v>2.0827777777777783</v>
      </c>
      <c r="E75" s="141"/>
      <c r="F75" s="141">
        <v>2.2199999999999998</v>
      </c>
      <c r="G75" s="141">
        <v>1.9455555555555566</v>
      </c>
      <c r="H75" s="140">
        <v>6</v>
      </c>
      <c r="I75" s="140" t="s">
        <v>696</v>
      </c>
      <c r="J75" s="140"/>
    </row>
    <row r="76" spans="1:10" x14ac:dyDescent="0.25">
      <c r="A76" s="140" t="s">
        <v>823</v>
      </c>
      <c r="B76" s="140" t="s">
        <v>824</v>
      </c>
      <c r="C76" s="140" t="s">
        <v>30</v>
      </c>
      <c r="D76" s="138">
        <v>1.9257894736842103</v>
      </c>
      <c r="E76" s="141">
        <v>1.7266666666666666</v>
      </c>
      <c r="F76" s="141">
        <v>2.1471428571428572</v>
      </c>
      <c r="G76" s="141">
        <v>2.0066666666666664</v>
      </c>
      <c r="H76" s="140">
        <v>9</v>
      </c>
      <c r="I76" s="140" t="s">
        <v>696</v>
      </c>
      <c r="J76" s="140"/>
    </row>
    <row r="77" spans="1:10" x14ac:dyDescent="0.25">
      <c r="A77" s="140" t="s">
        <v>825</v>
      </c>
      <c r="B77" s="140" t="s">
        <v>826</v>
      </c>
      <c r="C77" s="140" t="s">
        <v>30</v>
      </c>
      <c r="D77" s="138">
        <v>2.415</v>
      </c>
      <c r="E77" s="141"/>
      <c r="F77" s="141">
        <v>2.415</v>
      </c>
      <c r="G77" s="141"/>
      <c r="H77" s="140">
        <v>2</v>
      </c>
      <c r="I77" s="140" t="s">
        <v>696</v>
      </c>
      <c r="J77" s="140"/>
    </row>
    <row r="78" spans="1:10" x14ac:dyDescent="0.25">
      <c r="A78" s="137" t="s">
        <v>827</v>
      </c>
      <c r="B78" s="137" t="s">
        <v>828</v>
      </c>
      <c r="C78" s="137" t="s">
        <v>23</v>
      </c>
      <c r="D78" s="138">
        <v>0.96</v>
      </c>
      <c r="E78" s="139">
        <v>0.96</v>
      </c>
      <c r="F78" s="139"/>
      <c r="G78" s="139"/>
      <c r="H78" s="137">
        <v>1</v>
      </c>
      <c r="I78" s="137" t="s">
        <v>690</v>
      </c>
      <c r="J78" s="137" t="s">
        <v>691</v>
      </c>
    </row>
    <row r="79" spans="1:10" x14ac:dyDescent="0.25">
      <c r="A79" s="137" t="s">
        <v>829</v>
      </c>
      <c r="B79" s="137" t="s">
        <v>830</v>
      </c>
      <c r="C79" s="137" t="s">
        <v>15</v>
      </c>
      <c r="D79" s="138">
        <v>40.57</v>
      </c>
      <c r="E79" s="139"/>
      <c r="F79" s="139">
        <v>40.57</v>
      </c>
      <c r="G79" s="139"/>
      <c r="H79" s="137">
        <v>1</v>
      </c>
      <c r="I79" s="137" t="s">
        <v>690</v>
      </c>
      <c r="J79" s="137" t="s">
        <v>691</v>
      </c>
    </row>
    <row r="80" spans="1:10" x14ac:dyDescent="0.25">
      <c r="A80" s="140" t="s">
        <v>831</v>
      </c>
      <c r="B80" s="140" t="s">
        <v>832</v>
      </c>
      <c r="C80" s="140" t="s">
        <v>15</v>
      </c>
      <c r="D80" s="138">
        <v>0.3</v>
      </c>
      <c r="E80" s="141"/>
      <c r="F80" s="141"/>
      <c r="G80" s="141">
        <v>0.3</v>
      </c>
      <c r="H80" s="140">
        <v>3</v>
      </c>
      <c r="I80" s="140" t="s">
        <v>696</v>
      </c>
      <c r="J80" s="140"/>
    </row>
    <row r="81" spans="1:10" x14ac:dyDescent="0.25">
      <c r="A81" s="140" t="s">
        <v>833</v>
      </c>
      <c r="B81" s="140" t="s">
        <v>834</v>
      </c>
      <c r="C81" s="140" t="s">
        <v>15</v>
      </c>
      <c r="D81" s="138">
        <v>2.0149999999999997</v>
      </c>
      <c r="E81" s="141">
        <v>2.0149999999999997</v>
      </c>
      <c r="F81" s="141"/>
      <c r="G81" s="141"/>
      <c r="H81" s="140">
        <v>2</v>
      </c>
      <c r="I81" s="140" t="s">
        <v>696</v>
      </c>
      <c r="J81" s="140"/>
    </row>
    <row r="82" spans="1:10" x14ac:dyDescent="0.25">
      <c r="A82" s="140" t="s">
        <v>835</v>
      </c>
      <c r="B82" s="140" t="s">
        <v>836</v>
      </c>
      <c r="C82" s="140" t="s">
        <v>15</v>
      </c>
      <c r="D82" s="138">
        <v>2.15</v>
      </c>
      <c r="E82" s="141">
        <v>2.15</v>
      </c>
      <c r="F82" s="141"/>
      <c r="G82" s="141">
        <v>2.15</v>
      </c>
      <c r="H82" s="140">
        <v>5</v>
      </c>
      <c r="I82" s="140" t="s">
        <v>696</v>
      </c>
      <c r="J82" s="140"/>
    </row>
    <row r="83" spans="1:10" x14ac:dyDescent="0.25">
      <c r="A83" s="140" t="s">
        <v>837</v>
      </c>
      <c r="B83" s="140" t="s">
        <v>838</v>
      </c>
      <c r="C83" s="140" t="s">
        <v>23</v>
      </c>
      <c r="D83" s="138">
        <v>4.5599999999999996</v>
      </c>
      <c r="E83" s="141"/>
      <c r="F83" s="141">
        <v>4.5599999999999996</v>
      </c>
      <c r="G83" s="141">
        <v>4.5599999999999996</v>
      </c>
      <c r="H83" s="140">
        <v>1</v>
      </c>
      <c r="I83" s="140" t="s">
        <v>696</v>
      </c>
      <c r="J83" s="140"/>
    </row>
    <row r="84" spans="1:10" x14ac:dyDescent="0.25">
      <c r="A84" s="137" t="s">
        <v>839</v>
      </c>
      <c r="B84" s="137" t="s">
        <v>840</v>
      </c>
      <c r="C84" s="137" t="s">
        <v>15</v>
      </c>
      <c r="D84" s="138">
        <v>1.86</v>
      </c>
      <c r="E84" s="139"/>
      <c r="F84" s="139"/>
      <c r="G84" s="139">
        <v>1.86</v>
      </c>
      <c r="H84" s="137">
        <v>1</v>
      </c>
      <c r="I84" s="137" t="s">
        <v>690</v>
      </c>
      <c r="J84" s="137" t="s">
        <v>691</v>
      </c>
    </row>
    <row r="85" spans="1:10" x14ac:dyDescent="0.25">
      <c r="A85" s="142" t="s">
        <v>841</v>
      </c>
      <c r="B85" s="142" t="s">
        <v>842</v>
      </c>
      <c r="C85" s="142" t="s">
        <v>30</v>
      </c>
      <c r="D85" s="138">
        <v>14.475</v>
      </c>
      <c r="E85" s="143">
        <v>1.77</v>
      </c>
      <c r="F85" s="143"/>
      <c r="G85" s="143">
        <v>27.18</v>
      </c>
      <c r="H85" s="142">
        <v>1</v>
      </c>
      <c r="I85" s="142" t="s">
        <v>763</v>
      </c>
      <c r="J85" s="142" t="s">
        <v>843</v>
      </c>
    </row>
    <row r="86" spans="1:10" x14ac:dyDescent="0.25">
      <c r="A86" s="140" t="s">
        <v>844</v>
      </c>
      <c r="B86" s="140" t="s">
        <v>609</v>
      </c>
      <c r="C86" s="140" t="s">
        <v>605</v>
      </c>
      <c r="D86" s="138"/>
      <c r="E86" s="141"/>
      <c r="F86" s="141"/>
      <c r="G86" s="141"/>
      <c r="H86" s="140">
        <v>1</v>
      </c>
      <c r="I86" s="140" t="s">
        <v>794</v>
      </c>
      <c r="J86" s="140"/>
    </row>
    <row r="87" spans="1:10" x14ac:dyDescent="0.25">
      <c r="A87" s="140" t="s">
        <v>845</v>
      </c>
      <c r="B87" s="140" t="s">
        <v>846</v>
      </c>
      <c r="C87" s="140" t="s">
        <v>15</v>
      </c>
      <c r="D87" s="138">
        <v>8.452</v>
      </c>
      <c r="E87" s="141">
        <v>9.1533333333333342</v>
      </c>
      <c r="F87" s="141"/>
      <c r="G87" s="141">
        <v>7.4</v>
      </c>
      <c r="H87" s="140">
        <v>3</v>
      </c>
      <c r="I87" s="140" t="s">
        <v>696</v>
      </c>
      <c r="J87" s="140"/>
    </row>
    <row r="88" spans="1:10" x14ac:dyDescent="0.25">
      <c r="A88" s="137" t="s">
        <v>847</v>
      </c>
      <c r="B88" s="137" t="s">
        <v>225</v>
      </c>
      <c r="C88" s="137" t="s">
        <v>15</v>
      </c>
      <c r="D88" s="138">
        <v>21.08</v>
      </c>
      <c r="E88" s="139"/>
      <c r="F88" s="139">
        <v>21.08</v>
      </c>
      <c r="G88" s="139"/>
      <c r="H88" s="137">
        <v>1</v>
      </c>
      <c r="I88" s="137" t="s">
        <v>690</v>
      </c>
      <c r="J88" s="137" t="s">
        <v>691</v>
      </c>
    </row>
    <row r="89" spans="1:10" x14ac:dyDescent="0.25">
      <c r="A89" s="140" t="s">
        <v>848</v>
      </c>
      <c r="B89" s="140" t="s">
        <v>849</v>
      </c>
      <c r="C89" s="140" t="s">
        <v>15</v>
      </c>
      <c r="D89" s="138">
        <v>4.8216666666666663</v>
      </c>
      <c r="E89" s="141"/>
      <c r="F89" s="141"/>
      <c r="G89" s="141">
        <v>4.8216666666666663</v>
      </c>
      <c r="H89" s="140">
        <v>3</v>
      </c>
      <c r="I89" s="140" t="s">
        <v>696</v>
      </c>
      <c r="J89" s="140"/>
    </row>
    <row r="90" spans="1:10" x14ac:dyDescent="0.25">
      <c r="A90" s="140" t="s">
        <v>850</v>
      </c>
      <c r="B90" s="140" t="s">
        <v>851</v>
      </c>
      <c r="C90" s="140" t="s">
        <v>15</v>
      </c>
      <c r="D90" s="138">
        <v>7.3260000000000005</v>
      </c>
      <c r="E90" s="141">
        <v>7.2</v>
      </c>
      <c r="F90" s="141">
        <v>7.3574999999999999</v>
      </c>
      <c r="G90" s="141"/>
      <c r="H90" s="140">
        <v>4</v>
      </c>
      <c r="I90" s="140" t="s">
        <v>696</v>
      </c>
      <c r="J90" s="140"/>
    </row>
    <row r="91" spans="1:10" x14ac:dyDescent="0.25">
      <c r="A91" s="140" t="s">
        <v>852</v>
      </c>
      <c r="B91" s="140" t="s">
        <v>407</v>
      </c>
      <c r="C91" s="140" t="s">
        <v>15</v>
      </c>
      <c r="D91" s="138">
        <v>2.404166666666665</v>
      </c>
      <c r="E91" s="141"/>
      <c r="F91" s="141"/>
      <c r="G91" s="141">
        <v>2.404166666666665</v>
      </c>
      <c r="H91" s="140">
        <v>2</v>
      </c>
      <c r="I91" s="140" t="s">
        <v>696</v>
      </c>
      <c r="J91" s="140"/>
    </row>
    <row r="92" spans="1:10" x14ac:dyDescent="0.25">
      <c r="A92" s="140" t="s">
        <v>853</v>
      </c>
      <c r="B92" s="140" t="s">
        <v>854</v>
      </c>
      <c r="C92" s="140" t="s">
        <v>15</v>
      </c>
      <c r="D92" s="138">
        <v>2.5252631578947367</v>
      </c>
      <c r="E92" s="141">
        <v>2.4237500000000001</v>
      </c>
      <c r="F92" s="141">
        <v>2.61</v>
      </c>
      <c r="G92" s="141">
        <v>2.5859999999999999</v>
      </c>
      <c r="H92" s="140">
        <v>8</v>
      </c>
      <c r="I92" s="140" t="s">
        <v>696</v>
      </c>
      <c r="J92" s="140"/>
    </row>
    <row r="93" spans="1:10" x14ac:dyDescent="0.25">
      <c r="A93" s="142" t="s">
        <v>855</v>
      </c>
      <c r="B93" s="142" t="s">
        <v>856</v>
      </c>
      <c r="C93" s="142" t="s">
        <v>15</v>
      </c>
      <c r="D93" s="138">
        <v>5.35</v>
      </c>
      <c r="E93" s="143">
        <v>5.375</v>
      </c>
      <c r="F93" s="143"/>
      <c r="G93" s="143">
        <v>17.901999999999997</v>
      </c>
      <c r="H93" s="142">
        <v>8</v>
      </c>
      <c r="I93" s="142" t="s">
        <v>763</v>
      </c>
      <c r="J93" s="142" t="s">
        <v>857</v>
      </c>
    </row>
    <row r="94" spans="1:10" x14ac:dyDescent="0.25">
      <c r="A94" s="137" t="s">
        <v>858</v>
      </c>
      <c r="B94" s="137" t="s">
        <v>859</v>
      </c>
      <c r="C94" s="137" t="s">
        <v>15</v>
      </c>
      <c r="D94" s="138">
        <v>1.45</v>
      </c>
      <c r="E94" s="139"/>
      <c r="F94" s="139"/>
      <c r="G94" s="139">
        <v>1.45</v>
      </c>
      <c r="H94" s="137">
        <v>1</v>
      </c>
      <c r="I94" s="137" t="s">
        <v>690</v>
      </c>
      <c r="J94" s="137" t="s">
        <v>691</v>
      </c>
    </row>
    <row r="95" spans="1:10" x14ac:dyDescent="0.25">
      <c r="A95" s="137" t="s">
        <v>860</v>
      </c>
      <c r="B95" s="137" t="s">
        <v>861</v>
      </c>
      <c r="C95" s="137" t="s">
        <v>15</v>
      </c>
      <c r="D95" s="138">
        <v>74.81</v>
      </c>
      <c r="E95" s="139"/>
      <c r="F95" s="139"/>
      <c r="G95" s="139">
        <v>74.81</v>
      </c>
      <c r="H95" s="137">
        <v>1</v>
      </c>
      <c r="I95" s="137" t="s">
        <v>690</v>
      </c>
      <c r="J95" s="137" t="s">
        <v>691</v>
      </c>
    </row>
    <row r="96" spans="1:10" x14ac:dyDescent="0.25">
      <c r="A96" s="140" t="s">
        <v>862</v>
      </c>
      <c r="B96" s="140" t="s">
        <v>136</v>
      </c>
      <c r="C96" s="140" t="s">
        <v>15</v>
      </c>
      <c r="D96" s="138">
        <v>3.335</v>
      </c>
      <c r="E96" s="141">
        <v>3.33</v>
      </c>
      <c r="F96" s="141"/>
      <c r="G96" s="141">
        <v>3.34</v>
      </c>
      <c r="H96" s="140">
        <v>1</v>
      </c>
      <c r="I96" s="140" t="s">
        <v>696</v>
      </c>
      <c r="J96" s="140"/>
    </row>
    <row r="97" spans="1:10" x14ac:dyDescent="0.25">
      <c r="A97" s="140" t="s">
        <v>863</v>
      </c>
      <c r="B97" s="140" t="s">
        <v>864</v>
      </c>
      <c r="C97" s="140" t="s">
        <v>15</v>
      </c>
      <c r="D97" s="138">
        <v>2.4550000000000001</v>
      </c>
      <c r="E97" s="141">
        <v>1.5249999999999999</v>
      </c>
      <c r="F97" s="141">
        <v>2.89</v>
      </c>
      <c r="G97" s="141">
        <v>2.95</v>
      </c>
      <c r="H97" s="140">
        <v>1</v>
      </c>
      <c r="I97" s="140" t="s">
        <v>696</v>
      </c>
      <c r="J97" s="140"/>
    </row>
    <row r="98" spans="1:10" x14ac:dyDescent="0.25">
      <c r="A98" s="137" t="s">
        <v>865</v>
      </c>
      <c r="B98" s="137" t="s">
        <v>866</v>
      </c>
      <c r="C98" s="137" t="s">
        <v>15</v>
      </c>
      <c r="D98" s="138">
        <v>1.99</v>
      </c>
      <c r="E98" s="139"/>
      <c r="F98" s="139"/>
      <c r="G98" s="139">
        <v>1.99</v>
      </c>
      <c r="H98" s="137">
        <v>1</v>
      </c>
      <c r="I98" s="137" t="s">
        <v>690</v>
      </c>
      <c r="J98" s="137" t="s">
        <v>691</v>
      </c>
    </row>
    <row r="99" spans="1:10" x14ac:dyDescent="0.25">
      <c r="A99" s="140" t="s">
        <v>867</v>
      </c>
      <c r="B99" s="140" t="s">
        <v>868</v>
      </c>
      <c r="C99" s="140" t="s">
        <v>15</v>
      </c>
      <c r="D99" s="138">
        <v>1.9466666666666665</v>
      </c>
      <c r="E99" s="141">
        <v>1.57</v>
      </c>
      <c r="F99" s="141">
        <v>2.13</v>
      </c>
      <c r="G99" s="141">
        <v>2.14</v>
      </c>
      <c r="H99" s="140">
        <v>1</v>
      </c>
      <c r="I99" s="140" t="s">
        <v>696</v>
      </c>
      <c r="J99" s="140"/>
    </row>
    <row r="100" spans="1:10" x14ac:dyDescent="0.25">
      <c r="A100" s="137" t="s">
        <v>869</v>
      </c>
      <c r="B100" s="137" t="s">
        <v>870</v>
      </c>
      <c r="C100" s="137" t="s">
        <v>15</v>
      </c>
      <c r="D100" s="138">
        <v>1.67</v>
      </c>
      <c r="E100" s="139"/>
      <c r="F100" s="139"/>
      <c r="G100" s="139">
        <v>1.67</v>
      </c>
      <c r="H100" s="137">
        <v>1</v>
      </c>
      <c r="I100" s="137" t="s">
        <v>690</v>
      </c>
      <c r="J100" s="137" t="s">
        <v>691</v>
      </c>
    </row>
    <row r="101" spans="1:10" x14ac:dyDescent="0.25">
      <c r="A101" s="137" t="s">
        <v>871</v>
      </c>
      <c r="B101" s="137" t="s">
        <v>872</v>
      </c>
      <c r="C101" s="137" t="s">
        <v>15</v>
      </c>
      <c r="D101" s="138">
        <v>1.18</v>
      </c>
      <c r="E101" s="139"/>
      <c r="F101" s="139"/>
      <c r="G101" s="139">
        <v>1.18</v>
      </c>
      <c r="H101" s="137">
        <v>1</v>
      </c>
      <c r="I101" s="137" t="s">
        <v>690</v>
      </c>
      <c r="J101" s="137" t="s">
        <v>691</v>
      </c>
    </row>
    <row r="102" spans="1:10" x14ac:dyDescent="0.25">
      <c r="A102" s="140" t="s">
        <v>873</v>
      </c>
      <c r="B102" s="140" t="s">
        <v>874</v>
      </c>
      <c r="C102" s="140" t="s">
        <v>15</v>
      </c>
      <c r="D102" s="138">
        <v>0.47</v>
      </c>
      <c r="E102" s="141">
        <v>0.48</v>
      </c>
      <c r="F102" s="141">
        <v>0.46</v>
      </c>
      <c r="G102" s="141"/>
      <c r="H102" s="140">
        <v>1</v>
      </c>
      <c r="I102" s="140" t="s">
        <v>696</v>
      </c>
      <c r="J102" s="140"/>
    </row>
    <row r="103" spans="1:10" x14ac:dyDescent="0.25">
      <c r="A103" s="137" t="s">
        <v>875</v>
      </c>
      <c r="B103" s="137" t="s">
        <v>876</v>
      </c>
      <c r="C103" s="137"/>
      <c r="D103" s="138">
        <v>2.14</v>
      </c>
      <c r="E103" s="139"/>
      <c r="F103" s="139"/>
      <c r="G103" s="139">
        <v>2.14</v>
      </c>
      <c r="H103" s="137">
        <v>1</v>
      </c>
      <c r="I103" s="137" t="s">
        <v>690</v>
      </c>
      <c r="J103" s="137" t="s">
        <v>691</v>
      </c>
    </row>
    <row r="104" spans="1:10" x14ac:dyDescent="0.25">
      <c r="A104" s="140" t="s">
        <v>877</v>
      </c>
      <c r="B104" s="140" t="s">
        <v>876</v>
      </c>
      <c r="C104" s="140" t="s">
        <v>23</v>
      </c>
      <c r="D104" s="138">
        <v>2.1320329670329672</v>
      </c>
      <c r="E104" s="141">
        <v>2.0699999999999998</v>
      </c>
      <c r="F104" s="141">
        <v>2.14</v>
      </c>
      <c r="G104" s="141">
        <v>2.14474358974359</v>
      </c>
      <c r="H104" s="140">
        <v>4</v>
      </c>
      <c r="I104" s="140" t="s">
        <v>696</v>
      </c>
      <c r="J104" s="140"/>
    </row>
    <row r="105" spans="1:10" x14ac:dyDescent="0.25">
      <c r="A105" s="140" t="s">
        <v>878</v>
      </c>
      <c r="B105" s="140" t="s">
        <v>879</v>
      </c>
      <c r="C105" s="140" t="s">
        <v>23</v>
      </c>
      <c r="D105" s="138">
        <v>2.14</v>
      </c>
      <c r="E105" s="141">
        <v>2.14</v>
      </c>
      <c r="F105" s="141">
        <v>2.14</v>
      </c>
      <c r="G105" s="141">
        <v>2.14</v>
      </c>
      <c r="H105" s="140">
        <v>1</v>
      </c>
      <c r="I105" s="140" t="s">
        <v>696</v>
      </c>
      <c r="J105" s="140"/>
    </row>
    <row r="106" spans="1:10" x14ac:dyDescent="0.25">
      <c r="A106" s="137" t="s">
        <v>880</v>
      </c>
      <c r="B106" s="137" t="s">
        <v>881</v>
      </c>
      <c r="C106" s="137" t="s">
        <v>15</v>
      </c>
      <c r="D106" s="138">
        <v>0.17</v>
      </c>
      <c r="E106" s="139"/>
      <c r="F106" s="139"/>
      <c r="G106" s="139">
        <v>0.17</v>
      </c>
      <c r="H106" s="137">
        <v>1</v>
      </c>
      <c r="I106" s="137" t="s">
        <v>690</v>
      </c>
      <c r="J106" s="137" t="s">
        <v>691</v>
      </c>
    </row>
    <row r="107" spans="1:10" x14ac:dyDescent="0.25">
      <c r="A107" s="140" t="s">
        <v>882</v>
      </c>
      <c r="B107" s="140" t="s">
        <v>881</v>
      </c>
      <c r="C107" s="140" t="s">
        <v>130</v>
      </c>
      <c r="D107" s="138">
        <v>0.17</v>
      </c>
      <c r="E107" s="141"/>
      <c r="F107" s="141">
        <v>0.17</v>
      </c>
      <c r="G107" s="141">
        <v>0.17</v>
      </c>
      <c r="H107" s="140">
        <v>1</v>
      </c>
      <c r="I107" s="140" t="s">
        <v>696</v>
      </c>
      <c r="J107" s="140"/>
    </row>
    <row r="108" spans="1:10" x14ac:dyDescent="0.25">
      <c r="A108" s="142" t="s">
        <v>883</v>
      </c>
      <c r="B108" s="142" t="s">
        <v>47</v>
      </c>
      <c r="C108" s="142" t="s">
        <v>6</v>
      </c>
      <c r="D108" s="138">
        <v>71</v>
      </c>
      <c r="E108" s="143">
        <v>71</v>
      </c>
      <c r="F108" s="143">
        <v>71</v>
      </c>
      <c r="G108" s="143">
        <v>64.50016858237548</v>
      </c>
      <c r="H108" s="142">
        <v>11</v>
      </c>
      <c r="I108" s="142" t="s">
        <v>710</v>
      </c>
      <c r="J108" s="142" t="s">
        <v>884</v>
      </c>
    </row>
    <row r="109" spans="1:10" x14ac:dyDescent="0.25">
      <c r="A109" s="140" t="s">
        <v>885</v>
      </c>
      <c r="B109" s="140" t="s">
        <v>886</v>
      </c>
      <c r="C109" s="140" t="s">
        <v>15</v>
      </c>
      <c r="D109" s="138">
        <v>44</v>
      </c>
      <c r="E109" s="141"/>
      <c r="F109" s="141">
        <v>42.47</v>
      </c>
      <c r="G109" s="141">
        <v>45.53</v>
      </c>
      <c r="H109" s="140">
        <v>1</v>
      </c>
      <c r="I109" s="140" t="s">
        <v>696</v>
      </c>
      <c r="J109" s="140"/>
    </row>
    <row r="110" spans="1:10" x14ac:dyDescent="0.25">
      <c r="A110" s="137" t="s">
        <v>887</v>
      </c>
      <c r="B110" s="137" t="s">
        <v>540</v>
      </c>
      <c r="C110" s="137" t="s">
        <v>15</v>
      </c>
      <c r="D110" s="138">
        <v>0.33612448132780098</v>
      </c>
      <c r="E110" s="139"/>
      <c r="F110" s="139">
        <v>0.33612448132780098</v>
      </c>
      <c r="G110" s="139"/>
      <c r="H110" s="137">
        <v>1</v>
      </c>
      <c r="I110" s="137" t="s">
        <v>690</v>
      </c>
      <c r="J110" s="137" t="s">
        <v>691</v>
      </c>
    </row>
    <row r="111" spans="1:10" x14ac:dyDescent="0.25">
      <c r="A111" s="140" t="s">
        <v>888</v>
      </c>
      <c r="B111" s="140" t="s">
        <v>889</v>
      </c>
      <c r="C111" s="140" t="s">
        <v>6</v>
      </c>
      <c r="D111" s="138">
        <v>12.539166666666667</v>
      </c>
      <c r="E111" s="141">
        <v>12.5</v>
      </c>
      <c r="F111" s="141">
        <v>12.75</v>
      </c>
      <c r="G111" s="141">
        <v>12.411666666666667</v>
      </c>
      <c r="H111" s="140">
        <v>4</v>
      </c>
      <c r="I111" s="140" t="s">
        <v>696</v>
      </c>
      <c r="J111" s="140"/>
    </row>
    <row r="112" spans="1:10" x14ac:dyDescent="0.25">
      <c r="A112" s="140" t="s">
        <v>890</v>
      </c>
      <c r="B112" s="140" t="s">
        <v>891</v>
      </c>
      <c r="C112" s="140" t="s">
        <v>15</v>
      </c>
      <c r="D112" s="138">
        <v>44</v>
      </c>
      <c r="E112" s="141"/>
      <c r="F112" s="141">
        <v>42.47</v>
      </c>
      <c r="G112" s="141">
        <v>45.53</v>
      </c>
      <c r="H112" s="140">
        <v>1</v>
      </c>
      <c r="I112" s="140" t="s">
        <v>696</v>
      </c>
      <c r="J112" s="140"/>
    </row>
    <row r="113" spans="1:10" x14ac:dyDescent="0.25">
      <c r="A113" s="137" t="s">
        <v>892</v>
      </c>
      <c r="B113" s="137" t="s">
        <v>893</v>
      </c>
      <c r="C113" s="137" t="s">
        <v>23</v>
      </c>
      <c r="D113" s="138">
        <v>8.86</v>
      </c>
      <c r="E113" s="139"/>
      <c r="F113" s="139"/>
      <c r="G113" s="139">
        <v>8.86</v>
      </c>
      <c r="H113" s="137">
        <v>1</v>
      </c>
      <c r="I113" s="137" t="s">
        <v>690</v>
      </c>
      <c r="J113" s="137" t="s">
        <v>691</v>
      </c>
    </row>
    <row r="114" spans="1:10" x14ac:dyDescent="0.25">
      <c r="A114" s="137" t="s">
        <v>894</v>
      </c>
      <c r="B114" s="137" t="s">
        <v>895</v>
      </c>
      <c r="C114" s="137" t="s">
        <v>15</v>
      </c>
      <c r="D114" s="138">
        <v>0.17</v>
      </c>
      <c r="E114" s="139"/>
      <c r="F114" s="139">
        <v>0.17</v>
      </c>
      <c r="G114" s="139"/>
      <c r="H114" s="137">
        <v>1</v>
      </c>
      <c r="I114" s="137" t="s">
        <v>690</v>
      </c>
      <c r="J114" s="137" t="s">
        <v>691</v>
      </c>
    </row>
    <row r="115" spans="1:10" x14ac:dyDescent="0.25">
      <c r="A115" s="137" t="s">
        <v>896</v>
      </c>
      <c r="B115" s="137" t="s">
        <v>897</v>
      </c>
      <c r="C115" s="137" t="s">
        <v>15</v>
      </c>
      <c r="D115" s="138">
        <v>0.498</v>
      </c>
      <c r="E115" s="139"/>
      <c r="F115" s="139">
        <v>0.498</v>
      </c>
      <c r="G115" s="139"/>
      <c r="H115" s="137">
        <v>1</v>
      </c>
      <c r="I115" s="137" t="s">
        <v>690</v>
      </c>
      <c r="J115" s="137" t="s">
        <v>691</v>
      </c>
    </row>
    <row r="116" spans="1:10" x14ac:dyDescent="0.25">
      <c r="A116" s="140" t="s">
        <v>898</v>
      </c>
      <c r="B116" s="140" t="s">
        <v>899</v>
      </c>
      <c r="C116" s="140" t="s">
        <v>15</v>
      </c>
      <c r="D116" s="138">
        <v>4.1749999999999998</v>
      </c>
      <c r="E116" s="141"/>
      <c r="F116" s="141">
        <v>4.0599999999999996</v>
      </c>
      <c r="G116" s="141">
        <v>4.29</v>
      </c>
      <c r="H116" s="140">
        <v>1</v>
      </c>
      <c r="I116" s="140" t="s">
        <v>696</v>
      </c>
      <c r="J116" s="140"/>
    </row>
    <row r="117" spans="1:10" x14ac:dyDescent="0.25">
      <c r="A117" s="140" t="s">
        <v>900</v>
      </c>
      <c r="B117" s="140" t="s">
        <v>572</v>
      </c>
      <c r="C117" s="140" t="s">
        <v>15</v>
      </c>
      <c r="D117" s="138">
        <v>50.758333333333354</v>
      </c>
      <c r="E117" s="141"/>
      <c r="F117" s="141"/>
      <c r="G117" s="141">
        <v>50.758333333333354</v>
      </c>
      <c r="H117" s="140">
        <v>2</v>
      </c>
      <c r="I117" s="140" t="s">
        <v>696</v>
      </c>
      <c r="J117" s="140"/>
    </row>
    <row r="118" spans="1:10" x14ac:dyDescent="0.25">
      <c r="A118" s="140" t="s">
        <v>901</v>
      </c>
      <c r="B118" s="140" t="s">
        <v>64</v>
      </c>
      <c r="C118" s="140" t="s">
        <v>15</v>
      </c>
      <c r="D118" s="138">
        <v>50.794114583333339</v>
      </c>
      <c r="E118" s="141">
        <v>49.926666666666669</v>
      </c>
      <c r="F118" s="141">
        <v>51.95</v>
      </c>
      <c r="G118" s="141">
        <v>51.155729166666674</v>
      </c>
      <c r="H118" s="140">
        <v>5</v>
      </c>
      <c r="I118" s="140" t="s">
        <v>696</v>
      </c>
      <c r="J118" s="140"/>
    </row>
    <row r="119" spans="1:10" x14ac:dyDescent="0.25">
      <c r="A119" s="140" t="s">
        <v>902</v>
      </c>
      <c r="B119" s="140" t="s">
        <v>604</v>
      </c>
      <c r="C119" s="140" t="s">
        <v>605</v>
      </c>
      <c r="D119" s="138"/>
      <c r="E119" s="141"/>
      <c r="F119" s="141"/>
      <c r="G119" s="141"/>
      <c r="H119" s="140">
        <v>1</v>
      </c>
      <c r="I119" s="140" t="s">
        <v>794</v>
      </c>
      <c r="J119" s="140"/>
    </row>
    <row r="120" spans="1:10" x14ac:dyDescent="0.25">
      <c r="A120" s="137" t="s">
        <v>903</v>
      </c>
      <c r="B120" s="137" t="s">
        <v>904</v>
      </c>
      <c r="C120" s="137" t="s">
        <v>102</v>
      </c>
      <c r="D120" s="138">
        <v>3.22</v>
      </c>
      <c r="E120" s="139">
        <v>3.22</v>
      </c>
      <c r="F120" s="139"/>
      <c r="G120" s="139"/>
      <c r="H120" s="137">
        <v>1</v>
      </c>
      <c r="I120" s="137" t="s">
        <v>690</v>
      </c>
      <c r="J120" s="137" t="s">
        <v>691</v>
      </c>
    </row>
    <row r="121" spans="1:10" x14ac:dyDescent="0.25">
      <c r="A121" s="137" t="s">
        <v>905</v>
      </c>
      <c r="B121" s="137" t="s">
        <v>906</v>
      </c>
      <c r="C121" s="137" t="s">
        <v>102</v>
      </c>
      <c r="D121" s="138">
        <v>2.8</v>
      </c>
      <c r="E121" s="139">
        <v>2.8</v>
      </c>
      <c r="F121" s="139"/>
      <c r="G121" s="139"/>
      <c r="H121" s="137">
        <v>1</v>
      </c>
      <c r="I121" s="137" t="s">
        <v>690</v>
      </c>
      <c r="J121" s="137" t="s">
        <v>691</v>
      </c>
    </row>
    <row r="122" spans="1:10" x14ac:dyDescent="0.25">
      <c r="A122" s="140" t="s">
        <v>907</v>
      </c>
      <c r="B122" s="140" t="s">
        <v>908</v>
      </c>
      <c r="C122" s="140" t="s">
        <v>3</v>
      </c>
      <c r="D122" s="138">
        <v>2.74</v>
      </c>
      <c r="E122" s="141"/>
      <c r="F122" s="141">
        <v>2.74</v>
      </c>
      <c r="G122" s="141">
        <v>2.74</v>
      </c>
      <c r="H122" s="140">
        <v>1</v>
      </c>
      <c r="I122" s="140" t="s">
        <v>696</v>
      </c>
      <c r="J122" s="140"/>
    </row>
    <row r="123" spans="1:10" x14ac:dyDescent="0.25">
      <c r="A123" s="140" t="s">
        <v>909</v>
      </c>
      <c r="B123" s="140" t="s">
        <v>155</v>
      </c>
      <c r="C123" s="140" t="s">
        <v>15</v>
      </c>
      <c r="D123" s="138">
        <v>12.525</v>
      </c>
      <c r="E123" s="141">
        <v>10.58</v>
      </c>
      <c r="F123" s="141">
        <v>14.56</v>
      </c>
      <c r="G123" s="141">
        <v>14.38</v>
      </c>
      <c r="H123" s="140">
        <v>2</v>
      </c>
      <c r="I123" s="140" t="s">
        <v>696</v>
      </c>
      <c r="J123" s="140"/>
    </row>
    <row r="124" spans="1:10" x14ac:dyDescent="0.25">
      <c r="A124" s="140" t="s">
        <v>910</v>
      </c>
      <c r="B124" s="140" t="s">
        <v>155</v>
      </c>
      <c r="C124" s="140" t="s">
        <v>144</v>
      </c>
      <c r="D124" s="138">
        <v>14.051999999999998</v>
      </c>
      <c r="E124" s="141"/>
      <c r="F124" s="141">
        <v>14.24</v>
      </c>
      <c r="G124" s="141">
        <v>13.77</v>
      </c>
      <c r="H124" s="140">
        <v>4</v>
      </c>
      <c r="I124" s="140" t="s">
        <v>696</v>
      </c>
      <c r="J124" s="140"/>
    </row>
    <row r="125" spans="1:10" x14ac:dyDescent="0.25">
      <c r="A125" s="142" t="s">
        <v>911</v>
      </c>
      <c r="B125" s="142" t="s">
        <v>98</v>
      </c>
      <c r="C125" s="142" t="s">
        <v>3</v>
      </c>
      <c r="D125" s="138">
        <v>0.72499999999999998</v>
      </c>
      <c r="E125" s="143"/>
      <c r="F125" s="143">
        <v>0.31</v>
      </c>
      <c r="G125" s="143">
        <v>1.1399999999999999</v>
      </c>
      <c r="H125" s="142">
        <v>1</v>
      </c>
      <c r="I125" s="142" t="s">
        <v>710</v>
      </c>
      <c r="J125" s="142" t="s">
        <v>912</v>
      </c>
    </row>
    <row r="126" spans="1:10" x14ac:dyDescent="0.25">
      <c r="A126" s="137" t="s">
        <v>913</v>
      </c>
      <c r="B126" s="137" t="s">
        <v>914</v>
      </c>
      <c r="C126" s="137" t="s">
        <v>3</v>
      </c>
      <c r="D126" s="138">
        <v>0.4</v>
      </c>
      <c r="E126" s="139"/>
      <c r="F126" s="139">
        <v>0.4</v>
      </c>
      <c r="G126" s="139"/>
      <c r="H126" s="137">
        <v>1</v>
      </c>
      <c r="I126" s="137" t="s">
        <v>690</v>
      </c>
      <c r="J126" s="137" t="s">
        <v>691</v>
      </c>
    </row>
    <row r="127" spans="1:10" x14ac:dyDescent="0.25">
      <c r="A127" s="140" t="s">
        <v>915</v>
      </c>
      <c r="B127" s="140" t="s">
        <v>916</v>
      </c>
      <c r="C127" s="140" t="s">
        <v>15</v>
      </c>
      <c r="D127" s="138">
        <v>1.4315370370370375</v>
      </c>
      <c r="E127" s="141">
        <v>1.73</v>
      </c>
      <c r="F127" s="141">
        <v>1.7</v>
      </c>
      <c r="G127" s="141">
        <v>1.1480740740740751</v>
      </c>
      <c r="H127" s="140">
        <v>2</v>
      </c>
      <c r="I127" s="140" t="s">
        <v>696</v>
      </c>
      <c r="J127" s="140"/>
    </row>
    <row r="128" spans="1:10" x14ac:dyDescent="0.25">
      <c r="A128" s="137" t="s">
        <v>917</v>
      </c>
      <c r="B128" s="137" t="s">
        <v>610</v>
      </c>
      <c r="C128" s="137" t="s">
        <v>15</v>
      </c>
      <c r="D128" s="138">
        <v>23.93</v>
      </c>
      <c r="E128" s="139">
        <v>23.93</v>
      </c>
      <c r="F128" s="139"/>
      <c r="G128" s="139"/>
      <c r="H128" s="137">
        <v>1</v>
      </c>
      <c r="I128" s="137" t="s">
        <v>690</v>
      </c>
      <c r="J128" s="137" t="s">
        <v>691</v>
      </c>
    </row>
    <row r="129" spans="1:10" x14ac:dyDescent="0.25">
      <c r="A129" s="137" t="s">
        <v>918</v>
      </c>
      <c r="B129" s="137" t="s">
        <v>919</v>
      </c>
      <c r="C129" s="137" t="s">
        <v>15</v>
      </c>
      <c r="D129" s="138">
        <v>24</v>
      </c>
      <c r="E129" s="139"/>
      <c r="F129" s="139"/>
      <c r="G129" s="139">
        <v>24</v>
      </c>
      <c r="H129" s="137">
        <v>1</v>
      </c>
      <c r="I129" s="137" t="s">
        <v>690</v>
      </c>
      <c r="J129" s="137" t="s">
        <v>691</v>
      </c>
    </row>
    <row r="130" spans="1:10" x14ac:dyDescent="0.25">
      <c r="A130" s="140" t="s">
        <v>920</v>
      </c>
      <c r="B130" s="140" t="s">
        <v>921</v>
      </c>
      <c r="C130" s="140" t="s">
        <v>15</v>
      </c>
      <c r="D130" s="138">
        <v>103.07</v>
      </c>
      <c r="E130" s="141"/>
      <c r="F130" s="141">
        <v>101.57</v>
      </c>
      <c r="G130" s="141">
        <v>103.82</v>
      </c>
      <c r="H130" s="140">
        <v>3</v>
      </c>
      <c r="I130" s="140" t="s">
        <v>696</v>
      </c>
      <c r="J130" s="140"/>
    </row>
    <row r="131" spans="1:10" x14ac:dyDescent="0.25">
      <c r="A131" s="140" t="s">
        <v>922</v>
      </c>
      <c r="B131" s="140" t="s">
        <v>923</v>
      </c>
      <c r="C131" s="140" t="s">
        <v>15</v>
      </c>
      <c r="D131" s="138">
        <v>27</v>
      </c>
      <c r="E131" s="141"/>
      <c r="F131" s="141">
        <v>27</v>
      </c>
      <c r="G131" s="141"/>
      <c r="H131" s="140">
        <v>2</v>
      </c>
      <c r="I131" s="140" t="s">
        <v>696</v>
      </c>
      <c r="J131" s="140"/>
    </row>
    <row r="132" spans="1:10" x14ac:dyDescent="0.25">
      <c r="A132" s="140" t="s">
        <v>924</v>
      </c>
      <c r="B132" s="140" t="s">
        <v>610</v>
      </c>
      <c r="C132" s="140" t="s">
        <v>605</v>
      </c>
      <c r="D132" s="138"/>
      <c r="E132" s="141"/>
      <c r="F132" s="141"/>
      <c r="G132" s="141"/>
      <c r="H132" s="140">
        <v>1</v>
      </c>
      <c r="I132" s="140" t="s">
        <v>794</v>
      </c>
      <c r="J132" s="140"/>
    </row>
    <row r="133" spans="1:10" x14ac:dyDescent="0.25">
      <c r="A133" s="137" t="s">
        <v>925</v>
      </c>
      <c r="B133" s="137" t="s">
        <v>926</v>
      </c>
      <c r="C133" s="137" t="s">
        <v>15</v>
      </c>
      <c r="D133" s="138">
        <v>5.74</v>
      </c>
      <c r="E133" s="139"/>
      <c r="F133" s="139">
        <v>5.74</v>
      </c>
      <c r="G133" s="139"/>
      <c r="H133" s="137">
        <v>1</v>
      </c>
      <c r="I133" s="137" t="s">
        <v>690</v>
      </c>
      <c r="J133" s="137" t="s">
        <v>691</v>
      </c>
    </row>
    <row r="134" spans="1:10" x14ac:dyDescent="0.25">
      <c r="A134" s="137" t="s">
        <v>927</v>
      </c>
      <c r="B134" s="137" t="s">
        <v>928</v>
      </c>
      <c r="C134" s="137" t="s">
        <v>15</v>
      </c>
      <c r="D134" s="138">
        <v>88.56</v>
      </c>
      <c r="E134" s="139"/>
      <c r="F134" s="139">
        <v>88.56</v>
      </c>
      <c r="G134" s="139"/>
      <c r="H134" s="137">
        <v>1</v>
      </c>
      <c r="I134" s="137" t="s">
        <v>690</v>
      </c>
      <c r="J134" s="137" t="s">
        <v>691</v>
      </c>
    </row>
    <row r="135" spans="1:10" x14ac:dyDescent="0.25">
      <c r="A135" s="140" t="s">
        <v>929</v>
      </c>
      <c r="B135" s="140" t="s">
        <v>930</v>
      </c>
      <c r="C135" s="140" t="s">
        <v>15</v>
      </c>
      <c r="D135" s="138">
        <v>37.835000000000001</v>
      </c>
      <c r="E135" s="141"/>
      <c r="F135" s="141">
        <v>38.5</v>
      </c>
      <c r="G135" s="141">
        <v>37.17</v>
      </c>
      <c r="H135" s="140">
        <v>2</v>
      </c>
      <c r="I135" s="140" t="s">
        <v>696</v>
      </c>
      <c r="J135" s="140"/>
    </row>
    <row r="136" spans="1:10" x14ac:dyDescent="0.25">
      <c r="A136" s="140" t="s">
        <v>931</v>
      </c>
      <c r="B136" s="140" t="s">
        <v>932</v>
      </c>
      <c r="C136" s="140" t="s">
        <v>15</v>
      </c>
      <c r="D136" s="138">
        <v>6.9649999999999999</v>
      </c>
      <c r="E136" s="141"/>
      <c r="F136" s="141">
        <v>6.2</v>
      </c>
      <c r="G136" s="141">
        <v>7.73</v>
      </c>
      <c r="H136" s="140">
        <v>1</v>
      </c>
      <c r="I136" s="140" t="s">
        <v>696</v>
      </c>
      <c r="J136" s="140"/>
    </row>
    <row r="137" spans="1:10" x14ac:dyDescent="0.25">
      <c r="A137" s="140" t="s">
        <v>933</v>
      </c>
      <c r="B137" s="140" t="s">
        <v>128</v>
      </c>
      <c r="C137" s="140" t="s">
        <v>15</v>
      </c>
      <c r="D137" s="138">
        <v>1.8199999999999998</v>
      </c>
      <c r="E137" s="141"/>
      <c r="F137" s="141">
        <v>1.75</v>
      </c>
      <c r="G137" s="141">
        <v>1.89</v>
      </c>
      <c r="H137" s="140">
        <v>1</v>
      </c>
      <c r="I137" s="140" t="s">
        <v>696</v>
      </c>
      <c r="J137" s="140"/>
    </row>
    <row r="138" spans="1:10" x14ac:dyDescent="0.25">
      <c r="A138" s="140" t="s">
        <v>934</v>
      </c>
      <c r="B138" s="140" t="s">
        <v>935</v>
      </c>
      <c r="C138" s="140" t="s">
        <v>15</v>
      </c>
      <c r="D138" s="138">
        <v>1.38</v>
      </c>
      <c r="E138" s="141"/>
      <c r="F138" s="141">
        <v>1.38</v>
      </c>
      <c r="G138" s="141">
        <v>1.38</v>
      </c>
      <c r="H138" s="140">
        <v>1</v>
      </c>
      <c r="I138" s="140" t="s">
        <v>696</v>
      </c>
      <c r="J138" s="140"/>
    </row>
    <row r="139" spans="1:10" x14ac:dyDescent="0.25">
      <c r="A139" s="137" t="s">
        <v>936</v>
      </c>
      <c r="B139" s="137" t="s">
        <v>937</v>
      </c>
      <c r="C139" s="137" t="s">
        <v>6</v>
      </c>
      <c r="D139" s="138">
        <v>14.3333333333333</v>
      </c>
      <c r="E139" s="139"/>
      <c r="F139" s="139"/>
      <c r="G139" s="139">
        <v>14.3333333333333</v>
      </c>
      <c r="H139" s="137">
        <v>1</v>
      </c>
      <c r="I139" s="137" t="s">
        <v>690</v>
      </c>
      <c r="J139" s="137" t="s">
        <v>691</v>
      </c>
    </row>
    <row r="140" spans="1:10" x14ac:dyDescent="0.25">
      <c r="A140" s="140" t="s">
        <v>938</v>
      </c>
      <c r="B140" s="140" t="s">
        <v>939</v>
      </c>
      <c r="C140" s="140" t="s">
        <v>15</v>
      </c>
      <c r="D140" s="138">
        <v>1.1206818181818179</v>
      </c>
      <c r="E140" s="141">
        <v>1.1758333333333333</v>
      </c>
      <c r="F140" s="141">
        <v>1.1000000000000001</v>
      </c>
      <c r="G140" s="141">
        <v>1.1000000000000001</v>
      </c>
      <c r="H140" s="140">
        <v>4</v>
      </c>
      <c r="I140" s="140" t="s">
        <v>696</v>
      </c>
      <c r="J140" s="140"/>
    </row>
    <row r="141" spans="1:10" x14ac:dyDescent="0.25">
      <c r="A141" s="140" t="s">
        <v>940</v>
      </c>
      <c r="B141" s="140" t="s">
        <v>941</v>
      </c>
      <c r="C141" s="140" t="s">
        <v>15</v>
      </c>
      <c r="D141" s="138">
        <v>1.1400000000000001</v>
      </c>
      <c r="E141" s="141"/>
      <c r="F141" s="141">
        <v>1.08</v>
      </c>
      <c r="G141" s="141">
        <v>1.2</v>
      </c>
      <c r="H141" s="140">
        <v>1</v>
      </c>
      <c r="I141" s="140" t="s">
        <v>696</v>
      </c>
      <c r="J141" s="140"/>
    </row>
    <row r="142" spans="1:10" x14ac:dyDescent="0.25">
      <c r="A142" s="140" t="s">
        <v>942</v>
      </c>
      <c r="B142" s="140" t="s">
        <v>943</v>
      </c>
      <c r="C142" s="140" t="s">
        <v>15</v>
      </c>
      <c r="D142" s="138">
        <v>1.2</v>
      </c>
      <c r="E142" s="141">
        <v>1.2</v>
      </c>
      <c r="F142" s="141"/>
      <c r="G142" s="141">
        <v>1.2</v>
      </c>
      <c r="H142" s="140">
        <v>3</v>
      </c>
      <c r="I142" s="140" t="s">
        <v>696</v>
      </c>
      <c r="J142" s="140"/>
    </row>
    <row r="143" spans="1:10" x14ac:dyDescent="0.25">
      <c r="A143" s="140" t="s">
        <v>944</v>
      </c>
      <c r="B143" s="140" t="s">
        <v>945</v>
      </c>
      <c r="C143" s="140" t="s">
        <v>15</v>
      </c>
      <c r="D143" s="138">
        <v>5.16</v>
      </c>
      <c r="E143" s="141">
        <v>6</v>
      </c>
      <c r="F143" s="141"/>
      <c r="G143" s="141">
        <v>4.32</v>
      </c>
      <c r="H143" s="140">
        <v>1</v>
      </c>
      <c r="I143" s="140" t="s">
        <v>696</v>
      </c>
      <c r="J143" s="140"/>
    </row>
    <row r="144" spans="1:10" x14ac:dyDescent="0.25">
      <c r="A144" s="140" t="s">
        <v>946</v>
      </c>
      <c r="B144" s="140" t="s">
        <v>947</v>
      </c>
      <c r="C144" s="140" t="s">
        <v>15</v>
      </c>
      <c r="D144" s="138">
        <v>6.96</v>
      </c>
      <c r="E144" s="141">
        <v>7.2</v>
      </c>
      <c r="F144" s="141">
        <v>6.48</v>
      </c>
      <c r="G144" s="141">
        <v>7.2</v>
      </c>
      <c r="H144" s="140">
        <v>1</v>
      </c>
      <c r="I144" s="140" t="s">
        <v>696</v>
      </c>
      <c r="J144" s="140"/>
    </row>
    <row r="145" spans="1:10" x14ac:dyDescent="0.25">
      <c r="A145" s="137" t="s">
        <v>948</v>
      </c>
      <c r="B145" s="137" t="s">
        <v>949</v>
      </c>
      <c r="C145" s="137" t="s">
        <v>15</v>
      </c>
      <c r="D145" s="138">
        <v>7.97</v>
      </c>
      <c r="E145" s="139"/>
      <c r="F145" s="139">
        <v>7.97</v>
      </c>
      <c r="G145" s="139"/>
      <c r="H145" s="137">
        <v>1</v>
      </c>
      <c r="I145" s="137" t="s">
        <v>690</v>
      </c>
      <c r="J145" s="137" t="s">
        <v>691</v>
      </c>
    </row>
    <row r="146" spans="1:10" x14ac:dyDescent="0.25">
      <c r="A146" s="140" t="s">
        <v>950</v>
      </c>
      <c r="B146" s="140" t="s">
        <v>951</v>
      </c>
      <c r="C146" s="140" t="s">
        <v>15</v>
      </c>
      <c r="D146" s="138">
        <v>4.0571428571428569</v>
      </c>
      <c r="E146" s="141"/>
      <c r="F146" s="141">
        <v>4.1966666666666663</v>
      </c>
      <c r="G146" s="141">
        <v>3.9525000000000006</v>
      </c>
      <c r="H146" s="140">
        <v>5</v>
      </c>
      <c r="I146" s="140" t="s">
        <v>696</v>
      </c>
      <c r="J146" s="140"/>
    </row>
    <row r="147" spans="1:10" x14ac:dyDescent="0.25">
      <c r="A147" s="140" t="s">
        <v>952</v>
      </c>
      <c r="B147" s="140" t="s">
        <v>953</v>
      </c>
      <c r="C147" s="140" t="s">
        <v>15</v>
      </c>
      <c r="D147" s="138">
        <v>9.5184999999999995</v>
      </c>
      <c r="E147" s="141">
        <v>9.9499999999999993</v>
      </c>
      <c r="F147" s="141">
        <v>10.25</v>
      </c>
      <c r="G147" s="141">
        <v>8.7212500000000013</v>
      </c>
      <c r="H147" s="140">
        <v>5</v>
      </c>
      <c r="I147" s="140" t="s">
        <v>696</v>
      </c>
      <c r="J147" s="140"/>
    </row>
    <row r="148" spans="1:10" x14ac:dyDescent="0.25">
      <c r="A148" s="140" t="s">
        <v>954</v>
      </c>
      <c r="B148" s="140" t="s">
        <v>955</v>
      </c>
      <c r="C148" s="140" t="s">
        <v>15</v>
      </c>
      <c r="D148" s="138">
        <v>2.3980000000000001</v>
      </c>
      <c r="E148" s="141"/>
      <c r="F148" s="141">
        <v>2.52</v>
      </c>
      <c r="G148" s="141">
        <v>2.3369999999999997</v>
      </c>
      <c r="H148" s="140">
        <v>2</v>
      </c>
      <c r="I148" s="140" t="s">
        <v>696</v>
      </c>
      <c r="J148" s="140"/>
    </row>
    <row r="149" spans="1:10" x14ac:dyDescent="0.25">
      <c r="A149" s="140" t="s">
        <v>956</v>
      </c>
      <c r="B149" s="140" t="s">
        <v>370</v>
      </c>
      <c r="C149" s="140" t="s">
        <v>144</v>
      </c>
      <c r="D149" s="138">
        <v>67.681818181818173</v>
      </c>
      <c r="E149" s="141"/>
      <c r="F149" s="141"/>
      <c r="G149" s="141">
        <v>67.681818181818173</v>
      </c>
      <c r="H149" s="140">
        <v>3</v>
      </c>
      <c r="I149" s="140" t="s">
        <v>696</v>
      </c>
      <c r="J149" s="140"/>
    </row>
    <row r="150" spans="1:10" x14ac:dyDescent="0.25">
      <c r="A150" s="140" t="s">
        <v>957</v>
      </c>
      <c r="B150" s="140" t="s">
        <v>145</v>
      </c>
      <c r="C150" s="140" t="s">
        <v>144</v>
      </c>
      <c r="D150" s="138">
        <v>67.732222222222219</v>
      </c>
      <c r="E150" s="141"/>
      <c r="F150" s="141">
        <v>67.47</v>
      </c>
      <c r="G150" s="141">
        <v>68.06</v>
      </c>
      <c r="H150" s="140">
        <v>5</v>
      </c>
      <c r="I150" s="140" t="s">
        <v>696</v>
      </c>
      <c r="J150" s="140"/>
    </row>
    <row r="151" spans="1:10" x14ac:dyDescent="0.25">
      <c r="A151" s="137" t="s">
        <v>958</v>
      </c>
      <c r="B151" s="137" t="s">
        <v>557</v>
      </c>
      <c r="C151" s="137" t="s">
        <v>3</v>
      </c>
      <c r="D151" s="138">
        <v>2.0499999999999998</v>
      </c>
      <c r="E151" s="139"/>
      <c r="F151" s="139"/>
      <c r="G151" s="139">
        <v>2.0499999999999998</v>
      </c>
      <c r="H151" s="137">
        <v>1</v>
      </c>
      <c r="I151" s="137" t="s">
        <v>690</v>
      </c>
      <c r="J151" s="137" t="s">
        <v>691</v>
      </c>
    </row>
    <row r="152" spans="1:10" x14ac:dyDescent="0.25">
      <c r="A152" s="137" t="s">
        <v>959</v>
      </c>
      <c r="B152" s="137" t="s">
        <v>960</v>
      </c>
      <c r="C152" s="137" t="s">
        <v>15</v>
      </c>
      <c r="D152" s="138">
        <v>9.82</v>
      </c>
      <c r="E152" s="139"/>
      <c r="F152" s="139"/>
      <c r="G152" s="139">
        <v>9.82</v>
      </c>
      <c r="H152" s="137">
        <v>1</v>
      </c>
      <c r="I152" s="137" t="s">
        <v>690</v>
      </c>
      <c r="J152" s="137" t="s">
        <v>691</v>
      </c>
    </row>
    <row r="153" spans="1:10" x14ac:dyDescent="0.25">
      <c r="A153" s="137" t="s">
        <v>961</v>
      </c>
      <c r="B153" s="137" t="s">
        <v>962</v>
      </c>
      <c r="C153" s="137" t="s">
        <v>15</v>
      </c>
      <c r="D153" s="138">
        <v>11.22</v>
      </c>
      <c r="E153" s="139"/>
      <c r="F153" s="139">
        <v>11.22</v>
      </c>
      <c r="G153" s="139"/>
      <c r="H153" s="137">
        <v>1</v>
      </c>
      <c r="I153" s="137" t="s">
        <v>690</v>
      </c>
      <c r="J153" s="137" t="s">
        <v>691</v>
      </c>
    </row>
    <row r="154" spans="1:10" x14ac:dyDescent="0.25">
      <c r="A154" s="137" t="s">
        <v>963</v>
      </c>
      <c r="B154" s="137" t="s">
        <v>372</v>
      </c>
      <c r="C154" s="137" t="s">
        <v>144</v>
      </c>
      <c r="D154" s="138">
        <v>61.87</v>
      </c>
      <c r="E154" s="139">
        <v>61.87</v>
      </c>
      <c r="F154" s="139"/>
      <c r="G154" s="139"/>
      <c r="H154" s="137">
        <v>1</v>
      </c>
      <c r="I154" s="137" t="s">
        <v>690</v>
      </c>
      <c r="J154" s="137" t="s">
        <v>691</v>
      </c>
    </row>
    <row r="155" spans="1:10" x14ac:dyDescent="0.25">
      <c r="A155" s="140" t="s">
        <v>964</v>
      </c>
      <c r="B155" s="140" t="s">
        <v>603</v>
      </c>
      <c r="C155" s="140" t="s">
        <v>6</v>
      </c>
      <c r="D155" s="138">
        <v>14.547574523429788</v>
      </c>
      <c r="E155" s="141">
        <v>12.524444444444446</v>
      </c>
      <c r="F155" s="141">
        <v>15.399999999999997</v>
      </c>
      <c r="G155" s="141">
        <v>14.934845135023698</v>
      </c>
      <c r="H155" s="140">
        <v>24</v>
      </c>
      <c r="I155" s="140" t="s">
        <v>696</v>
      </c>
      <c r="J155" s="140"/>
    </row>
    <row r="156" spans="1:10" x14ac:dyDescent="0.25">
      <c r="A156" s="140" t="s">
        <v>965</v>
      </c>
      <c r="B156" s="140" t="s">
        <v>603</v>
      </c>
      <c r="C156" s="140" t="s">
        <v>6</v>
      </c>
      <c r="D156" s="138"/>
      <c r="E156" s="141"/>
      <c r="F156" s="141"/>
      <c r="G156" s="141"/>
      <c r="H156" s="140">
        <v>1</v>
      </c>
      <c r="I156" s="140" t="s">
        <v>794</v>
      </c>
      <c r="J156" s="140"/>
    </row>
    <row r="157" spans="1:10" x14ac:dyDescent="0.25">
      <c r="A157" s="140" t="s">
        <v>966</v>
      </c>
      <c r="B157" s="140" t="s">
        <v>967</v>
      </c>
      <c r="C157" s="140" t="s">
        <v>6</v>
      </c>
      <c r="D157" s="138">
        <v>13.75</v>
      </c>
      <c r="E157" s="141">
        <v>13.75</v>
      </c>
      <c r="F157" s="141"/>
      <c r="G157" s="141"/>
      <c r="H157" s="140">
        <v>6</v>
      </c>
      <c r="I157" s="140" t="s">
        <v>696</v>
      </c>
      <c r="J157" s="140"/>
    </row>
    <row r="158" spans="1:10" x14ac:dyDescent="0.25">
      <c r="A158" s="140" t="s">
        <v>968</v>
      </c>
      <c r="B158" s="140" t="s">
        <v>969</v>
      </c>
      <c r="C158" s="140" t="s">
        <v>6</v>
      </c>
      <c r="D158" s="138">
        <v>10</v>
      </c>
      <c r="E158" s="141">
        <v>10</v>
      </c>
      <c r="F158" s="141"/>
      <c r="G158" s="141">
        <v>10</v>
      </c>
      <c r="H158" s="140">
        <v>2</v>
      </c>
      <c r="I158" s="140" t="s">
        <v>696</v>
      </c>
      <c r="J158" s="140"/>
    </row>
    <row r="159" spans="1:10" x14ac:dyDescent="0.25">
      <c r="A159" s="140" t="s">
        <v>970</v>
      </c>
      <c r="B159" s="140" t="s">
        <v>971</v>
      </c>
      <c r="C159" s="140" t="s">
        <v>6</v>
      </c>
      <c r="D159" s="138">
        <v>10</v>
      </c>
      <c r="E159" s="141">
        <v>10</v>
      </c>
      <c r="F159" s="141">
        <v>10</v>
      </c>
      <c r="G159" s="141"/>
      <c r="H159" s="140">
        <v>3</v>
      </c>
      <c r="I159" s="140" t="s">
        <v>696</v>
      </c>
      <c r="J159" s="140"/>
    </row>
    <row r="160" spans="1:10" x14ac:dyDescent="0.25">
      <c r="A160" s="137" t="s">
        <v>972</v>
      </c>
      <c r="B160" s="137" t="s">
        <v>973</v>
      </c>
      <c r="C160" s="137" t="s">
        <v>15</v>
      </c>
      <c r="D160" s="138">
        <v>0.84</v>
      </c>
      <c r="E160" s="139"/>
      <c r="F160" s="139"/>
      <c r="G160" s="139">
        <v>0.84</v>
      </c>
      <c r="H160" s="137">
        <v>1</v>
      </c>
      <c r="I160" s="137" t="s">
        <v>690</v>
      </c>
      <c r="J160" s="137" t="s">
        <v>691</v>
      </c>
    </row>
    <row r="161" spans="1:10" x14ac:dyDescent="0.25">
      <c r="A161" s="137" t="s">
        <v>974</v>
      </c>
      <c r="B161" s="137" t="s">
        <v>259</v>
      </c>
      <c r="C161" s="137" t="s">
        <v>15</v>
      </c>
      <c r="D161" s="138">
        <v>1.1950000000000001</v>
      </c>
      <c r="E161" s="139"/>
      <c r="F161" s="139"/>
      <c r="G161" s="139">
        <v>1.1950000000000001</v>
      </c>
      <c r="H161" s="137">
        <v>1</v>
      </c>
      <c r="I161" s="137" t="s">
        <v>690</v>
      </c>
      <c r="J161" s="137" t="s">
        <v>691</v>
      </c>
    </row>
    <row r="162" spans="1:10" x14ac:dyDescent="0.25">
      <c r="A162" s="140" t="s">
        <v>975</v>
      </c>
      <c r="B162" s="140" t="s">
        <v>976</v>
      </c>
      <c r="C162" s="140" t="s">
        <v>15</v>
      </c>
      <c r="D162" s="138">
        <v>1.8182499999999999</v>
      </c>
      <c r="E162" s="141">
        <v>1.7847499999999998</v>
      </c>
      <c r="F162" s="141">
        <v>1.82</v>
      </c>
      <c r="G162" s="141">
        <v>1.85</v>
      </c>
      <c r="H162" s="140">
        <v>3</v>
      </c>
      <c r="I162" s="140" t="s">
        <v>696</v>
      </c>
      <c r="J162" s="140"/>
    </row>
    <row r="163" spans="1:10" x14ac:dyDescent="0.25">
      <c r="A163" s="140" t="s">
        <v>977</v>
      </c>
      <c r="B163" s="140" t="s">
        <v>602</v>
      </c>
      <c r="C163" s="140" t="s">
        <v>6</v>
      </c>
      <c r="D163" s="138">
        <v>13.895122287420717</v>
      </c>
      <c r="E163" s="141">
        <v>14.063333333333334</v>
      </c>
      <c r="F163" s="141">
        <v>12.065</v>
      </c>
      <c r="G163" s="141">
        <v>14.946992766455244</v>
      </c>
      <c r="H163" s="140">
        <v>14</v>
      </c>
      <c r="I163" s="140" t="s">
        <v>696</v>
      </c>
      <c r="J163" s="140"/>
    </row>
    <row r="164" spans="1:10" x14ac:dyDescent="0.25">
      <c r="A164" s="140" t="s">
        <v>978</v>
      </c>
      <c r="B164" s="140" t="s">
        <v>602</v>
      </c>
      <c r="C164" s="140" t="s">
        <v>6</v>
      </c>
      <c r="D164" s="138"/>
      <c r="E164" s="141"/>
      <c r="F164" s="141"/>
      <c r="G164" s="141"/>
      <c r="H164" s="140">
        <v>1</v>
      </c>
      <c r="I164" s="140" t="s">
        <v>794</v>
      </c>
      <c r="J164" s="140"/>
    </row>
    <row r="165" spans="1:10" x14ac:dyDescent="0.25">
      <c r="A165" s="137" t="s">
        <v>979</v>
      </c>
      <c r="B165" s="137" t="s">
        <v>980</v>
      </c>
      <c r="C165" s="137" t="s">
        <v>15</v>
      </c>
      <c r="D165" s="138">
        <v>1.55</v>
      </c>
      <c r="E165" s="139"/>
      <c r="F165" s="139">
        <v>1.55</v>
      </c>
      <c r="G165" s="139"/>
      <c r="H165" s="137">
        <v>1</v>
      </c>
      <c r="I165" s="137" t="s">
        <v>690</v>
      </c>
      <c r="J165" s="137" t="s">
        <v>691</v>
      </c>
    </row>
    <row r="166" spans="1:10" x14ac:dyDescent="0.25">
      <c r="A166" s="137" t="s">
        <v>981</v>
      </c>
      <c r="B166" s="137" t="s">
        <v>982</v>
      </c>
      <c r="C166" s="137" t="s">
        <v>15</v>
      </c>
      <c r="D166" s="138">
        <v>4.01</v>
      </c>
      <c r="E166" s="139"/>
      <c r="F166" s="139"/>
      <c r="G166" s="139">
        <v>4.01</v>
      </c>
      <c r="H166" s="137">
        <v>1</v>
      </c>
      <c r="I166" s="137" t="s">
        <v>690</v>
      </c>
      <c r="J166" s="137" t="s">
        <v>691</v>
      </c>
    </row>
    <row r="167" spans="1:10" x14ac:dyDescent="0.25">
      <c r="A167" s="140" t="s">
        <v>983</v>
      </c>
      <c r="B167" s="140" t="s">
        <v>94</v>
      </c>
      <c r="C167" s="140" t="s">
        <v>15</v>
      </c>
      <c r="D167" s="138">
        <v>10.67</v>
      </c>
      <c r="E167" s="141"/>
      <c r="F167" s="141">
        <v>9.5</v>
      </c>
      <c r="G167" s="141">
        <v>11.84</v>
      </c>
      <c r="H167" s="140">
        <v>1</v>
      </c>
      <c r="I167" s="140" t="s">
        <v>696</v>
      </c>
      <c r="J167" s="140"/>
    </row>
    <row r="168" spans="1:10" x14ac:dyDescent="0.25">
      <c r="A168" s="142" t="s">
        <v>984</v>
      </c>
      <c r="B168" s="142" t="s">
        <v>93</v>
      </c>
      <c r="C168" s="142" t="s">
        <v>15</v>
      </c>
      <c r="D168" s="138">
        <v>198.61500000000001</v>
      </c>
      <c r="E168" s="143"/>
      <c r="F168" s="143">
        <v>278.69</v>
      </c>
      <c r="G168" s="143">
        <v>118.54</v>
      </c>
      <c r="H168" s="142">
        <v>1</v>
      </c>
      <c r="I168" s="142" t="s">
        <v>710</v>
      </c>
      <c r="J168" s="142" t="s">
        <v>985</v>
      </c>
    </row>
    <row r="169" spans="1:10" x14ac:dyDescent="0.25">
      <c r="A169" s="140" t="s">
        <v>986</v>
      </c>
      <c r="B169" s="140" t="s">
        <v>987</v>
      </c>
      <c r="C169" s="140" t="s">
        <v>15</v>
      </c>
      <c r="D169" s="138">
        <v>0.92727272727272725</v>
      </c>
      <c r="E169" s="141">
        <v>0.88</v>
      </c>
      <c r="F169" s="141">
        <v>0.94249999999999989</v>
      </c>
      <c r="G169" s="141">
        <v>0.94750000000000001</v>
      </c>
      <c r="H169" s="140">
        <v>6</v>
      </c>
      <c r="I169" s="140" t="s">
        <v>696</v>
      </c>
      <c r="J169" s="140"/>
    </row>
    <row r="170" spans="1:10" x14ac:dyDescent="0.25">
      <c r="A170" s="140" t="s">
        <v>988</v>
      </c>
      <c r="B170" s="140" t="s">
        <v>989</v>
      </c>
      <c r="C170" s="140" t="s">
        <v>15</v>
      </c>
      <c r="D170" s="138">
        <v>2.9</v>
      </c>
      <c r="E170" s="141"/>
      <c r="F170" s="141"/>
      <c r="G170" s="141">
        <v>2.9</v>
      </c>
      <c r="H170" s="140">
        <v>1</v>
      </c>
      <c r="I170" s="140" t="s">
        <v>696</v>
      </c>
      <c r="J170" s="140"/>
    </row>
    <row r="171" spans="1:10" x14ac:dyDescent="0.25">
      <c r="A171" s="137" t="s">
        <v>990</v>
      </c>
      <c r="B171" s="137" t="s">
        <v>991</v>
      </c>
      <c r="C171" s="137" t="s">
        <v>15</v>
      </c>
      <c r="D171" s="138">
        <v>9.0250000000000004</v>
      </c>
      <c r="E171" s="139"/>
      <c r="F171" s="139"/>
      <c r="G171" s="139">
        <v>9.0250000000000004</v>
      </c>
      <c r="H171" s="137">
        <v>1</v>
      </c>
      <c r="I171" s="137" t="s">
        <v>690</v>
      </c>
      <c r="J171" s="137" t="s">
        <v>691</v>
      </c>
    </row>
    <row r="172" spans="1:10" x14ac:dyDescent="0.25">
      <c r="A172" s="137" t="s">
        <v>992</v>
      </c>
      <c r="B172" s="137" t="s">
        <v>993</v>
      </c>
      <c r="C172" s="137" t="s">
        <v>15</v>
      </c>
      <c r="D172" s="138">
        <v>21.82</v>
      </c>
      <c r="E172" s="139">
        <v>21.82</v>
      </c>
      <c r="F172" s="139"/>
      <c r="G172" s="139"/>
      <c r="H172" s="137">
        <v>1</v>
      </c>
      <c r="I172" s="137" t="s">
        <v>690</v>
      </c>
      <c r="J172" s="137" t="s">
        <v>691</v>
      </c>
    </row>
    <row r="173" spans="1:10" x14ac:dyDescent="0.25">
      <c r="A173" s="137" t="s">
        <v>994</v>
      </c>
      <c r="B173" s="137" t="s">
        <v>995</v>
      </c>
      <c r="C173" s="137" t="s">
        <v>15</v>
      </c>
      <c r="D173" s="138">
        <v>15.15</v>
      </c>
      <c r="E173" s="139"/>
      <c r="F173" s="139"/>
      <c r="G173" s="139">
        <v>15.15</v>
      </c>
      <c r="H173" s="137">
        <v>1</v>
      </c>
      <c r="I173" s="137" t="s">
        <v>690</v>
      </c>
      <c r="J173" s="137" t="s">
        <v>691</v>
      </c>
    </row>
    <row r="174" spans="1:10" x14ac:dyDescent="0.25">
      <c r="A174" s="140" t="s">
        <v>996</v>
      </c>
      <c r="B174" s="140" t="s">
        <v>997</v>
      </c>
      <c r="C174" s="140" t="s">
        <v>15</v>
      </c>
      <c r="D174" s="138">
        <v>25.139090909090907</v>
      </c>
      <c r="E174" s="141">
        <v>26.416666666666668</v>
      </c>
      <c r="F174" s="141">
        <v>23.98</v>
      </c>
      <c r="G174" s="141">
        <v>23.512500000000003</v>
      </c>
      <c r="H174" s="140">
        <v>6</v>
      </c>
      <c r="I174" s="140" t="s">
        <v>696</v>
      </c>
      <c r="J174" s="140"/>
    </row>
    <row r="175" spans="1:10" x14ac:dyDescent="0.25">
      <c r="A175" s="137" t="s">
        <v>998</v>
      </c>
      <c r="B175" s="137" t="s">
        <v>999</v>
      </c>
      <c r="C175" s="137" t="s">
        <v>15</v>
      </c>
      <c r="D175" s="138">
        <v>26.814</v>
      </c>
      <c r="E175" s="139">
        <v>26.814</v>
      </c>
      <c r="F175" s="139"/>
      <c r="G175" s="139"/>
      <c r="H175" s="137">
        <v>1</v>
      </c>
      <c r="I175" s="137" t="s">
        <v>690</v>
      </c>
      <c r="J175" s="137" t="s">
        <v>691</v>
      </c>
    </row>
    <row r="176" spans="1:10" x14ac:dyDescent="0.25">
      <c r="A176" s="140" t="s">
        <v>1000</v>
      </c>
      <c r="B176" s="140" t="s">
        <v>1001</v>
      </c>
      <c r="C176" s="140" t="s">
        <v>15</v>
      </c>
      <c r="D176" s="138">
        <v>58.303333333333335</v>
      </c>
      <c r="E176" s="141">
        <v>58.303333333333335</v>
      </c>
      <c r="F176" s="141"/>
      <c r="G176" s="141"/>
      <c r="H176" s="140">
        <v>3</v>
      </c>
      <c r="I176" s="140" t="s">
        <v>696</v>
      </c>
      <c r="J176" s="140"/>
    </row>
    <row r="177" spans="1:10" x14ac:dyDescent="0.25">
      <c r="A177" s="137" t="s">
        <v>1002</v>
      </c>
      <c r="B177" s="137" t="s">
        <v>240</v>
      </c>
      <c r="C177" s="137" t="s">
        <v>15</v>
      </c>
      <c r="D177" s="138">
        <v>28.75</v>
      </c>
      <c r="E177" s="139"/>
      <c r="F177" s="139">
        <v>28.75</v>
      </c>
      <c r="G177" s="139"/>
      <c r="H177" s="137">
        <v>1</v>
      </c>
      <c r="I177" s="137" t="s">
        <v>690</v>
      </c>
      <c r="J177" s="137" t="s">
        <v>691</v>
      </c>
    </row>
    <row r="178" spans="1:10" x14ac:dyDescent="0.25">
      <c r="A178" s="140" t="s">
        <v>1003</v>
      </c>
      <c r="B178" s="140" t="s">
        <v>360</v>
      </c>
      <c r="C178" s="140" t="s">
        <v>15</v>
      </c>
      <c r="D178" s="138">
        <v>69.349999999999994</v>
      </c>
      <c r="E178" s="141"/>
      <c r="F178" s="141"/>
      <c r="G178" s="141">
        <v>69.349999999999994</v>
      </c>
      <c r="H178" s="140">
        <v>2</v>
      </c>
      <c r="I178" s="140" t="s">
        <v>696</v>
      </c>
      <c r="J178" s="140"/>
    </row>
    <row r="179" spans="1:10" x14ac:dyDescent="0.25">
      <c r="A179" s="140" t="s">
        <v>1004</v>
      </c>
      <c r="B179" s="140" t="s">
        <v>597</v>
      </c>
      <c r="C179" s="140" t="s">
        <v>15</v>
      </c>
      <c r="D179" s="138">
        <v>70.289999999999992</v>
      </c>
      <c r="E179" s="141">
        <v>52.87</v>
      </c>
      <c r="F179" s="141"/>
      <c r="G179" s="141">
        <v>87.71</v>
      </c>
      <c r="H179" s="140">
        <v>1</v>
      </c>
      <c r="I179" s="140" t="s">
        <v>696</v>
      </c>
      <c r="J179" s="140"/>
    </row>
    <row r="180" spans="1:10" x14ac:dyDescent="0.25">
      <c r="A180" s="137" t="s">
        <v>1005</v>
      </c>
      <c r="B180" s="137" t="s">
        <v>1006</v>
      </c>
      <c r="C180" s="137" t="s">
        <v>15</v>
      </c>
      <c r="D180" s="138">
        <v>8.3699999999999992</v>
      </c>
      <c r="E180" s="139">
        <v>8.3699999999999992</v>
      </c>
      <c r="F180" s="139"/>
      <c r="G180" s="139"/>
      <c r="H180" s="137">
        <v>1</v>
      </c>
      <c r="I180" s="137" t="s">
        <v>690</v>
      </c>
      <c r="J180" s="137" t="s">
        <v>691</v>
      </c>
    </row>
    <row r="181" spans="1:10" x14ac:dyDescent="0.25">
      <c r="A181" s="140" t="s">
        <v>1007</v>
      </c>
      <c r="B181" s="140" t="s">
        <v>1008</v>
      </c>
      <c r="C181" s="140" t="s">
        <v>15</v>
      </c>
      <c r="D181" s="138">
        <v>1.8281666666666669</v>
      </c>
      <c r="E181" s="141">
        <v>1.4844999999999999</v>
      </c>
      <c r="F181" s="141">
        <v>1.78</v>
      </c>
      <c r="G181" s="141">
        <v>2.2200000000000002</v>
      </c>
      <c r="H181" s="140">
        <v>1</v>
      </c>
      <c r="I181" s="140" t="s">
        <v>696</v>
      </c>
      <c r="J181" s="140"/>
    </row>
    <row r="182" spans="1:10" x14ac:dyDescent="0.25">
      <c r="A182" s="140" t="s">
        <v>1009</v>
      </c>
      <c r="B182" s="140" t="s">
        <v>606</v>
      </c>
      <c r="C182" s="140" t="s">
        <v>15</v>
      </c>
      <c r="D182" s="138">
        <v>2.4034925925925932</v>
      </c>
      <c r="E182" s="141">
        <v>2.356033333333333</v>
      </c>
      <c r="F182" s="141">
        <v>2.4475000000000002</v>
      </c>
      <c r="G182" s="141">
        <v>2.3866666666666676</v>
      </c>
      <c r="H182" s="140">
        <v>10</v>
      </c>
      <c r="I182" s="140" t="s">
        <v>696</v>
      </c>
      <c r="J182" s="140"/>
    </row>
    <row r="183" spans="1:10" x14ac:dyDescent="0.25">
      <c r="A183" s="140" t="s">
        <v>1010</v>
      </c>
      <c r="B183" s="140" t="s">
        <v>606</v>
      </c>
      <c r="C183" s="140" t="s">
        <v>605</v>
      </c>
      <c r="D183" s="138"/>
      <c r="E183" s="141"/>
      <c r="F183" s="141"/>
      <c r="G183" s="141"/>
      <c r="H183" s="140">
        <v>1</v>
      </c>
      <c r="I183" s="140" t="s">
        <v>794</v>
      </c>
      <c r="J183" s="140"/>
    </row>
    <row r="184" spans="1:10" x14ac:dyDescent="0.25">
      <c r="A184" s="137" t="s">
        <v>1011</v>
      </c>
      <c r="B184" s="137" t="s">
        <v>1012</v>
      </c>
      <c r="C184" s="137" t="s">
        <v>15</v>
      </c>
      <c r="D184" s="138">
        <v>6.35</v>
      </c>
      <c r="E184" s="139">
        <v>6.35</v>
      </c>
      <c r="F184" s="139"/>
      <c r="G184" s="139"/>
      <c r="H184" s="137">
        <v>1</v>
      </c>
      <c r="I184" s="137" t="s">
        <v>690</v>
      </c>
      <c r="J184" s="137" t="s">
        <v>691</v>
      </c>
    </row>
    <row r="185" spans="1:10" x14ac:dyDescent="0.25">
      <c r="A185" s="142" t="s">
        <v>1013</v>
      </c>
      <c r="B185" s="142" t="s">
        <v>1014</v>
      </c>
      <c r="C185" s="142" t="s">
        <v>15</v>
      </c>
      <c r="D185" s="138">
        <v>0.85</v>
      </c>
      <c r="E185" s="143">
        <v>0.90600000000000003</v>
      </c>
      <c r="F185" s="143">
        <v>0.44</v>
      </c>
      <c r="G185" s="143">
        <v>0.85</v>
      </c>
      <c r="H185" s="142">
        <v>1</v>
      </c>
      <c r="I185" s="142" t="s">
        <v>710</v>
      </c>
      <c r="J185" s="142" t="s">
        <v>1015</v>
      </c>
    </row>
    <row r="186" spans="1:10" x14ac:dyDescent="0.25">
      <c r="A186" s="137" t="s">
        <v>1016</v>
      </c>
      <c r="B186" s="137" t="s">
        <v>570</v>
      </c>
      <c r="C186" s="137" t="s">
        <v>15</v>
      </c>
      <c r="D186" s="138">
        <v>177.44</v>
      </c>
      <c r="E186" s="139"/>
      <c r="F186" s="139"/>
      <c r="G186" s="139">
        <v>177.44</v>
      </c>
      <c r="H186" s="137">
        <v>1</v>
      </c>
      <c r="I186" s="137" t="s">
        <v>690</v>
      </c>
      <c r="J186" s="137" t="s">
        <v>691</v>
      </c>
    </row>
    <row r="187" spans="1:10" x14ac:dyDescent="0.25">
      <c r="A187" s="140" t="s">
        <v>1017</v>
      </c>
      <c r="B187" s="140" t="s">
        <v>91</v>
      </c>
      <c r="C187" s="140" t="s">
        <v>15</v>
      </c>
      <c r="D187" s="138">
        <v>7.09</v>
      </c>
      <c r="E187" s="141"/>
      <c r="F187" s="141">
        <v>7.76</v>
      </c>
      <c r="G187" s="141">
        <v>6.42</v>
      </c>
      <c r="H187" s="140">
        <v>1</v>
      </c>
      <c r="I187" s="140" t="s">
        <v>696</v>
      </c>
      <c r="J187" s="140"/>
    </row>
    <row r="188" spans="1:10" x14ac:dyDescent="0.25">
      <c r="A188" s="142" t="s">
        <v>1018</v>
      </c>
      <c r="B188" s="142" t="s">
        <v>92</v>
      </c>
      <c r="C188" s="142" t="s">
        <v>15</v>
      </c>
      <c r="D188" s="138">
        <v>12.495000000000001</v>
      </c>
      <c r="E188" s="143"/>
      <c r="F188" s="143">
        <v>17.48</v>
      </c>
      <c r="G188" s="143">
        <v>7.51</v>
      </c>
      <c r="H188" s="142">
        <v>1</v>
      </c>
      <c r="I188" s="142" t="s">
        <v>710</v>
      </c>
      <c r="J188" s="142" t="s">
        <v>1019</v>
      </c>
    </row>
    <row r="189" spans="1:10" x14ac:dyDescent="0.25">
      <c r="A189" s="142" t="s">
        <v>1020</v>
      </c>
      <c r="B189" s="142" t="s">
        <v>456</v>
      </c>
      <c r="C189" s="142" t="s">
        <v>144</v>
      </c>
      <c r="D189" s="138">
        <v>46.92</v>
      </c>
      <c r="E189" s="143">
        <v>46.924999999999997</v>
      </c>
      <c r="F189" s="143"/>
      <c r="G189" s="143">
        <v>0.61</v>
      </c>
      <c r="H189" s="142">
        <v>2</v>
      </c>
      <c r="I189" s="142" t="s">
        <v>763</v>
      </c>
      <c r="J189" s="142" t="s">
        <v>1021</v>
      </c>
    </row>
    <row r="190" spans="1:10" x14ac:dyDescent="0.25">
      <c r="A190" s="140" t="s">
        <v>1022</v>
      </c>
      <c r="B190" s="140" t="s">
        <v>454</v>
      </c>
      <c r="C190" s="140" t="s">
        <v>102</v>
      </c>
      <c r="D190" s="138">
        <v>0.56000000000000005</v>
      </c>
      <c r="E190" s="141"/>
      <c r="F190" s="141"/>
      <c r="G190" s="141">
        <v>0.56000000000000005</v>
      </c>
      <c r="H190" s="140">
        <v>2</v>
      </c>
      <c r="I190" s="140" t="s">
        <v>696</v>
      </c>
      <c r="J190" s="140"/>
    </row>
    <row r="191" spans="1:10" x14ac:dyDescent="0.25">
      <c r="A191" s="137" t="s">
        <v>1023</v>
      </c>
      <c r="B191" s="137" t="s">
        <v>239</v>
      </c>
      <c r="C191" s="137" t="s">
        <v>3</v>
      </c>
      <c r="D191" s="138">
        <v>0.64426666666666699</v>
      </c>
      <c r="E191" s="139"/>
      <c r="F191" s="139">
        <v>0.64426666666666699</v>
      </c>
      <c r="G191" s="139"/>
      <c r="H191" s="137">
        <v>1</v>
      </c>
      <c r="I191" s="137" t="s">
        <v>690</v>
      </c>
      <c r="J191" s="137" t="s">
        <v>691</v>
      </c>
    </row>
    <row r="192" spans="1:10" x14ac:dyDescent="0.25">
      <c r="A192" s="137" t="s">
        <v>1024</v>
      </c>
      <c r="B192" s="137" t="s">
        <v>1025</v>
      </c>
      <c r="C192" s="137" t="s">
        <v>15</v>
      </c>
      <c r="D192" s="138">
        <v>1.63</v>
      </c>
      <c r="E192" s="139"/>
      <c r="F192" s="139"/>
      <c r="G192" s="139">
        <v>1.63</v>
      </c>
      <c r="H192" s="137">
        <v>1</v>
      </c>
      <c r="I192" s="137" t="s">
        <v>690</v>
      </c>
      <c r="J192" s="137" t="s">
        <v>691</v>
      </c>
    </row>
    <row r="193" spans="1:10" x14ac:dyDescent="0.25">
      <c r="A193" s="140" t="s">
        <v>1026</v>
      </c>
      <c r="B193" s="140" t="s">
        <v>1027</v>
      </c>
      <c r="C193" s="140" t="s">
        <v>15</v>
      </c>
      <c r="D193" s="138">
        <v>1.5349999999999999</v>
      </c>
      <c r="E193" s="141">
        <v>1.68</v>
      </c>
      <c r="F193" s="141">
        <v>1.39</v>
      </c>
      <c r="G193" s="141"/>
      <c r="H193" s="140">
        <v>1</v>
      </c>
      <c r="I193" s="140" t="s">
        <v>696</v>
      </c>
      <c r="J193" s="140"/>
    </row>
    <row r="194" spans="1:10" x14ac:dyDescent="0.25">
      <c r="A194" s="140" t="s">
        <v>1028</v>
      </c>
      <c r="B194" s="140" t="s">
        <v>1029</v>
      </c>
      <c r="C194" s="140" t="s">
        <v>15</v>
      </c>
      <c r="D194" s="138">
        <v>0.11418750000000004</v>
      </c>
      <c r="E194" s="141">
        <v>0.11266666666666668</v>
      </c>
      <c r="F194" s="141">
        <v>0.11799999999999999</v>
      </c>
      <c r="G194" s="141">
        <v>0.11219999999999999</v>
      </c>
      <c r="H194" s="140">
        <v>9</v>
      </c>
      <c r="I194" s="140" t="s">
        <v>696</v>
      </c>
      <c r="J194" s="140"/>
    </row>
    <row r="195" spans="1:10" x14ac:dyDescent="0.25">
      <c r="A195" s="137" t="s">
        <v>1030</v>
      </c>
      <c r="B195" s="137" t="s">
        <v>1031</v>
      </c>
      <c r="C195" s="137" t="s">
        <v>15</v>
      </c>
      <c r="D195" s="138">
        <v>2.21</v>
      </c>
      <c r="E195" s="139"/>
      <c r="F195" s="139"/>
      <c r="G195" s="139">
        <v>2.21</v>
      </c>
      <c r="H195" s="137">
        <v>1</v>
      </c>
      <c r="I195" s="137" t="s">
        <v>690</v>
      </c>
      <c r="J195" s="137" t="s">
        <v>691</v>
      </c>
    </row>
    <row r="196" spans="1:10" x14ac:dyDescent="0.25">
      <c r="A196" s="140" t="s">
        <v>1032</v>
      </c>
      <c r="B196" s="140" t="s">
        <v>1033</v>
      </c>
      <c r="C196" s="140" t="s">
        <v>15</v>
      </c>
      <c r="D196" s="138">
        <v>2.06</v>
      </c>
      <c r="E196" s="141"/>
      <c r="F196" s="141">
        <v>1.74</v>
      </c>
      <c r="G196" s="141">
        <v>2.2200000000000002</v>
      </c>
      <c r="H196" s="140">
        <v>2</v>
      </c>
      <c r="I196" s="140" t="s">
        <v>696</v>
      </c>
      <c r="J196" s="140"/>
    </row>
    <row r="197" spans="1:10" x14ac:dyDescent="0.25">
      <c r="A197" s="140" t="s">
        <v>1034</v>
      </c>
      <c r="B197" s="140" t="s">
        <v>1035</v>
      </c>
      <c r="C197" s="140" t="s">
        <v>15</v>
      </c>
      <c r="D197" s="138">
        <v>36.835000000000001</v>
      </c>
      <c r="E197" s="141">
        <v>36.54</v>
      </c>
      <c r="F197" s="141">
        <v>37.130000000000003</v>
      </c>
      <c r="G197" s="141"/>
      <c r="H197" s="140">
        <v>1</v>
      </c>
      <c r="I197" s="140" t="s">
        <v>696</v>
      </c>
      <c r="J197" s="140"/>
    </row>
    <row r="198" spans="1:10" x14ac:dyDescent="0.25">
      <c r="A198" s="140" t="s">
        <v>1036</v>
      </c>
      <c r="B198" s="140" t="s">
        <v>226</v>
      </c>
      <c r="C198" s="140" t="s">
        <v>15</v>
      </c>
      <c r="D198" s="138">
        <v>0.91999999999999993</v>
      </c>
      <c r="E198" s="141">
        <v>0.98</v>
      </c>
      <c r="F198" s="141">
        <v>0.86</v>
      </c>
      <c r="G198" s="141"/>
      <c r="H198" s="140">
        <v>1</v>
      </c>
      <c r="I198" s="140" t="s">
        <v>696</v>
      </c>
      <c r="J198" s="140"/>
    </row>
    <row r="199" spans="1:10" x14ac:dyDescent="0.25">
      <c r="A199" s="137" t="s">
        <v>1037</v>
      </c>
      <c r="B199" s="137" t="s">
        <v>1038</v>
      </c>
      <c r="C199" s="137" t="s">
        <v>15</v>
      </c>
      <c r="D199" s="138">
        <v>5.9124999999999996</v>
      </c>
      <c r="E199" s="139"/>
      <c r="F199" s="139"/>
      <c r="G199" s="139">
        <v>5.9124999999999996</v>
      </c>
      <c r="H199" s="137">
        <v>1</v>
      </c>
      <c r="I199" s="137" t="s">
        <v>690</v>
      </c>
      <c r="J199" s="137" t="s">
        <v>691</v>
      </c>
    </row>
    <row r="200" spans="1:10" x14ac:dyDescent="0.25">
      <c r="A200" s="140" t="s">
        <v>1039</v>
      </c>
      <c r="B200" s="140" t="s">
        <v>1040</v>
      </c>
      <c r="C200" s="140" t="s">
        <v>15</v>
      </c>
      <c r="D200" s="138">
        <v>0.68</v>
      </c>
      <c r="E200" s="141">
        <v>0.68</v>
      </c>
      <c r="F200" s="141"/>
      <c r="G200" s="141">
        <v>0.68</v>
      </c>
      <c r="H200" s="140">
        <v>1</v>
      </c>
      <c r="I200" s="140" t="s">
        <v>696</v>
      </c>
      <c r="J200" s="140"/>
    </row>
    <row r="201" spans="1:10" x14ac:dyDescent="0.25">
      <c r="A201" s="137" t="s">
        <v>1041</v>
      </c>
      <c r="B201" s="137" t="s">
        <v>1042</v>
      </c>
      <c r="C201" s="137" t="s">
        <v>15</v>
      </c>
      <c r="D201" s="138">
        <v>5.0599999999999996</v>
      </c>
      <c r="E201" s="139">
        <v>5.0599999999999996</v>
      </c>
      <c r="F201" s="139"/>
      <c r="G201" s="139"/>
      <c r="H201" s="137">
        <v>1</v>
      </c>
      <c r="I201" s="137" t="s">
        <v>690</v>
      </c>
      <c r="J201" s="137" t="s">
        <v>691</v>
      </c>
    </row>
    <row r="202" spans="1:10" x14ac:dyDescent="0.25">
      <c r="A202" s="140" t="s">
        <v>1043</v>
      </c>
      <c r="B202" s="140" t="s">
        <v>1044</v>
      </c>
      <c r="C202" s="140" t="s">
        <v>15</v>
      </c>
      <c r="D202" s="138">
        <v>8.1945999999999994</v>
      </c>
      <c r="E202" s="141">
        <v>7.9329999999999998</v>
      </c>
      <c r="F202" s="141">
        <v>8.27</v>
      </c>
      <c r="G202" s="141">
        <v>8.25</v>
      </c>
      <c r="H202" s="140">
        <v>3</v>
      </c>
      <c r="I202" s="140" t="s">
        <v>696</v>
      </c>
      <c r="J202" s="140"/>
    </row>
    <row r="203" spans="1:10" x14ac:dyDescent="0.25">
      <c r="A203" s="140" t="s">
        <v>1045</v>
      </c>
      <c r="B203" s="140" t="s">
        <v>1044</v>
      </c>
      <c r="C203" s="140" t="s">
        <v>62</v>
      </c>
      <c r="D203" s="138">
        <v>8.1423265306122445</v>
      </c>
      <c r="E203" s="141">
        <v>8.0233333333333334</v>
      </c>
      <c r="F203" s="141">
        <v>8.14</v>
      </c>
      <c r="G203" s="141">
        <v>8.3231428571428552</v>
      </c>
      <c r="H203" s="140">
        <v>4</v>
      </c>
      <c r="I203" s="140" t="s">
        <v>696</v>
      </c>
      <c r="J203" s="140"/>
    </row>
    <row r="204" spans="1:10" x14ac:dyDescent="0.25">
      <c r="A204" s="140" t="s">
        <v>1046</v>
      </c>
      <c r="B204" s="140" t="s">
        <v>1047</v>
      </c>
      <c r="C204" s="140" t="s">
        <v>15</v>
      </c>
      <c r="D204" s="138">
        <v>11.714999999999998</v>
      </c>
      <c r="E204" s="141">
        <v>11.59</v>
      </c>
      <c r="F204" s="141">
        <v>11.74</v>
      </c>
      <c r="G204" s="141">
        <v>11.765000000000001</v>
      </c>
      <c r="H204" s="140">
        <v>2</v>
      </c>
      <c r="I204" s="140" t="s">
        <v>696</v>
      </c>
      <c r="J204" s="140"/>
    </row>
    <row r="205" spans="1:10" x14ac:dyDescent="0.25">
      <c r="A205" s="140" t="s">
        <v>1048</v>
      </c>
      <c r="B205" s="140" t="s">
        <v>1047</v>
      </c>
      <c r="C205" s="140" t="s">
        <v>236</v>
      </c>
      <c r="D205" s="138">
        <v>11.988107549857533</v>
      </c>
      <c r="E205" s="141"/>
      <c r="F205" s="141">
        <v>11.91</v>
      </c>
      <c r="G205" s="141">
        <v>12.027161324786299</v>
      </c>
      <c r="H205" s="140">
        <v>2</v>
      </c>
      <c r="I205" s="140" t="s">
        <v>696</v>
      </c>
      <c r="J205" s="140"/>
    </row>
    <row r="206" spans="1:10" x14ac:dyDescent="0.25">
      <c r="A206" s="140" t="s">
        <v>1049</v>
      </c>
      <c r="B206" s="140" t="s">
        <v>387</v>
      </c>
      <c r="C206" s="140" t="s">
        <v>15</v>
      </c>
      <c r="D206" s="138">
        <v>15.921666666666667</v>
      </c>
      <c r="E206" s="141">
        <v>15.805</v>
      </c>
      <c r="F206" s="141">
        <v>15.97</v>
      </c>
      <c r="G206" s="141">
        <v>15.99</v>
      </c>
      <c r="H206" s="140">
        <v>1</v>
      </c>
      <c r="I206" s="140" t="s">
        <v>696</v>
      </c>
      <c r="J206" s="140"/>
    </row>
    <row r="207" spans="1:10" x14ac:dyDescent="0.25">
      <c r="A207" s="140" t="s">
        <v>1050</v>
      </c>
      <c r="B207" s="140" t="s">
        <v>1051</v>
      </c>
      <c r="C207" s="140" t="s">
        <v>71</v>
      </c>
      <c r="D207" s="138">
        <v>16.299673913043499</v>
      </c>
      <c r="E207" s="141"/>
      <c r="F207" s="141">
        <v>16.260000000000002</v>
      </c>
      <c r="G207" s="141">
        <v>16.339347826087</v>
      </c>
      <c r="H207" s="140">
        <v>2</v>
      </c>
      <c r="I207" s="140" t="s">
        <v>696</v>
      </c>
      <c r="J207" s="140"/>
    </row>
    <row r="208" spans="1:10" x14ac:dyDescent="0.25">
      <c r="A208" s="140" t="s">
        <v>1052</v>
      </c>
      <c r="B208" s="140" t="s">
        <v>381</v>
      </c>
      <c r="C208" s="140" t="s">
        <v>15</v>
      </c>
      <c r="D208" s="138">
        <v>20.695666666666668</v>
      </c>
      <c r="E208" s="141">
        <v>20.327000000000002</v>
      </c>
      <c r="F208" s="141">
        <v>20.87</v>
      </c>
      <c r="G208" s="141">
        <v>20.89</v>
      </c>
      <c r="H208" s="140">
        <v>1</v>
      </c>
      <c r="I208" s="140" t="s">
        <v>696</v>
      </c>
      <c r="J208" s="140"/>
    </row>
    <row r="209" spans="1:10" x14ac:dyDescent="0.25">
      <c r="A209" s="140" t="s">
        <v>1053</v>
      </c>
      <c r="B209" s="140" t="s">
        <v>1054</v>
      </c>
      <c r="C209" s="140" t="s">
        <v>15</v>
      </c>
      <c r="D209" s="138">
        <v>26.454999999999998</v>
      </c>
      <c r="E209" s="141"/>
      <c r="F209" s="141">
        <v>26.44</v>
      </c>
      <c r="G209" s="141">
        <v>26.47</v>
      </c>
      <c r="H209" s="140">
        <v>1</v>
      </c>
      <c r="I209" s="140" t="s">
        <v>696</v>
      </c>
      <c r="J209" s="140"/>
    </row>
    <row r="210" spans="1:10" x14ac:dyDescent="0.25">
      <c r="A210" s="137" t="s">
        <v>1055</v>
      </c>
      <c r="B210" s="137" t="s">
        <v>1056</v>
      </c>
      <c r="C210" s="137" t="s">
        <v>545</v>
      </c>
      <c r="D210" s="138">
        <v>5.32</v>
      </c>
      <c r="E210" s="139"/>
      <c r="F210" s="139"/>
      <c r="G210" s="139">
        <v>5.32</v>
      </c>
      <c r="H210" s="137">
        <v>1</v>
      </c>
      <c r="I210" s="137" t="s">
        <v>690</v>
      </c>
      <c r="J210" s="137" t="s">
        <v>691</v>
      </c>
    </row>
    <row r="211" spans="1:10" x14ac:dyDescent="0.25">
      <c r="A211" s="140" t="s">
        <v>1057</v>
      </c>
      <c r="B211" s="140" t="s">
        <v>246</v>
      </c>
      <c r="C211" s="140" t="s">
        <v>15</v>
      </c>
      <c r="D211" s="138">
        <v>15.895</v>
      </c>
      <c r="E211" s="141">
        <v>15.895</v>
      </c>
      <c r="F211" s="141"/>
      <c r="G211" s="141"/>
      <c r="H211" s="140">
        <v>2</v>
      </c>
      <c r="I211" s="140" t="s">
        <v>696</v>
      </c>
      <c r="J211" s="140"/>
    </row>
    <row r="212" spans="1:10" x14ac:dyDescent="0.25">
      <c r="A212" s="140" t="s">
        <v>1058</v>
      </c>
      <c r="B212" s="140" t="s">
        <v>1059</v>
      </c>
      <c r="C212" s="140" t="s">
        <v>15</v>
      </c>
      <c r="D212" s="138">
        <v>9.3350000000000009</v>
      </c>
      <c r="E212" s="141"/>
      <c r="F212" s="141">
        <v>8.68</v>
      </c>
      <c r="G212" s="141">
        <v>9.99</v>
      </c>
      <c r="H212" s="140">
        <v>1</v>
      </c>
      <c r="I212" s="140" t="s">
        <v>696</v>
      </c>
      <c r="J212" s="140"/>
    </row>
    <row r="213" spans="1:10" x14ac:dyDescent="0.25">
      <c r="A213" s="137" t="s">
        <v>1060</v>
      </c>
      <c r="B213" s="137" t="s">
        <v>1061</v>
      </c>
      <c r="C213" s="137" t="s">
        <v>15</v>
      </c>
      <c r="D213" s="138">
        <v>4.1849999999999996</v>
      </c>
      <c r="E213" s="139">
        <v>4.1849999999999996</v>
      </c>
      <c r="F213" s="139"/>
      <c r="G213" s="139"/>
      <c r="H213" s="137">
        <v>1</v>
      </c>
      <c r="I213" s="137" t="s">
        <v>690</v>
      </c>
      <c r="J213" s="137" t="s">
        <v>691</v>
      </c>
    </row>
    <row r="214" spans="1:10" x14ac:dyDescent="0.25">
      <c r="A214" s="140" t="s">
        <v>1062</v>
      </c>
      <c r="B214" s="140" t="s">
        <v>1063</v>
      </c>
      <c r="C214" s="140" t="s">
        <v>15</v>
      </c>
      <c r="D214" s="138">
        <v>7.5173333333333332</v>
      </c>
      <c r="E214" s="141">
        <v>6.4020000000000001</v>
      </c>
      <c r="F214" s="141">
        <v>7.91</v>
      </c>
      <c r="G214" s="141">
        <v>8.24</v>
      </c>
      <c r="H214" s="140">
        <v>1</v>
      </c>
      <c r="I214" s="140" t="s">
        <v>696</v>
      </c>
      <c r="J214" s="140"/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4D11-25D7-4E29-AA6A-63C15DCDF5EC}">
  <dimension ref="A1:J99"/>
  <sheetViews>
    <sheetView workbookViewId="0">
      <pane ySplit="4" topLeftCell="A5" activePane="bottomLeft" state="frozen"/>
      <selection pane="bottomLeft" activeCell="E13" sqref="E13"/>
    </sheetView>
  </sheetViews>
  <sheetFormatPr baseColWidth="10" defaultRowHeight="15" x14ac:dyDescent="0.25"/>
  <cols>
    <col min="1" max="1" width="13.28515625" customWidth="1"/>
    <col min="2" max="2" width="68.5703125" customWidth="1"/>
    <col min="4" max="4" width="18.140625" style="26" customWidth="1"/>
    <col min="5" max="7" width="18.140625" customWidth="1"/>
    <col min="8" max="8" width="12.42578125" customWidth="1"/>
    <col min="9" max="9" width="17.140625" customWidth="1"/>
    <col min="10" max="10" width="41.85546875" customWidth="1"/>
  </cols>
  <sheetData>
    <row r="1" spans="1:10" ht="21" x14ac:dyDescent="0.35">
      <c r="A1" s="92" t="s">
        <v>1064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25">
      <c r="A2" s="136" t="s">
        <v>684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x14ac:dyDescent="0.25">
      <c r="A4" s="144" t="s">
        <v>671</v>
      </c>
      <c r="B4" s="144" t="s">
        <v>672</v>
      </c>
      <c r="C4" s="144" t="s">
        <v>617</v>
      </c>
      <c r="D4" s="174" t="s">
        <v>685</v>
      </c>
      <c r="E4" s="144" t="s">
        <v>618</v>
      </c>
      <c r="F4" s="144" t="s">
        <v>619</v>
      </c>
      <c r="G4" s="144" t="s">
        <v>620</v>
      </c>
      <c r="H4" s="144" t="s">
        <v>686</v>
      </c>
      <c r="I4" s="144" t="s">
        <v>687</v>
      </c>
      <c r="J4" s="144" t="s">
        <v>644</v>
      </c>
    </row>
    <row r="5" spans="1:10" x14ac:dyDescent="0.25">
      <c r="A5" s="137" t="s">
        <v>1065</v>
      </c>
      <c r="B5" s="137" t="s">
        <v>85</v>
      </c>
      <c r="C5" s="137" t="s">
        <v>84</v>
      </c>
      <c r="D5" s="175">
        <v>172.5</v>
      </c>
      <c r="E5" s="139">
        <v>172.5</v>
      </c>
      <c r="F5" s="139"/>
      <c r="G5" s="139"/>
      <c r="H5" s="137">
        <v>1</v>
      </c>
      <c r="I5" s="137" t="s">
        <v>690</v>
      </c>
      <c r="J5" s="137" t="s">
        <v>691</v>
      </c>
    </row>
    <row r="6" spans="1:10" x14ac:dyDescent="0.25">
      <c r="A6" s="137" t="s">
        <v>1066</v>
      </c>
      <c r="B6" s="137" t="s">
        <v>143</v>
      </c>
      <c r="C6" s="137" t="s">
        <v>130</v>
      </c>
      <c r="D6" s="175">
        <v>0.36</v>
      </c>
      <c r="E6" s="139"/>
      <c r="F6" s="139">
        <v>0.36</v>
      </c>
      <c r="G6" s="139"/>
      <c r="H6" s="137">
        <v>1</v>
      </c>
      <c r="I6" s="137" t="s">
        <v>690</v>
      </c>
      <c r="J6" s="137" t="s">
        <v>691</v>
      </c>
    </row>
    <row r="7" spans="1:10" x14ac:dyDescent="0.25">
      <c r="A7" s="140" t="s">
        <v>1067</v>
      </c>
      <c r="B7" s="140" t="s">
        <v>517</v>
      </c>
      <c r="C7" s="140" t="s">
        <v>130</v>
      </c>
      <c r="D7" s="175">
        <v>7</v>
      </c>
      <c r="E7" s="141">
        <v>7</v>
      </c>
      <c r="F7" s="141"/>
      <c r="G7" s="141">
        <v>7</v>
      </c>
      <c r="H7" s="140">
        <v>1</v>
      </c>
      <c r="I7" s="140" t="s">
        <v>696</v>
      </c>
      <c r="J7" s="140"/>
    </row>
    <row r="8" spans="1:10" x14ac:dyDescent="0.25">
      <c r="A8" s="137" t="s">
        <v>1068</v>
      </c>
      <c r="B8" s="137" t="s">
        <v>35</v>
      </c>
      <c r="C8" s="137" t="s">
        <v>130</v>
      </c>
      <c r="D8" s="175">
        <v>2.8</v>
      </c>
      <c r="E8" s="139"/>
      <c r="F8" s="139">
        <v>2.8</v>
      </c>
      <c r="G8" s="139"/>
      <c r="H8" s="137">
        <v>1</v>
      </c>
      <c r="I8" s="137" t="s">
        <v>690</v>
      </c>
      <c r="J8" s="137" t="s">
        <v>691</v>
      </c>
    </row>
    <row r="9" spans="1:10" x14ac:dyDescent="0.25">
      <c r="A9" s="137" t="s">
        <v>1069</v>
      </c>
      <c r="B9" s="137" t="s">
        <v>14</v>
      </c>
      <c r="C9" s="137" t="s">
        <v>130</v>
      </c>
      <c r="D9" s="175">
        <v>2.8</v>
      </c>
      <c r="E9" s="139"/>
      <c r="F9" s="139">
        <v>2.8</v>
      </c>
      <c r="G9" s="139"/>
      <c r="H9" s="137">
        <v>1</v>
      </c>
      <c r="I9" s="137" t="s">
        <v>690</v>
      </c>
      <c r="J9" s="137" t="s">
        <v>691</v>
      </c>
    </row>
    <row r="10" spans="1:10" x14ac:dyDescent="0.25">
      <c r="A10" s="137" t="s">
        <v>1070</v>
      </c>
      <c r="B10" s="137" t="s">
        <v>218</v>
      </c>
      <c r="C10" s="137" t="s">
        <v>3</v>
      </c>
      <c r="D10" s="175">
        <v>2.8</v>
      </c>
      <c r="E10" s="139"/>
      <c r="F10" s="139">
        <v>2.8</v>
      </c>
      <c r="G10" s="139"/>
      <c r="H10" s="137">
        <v>1</v>
      </c>
      <c r="I10" s="137" t="s">
        <v>690</v>
      </c>
      <c r="J10" s="137" t="s">
        <v>691</v>
      </c>
    </row>
    <row r="11" spans="1:10" x14ac:dyDescent="0.25">
      <c r="A11" s="140" t="s">
        <v>1071</v>
      </c>
      <c r="B11" s="140" t="s">
        <v>221</v>
      </c>
      <c r="C11" s="140" t="s">
        <v>3</v>
      </c>
      <c r="D11" s="175">
        <v>9.4499999999999993</v>
      </c>
      <c r="E11" s="141">
        <v>9.4499999999999993</v>
      </c>
      <c r="F11" s="141">
        <v>9.4499999999999993</v>
      </c>
      <c r="G11" s="141"/>
      <c r="H11" s="140">
        <v>1</v>
      </c>
      <c r="I11" s="140" t="s">
        <v>696</v>
      </c>
      <c r="J11" s="140"/>
    </row>
    <row r="12" spans="1:10" x14ac:dyDescent="0.25">
      <c r="A12" s="140" t="s">
        <v>1072</v>
      </c>
      <c r="B12" s="140" t="s">
        <v>277</v>
      </c>
      <c r="C12" s="140" t="s">
        <v>130</v>
      </c>
      <c r="D12" s="175">
        <v>1.54</v>
      </c>
      <c r="E12" s="141">
        <v>1.9</v>
      </c>
      <c r="F12" s="141">
        <v>1.36</v>
      </c>
      <c r="G12" s="141">
        <v>1.36</v>
      </c>
      <c r="H12" s="140">
        <v>1</v>
      </c>
      <c r="I12" s="140" t="s">
        <v>696</v>
      </c>
      <c r="J12" s="140"/>
    </row>
    <row r="13" spans="1:10" x14ac:dyDescent="0.25">
      <c r="A13" s="140" t="s">
        <v>1073</v>
      </c>
      <c r="B13" s="140" t="s">
        <v>235</v>
      </c>
      <c r="C13" s="140" t="s">
        <v>3</v>
      </c>
      <c r="D13" s="175">
        <v>6.37</v>
      </c>
      <c r="E13" s="141">
        <v>6.37</v>
      </c>
      <c r="F13" s="141">
        <v>6.37</v>
      </c>
      <c r="G13" s="141"/>
      <c r="H13" s="140">
        <v>1</v>
      </c>
      <c r="I13" s="140" t="s">
        <v>696</v>
      </c>
      <c r="J13" s="140"/>
    </row>
    <row r="14" spans="1:10" x14ac:dyDescent="0.25">
      <c r="A14" s="140" t="s">
        <v>1074</v>
      </c>
      <c r="B14" s="140" t="s">
        <v>215</v>
      </c>
      <c r="C14" s="140" t="s">
        <v>3</v>
      </c>
      <c r="D14" s="175">
        <v>6.38</v>
      </c>
      <c r="E14" s="141">
        <v>6.38</v>
      </c>
      <c r="F14" s="141">
        <v>6.38</v>
      </c>
      <c r="G14" s="141">
        <v>6.38</v>
      </c>
      <c r="H14" s="140">
        <v>1</v>
      </c>
      <c r="I14" s="140" t="s">
        <v>696</v>
      </c>
      <c r="J14" s="140"/>
    </row>
    <row r="15" spans="1:10" x14ac:dyDescent="0.25">
      <c r="A15" s="137" t="s">
        <v>1075</v>
      </c>
      <c r="B15" s="137" t="s">
        <v>4</v>
      </c>
      <c r="C15" s="137" t="s">
        <v>3</v>
      </c>
      <c r="D15" s="175">
        <v>2.6</v>
      </c>
      <c r="E15" s="139"/>
      <c r="F15" s="139">
        <v>2.6</v>
      </c>
      <c r="G15" s="139"/>
      <c r="H15" s="137">
        <v>1</v>
      </c>
      <c r="I15" s="137" t="s">
        <v>690</v>
      </c>
      <c r="J15" s="137" t="s">
        <v>691</v>
      </c>
    </row>
    <row r="16" spans="1:10" x14ac:dyDescent="0.25">
      <c r="A16" s="140" t="s">
        <v>1076</v>
      </c>
      <c r="B16" s="140" t="s">
        <v>599</v>
      </c>
      <c r="C16" s="140" t="s">
        <v>3</v>
      </c>
      <c r="D16" s="175">
        <v>15.8</v>
      </c>
      <c r="E16" s="141">
        <v>15.8</v>
      </c>
      <c r="F16" s="141">
        <v>15.8</v>
      </c>
      <c r="G16" s="141"/>
      <c r="H16" s="140">
        <v>1</v>
      </c>
      <c r="I16" s="140" t="s">
        <v>696</v>
      </c>
      <c r="J16" s="140"/>
    </row>
    <row r="17" spans="1:10" x14ac:dyDescent="0.25">
      <c r="A17" s="140" t="s">
        <v>1077</v>
      </c>
      <c r="B17" s="140" t="s">
        <v>453</v>
      </c>
      <c r="C17" s="140" t="s">
        <v>3</v>
      </c>
      <c r="D17" s="175">
        <v>2.14</v>
      </c>
      <c r="E17" s="141">
        <v>2.14</v>
      </c>
      <c r="F17" s="141">
        <v>2.14</v>
      </c>
      <c r="G17" s="141">
        <v>2.14</v>
      </c>
      <c r="H17" s="140">
        <v>1</v>
      </c>
      <c r="I17" s="140" t="s">
        <v>696</v>
      </c>
      <c r="J17" s="140"/>
    </row>
    <row r="18" spans="1:10" x14ac:dyDescent="0.25">
      <c r="A18" s="140" t="s">
        <v>1078</v>
      </c>
      <c r="B18" s="140" t="s">
        <v>70</v>
      </c>
      <c r="C18" s="140" t="s">
        <v>130</v>
      </c>
      <c r="D18" s="175">
        <v>0.69999999999999984</v>
      </c>
      <c r="E18" s="141">
        <v>0.7</v>
      </c>
      <c r="F18" s="141">
        <v>0.7</v>
      </c>
      <c r="G18" s="141">
        <v>0.7</v>
      </c>
      <c r="H18" s="140">
        <v>1</v>
      </c>
      <c r="I18" s="140" t="s">
        <v>696</v>
      </c>
      <c r="J18" s="140"/>
    </row>
    <row r="19" spans="1:10" x14ac:dyDescent="0.25">
      <c r="A19" s="140" t="s">
        <v>1079</v>
      </c>
      <c r="B19" s="140" t="s">
        <v>1080</v>
      </c>
      <c r="C19" s="140" t="s">
        <v>130</v>
      </c>
      <c r="D19" s="175">
        <v>7</v>
      </c>
      <c r="E19" s="141">
        <v>8</v>
      </c>
      <c r="F19" s="141">
        <v>6.5</v>
      </c>
      <c r="G19" s="141">
        <v>6.5</v>
      </c>
      <c r="H19" s="140">
        <v>1</v>
      </c>
      <c r="I19" s="140" t="s">
        <v>696</v>
      </c>
      <c r="J19" s="140"/>
    </row>
    <row r="20" spans="1:10" x14ac:dyDescent="0.25">
      <c r="A20" s="137" t="s">
        <v>1081</v>
      </c>
      <c r="B20" s="137" t="s">
        <v>450</v>
      </c>
      <c r="C20" s="137" t="s">
        <v>88</v>
      </c>
      <c r="D20" s="175">
        <v>89.29</v>
      </c>
      <c r="E20" s="139"/>
      <c r="F20" s="139"/>
      <c r="G20" s="139">
        <v>89.29</v>
      </c>
      <c r="H20" s="137">
        <v>1</v>
      </c>
      <c r="I20" s="137" t="s">
        <v>690</v>
      </c>
      <c r="J20" s="137" t="s">
        <v>691</v>
      </c>
    </row>
    <row r="21" spans="1:10" x14ac:dyDescent="0.25">
      <c r="A21" s="140" t="s">
        <v>1082</v>
      </c>
      <c r="B21" s="140" t="s">
        <v>255</v>
      </c>
      <c r="C21" s="140" t="s">
        <v>58</v>
      </c>
      <c r="D21" s="175">
        <v>6.3700160371242367</v>
      </c>
      <c r="E21" s="141">
        <v>6.37</v>
      </c>
      <c r="F21" s="141">
        <v>6.3700481113727099</v>
      </c>
      <c r="G21" s="141">
        <v>6.37</v>
      </c>
      <c r="H21" s="140">
        <v>1</v>
      </c>
      <c r="I21" s="140" t="s">
        <v>696</v>
      </c>
      <c r="J21" s="140"/>
    </row>
    <row r="22" spans="1:10" x14ac:dyDescent="0.25">
      <c r="A22" s="140" t="s">
        <v>1083</v>
      </c>
      <c r="B22" s="140" t="s">
        <v>207</v>
      </c>
      <c r="C22" s="140" t="s">
        <v>130</v>
      </c>
      <c r="D22" s="175">
        <v>13.26</v>
      </c>
      <c r="E22" s="141">
        <v>13.26</v>
      </c>
      <c r="F22" s="141">
        <v>13.26</v>
      </c>
      <c r="G22" s="141">
        <v>13.26</v>
      </c>
      <c r="H22" s="140">
        <v>1</v>
      </c>
      <c r="I22" s="140" t="s">
        <v>696</v>
      </c>
      <c r="J22" s="140"/>
    </row>
    <row r="23" spans="1:10" x14ac:dyDescent="0.25">
      <c r="A23" s="137" t="s">
        <v>1084</v>
      </c>
      <c r="B23" s="137" t="s">
        <v>52</v>
      </c>
      <c r="C23" s="137" t="s">
        <v>130</v>
      </c>
      <c r="D23" s="175">
        <v>6.16</v>
      </c>
      <c r="E23" s="139">
        <v>6.16</v>
      </c>
      <c r="F23" s="139"/>
      <c r="G23" s="139"/>
      <c r="H23" s="137">
        <v>1</v>
      </c>
      <c r="I23" s="137" t="s">
        <v>690</v>
      </c>
      <c r="J23" s="137" t="s">
        <v>691</v>
      </c>
    </row>
    <row r="24" spans="1:10" x14ac:dyDescent="0.25">
      <c r="A24" s="137" t="s">
        <v>1085</v>
      </c>
      <c r="B24" s="137" t="s">
        <v>1086</v>
      </c>
      <c r="C24" s="137" t="s">
        <v>130</v>
      </c>
      <c r="D24" s="175">
        <v>25.09</v>
      </c>
      <c r="E24" s="139">
        <v>25.09</v>
      </c>
      <c r="F24" s="139"/>
      <c r="G24" s="139"/>
      <c r="H24" s="137">
        <v>1</v>
      </c>
      <c r="I24" s="137" t="s">
        <v>690</v>
      </c>
      <c r="J24" s="137" t="s">
        <v>691</v>
      </c>
    </row>
    <row r="25" spans="1:10" x14ac:dyDescent="0.25">
      <c r="A25" s="140" t="s">
        <v>1087</v>
      </c>
      <c r="B25" s="140" t="s">
        <v>1088</v>
      </c>
      <c r="C25" s="140" t="s">
        <v>130</v>
      </c>
      <c r="D25" s="175">
        <v>11.25</v>
      </c>
      <c r="E25" s="141">
        <v>13.89</v>
      </c>
      <c r="F25" s="141">
        <v>9.93</v>
      </c>
      <c r="G25" s="141">
        <v>9.93</v>
      </c>
      <c r="H25" s="140">
        <v>1</v>
      </c>
      <c r="I25" s="140" t="s">
        <v>696</v>
      </c>
      <c r="J25" s="140"/>
    </row>
    <row r="26" spans="1:10" x14ac:dyDescent="0.25">
      <c r="A26" s="140" t="s">
        <v>1089</v>
      </c>
      <c r="B26" s="140" t="s">
        <v>1090</v>
      </c>
      <c r="C26" s="140" t="s">
        <v>3</v>
      </c>
      <c r="D26" s="175">
        <v>6.5</v>
      </c>
      <c r="E26" s="141">
        <v>6.5</v>
      </c>
      <c r="F26" s="141">
        <v>6.5</v>
      </c>
      <c r="G26" s="141">
        <v>6.5</v>
      </c>
      <c r="H26" s="140">
        <v>1</v>
      </c>
      <c r="I26" s="140" t="s">
        <v>696</v>
      </c>
      <c r="J26" s="140"/>
    </row>
    <row r="27" spans="1:10" x14ac:dyDescent="0.25">
      <c r="A27" s="140" t="s">
        <v>1091</v>
      </c>
      <c r="B27" s="140" t="s">
        <v>1092</v>
      </c>
      <c r="C27" s="140" t="s">
        <v>3</v>
      </c>
      <c r="D27" s="175">
        <v>3.8699999999999997</v>
      </c>
      <c r="E27" s="141">
        <v>3.85</v>
      </c>
      <c r="F27" s="141">
        <v>3.88</v>
      </c>
      <c r="G27" s="141">
        <v>3.88</v>
      </c>
      <c r="H27" s="140">
        <v>1</v>
      </c>
      <c r="I27" s="140" t="s">
        <v>696</v>
      </c>
      <c r="J27" s="140"/>
    </row>
    <row r="28" spans="1:10" x14ac:dyDescent="0.25">
      <c r="A28" s="140" t="s">
        <v>1093</v>
      </c>
      <c r="B28" s="140" t="s">
        <v>1094</v>
      </c>
      <c r="C28" s="140" t="s">
        <v>130</v>
      </c>
      <c r="D28" s="175">
        <v>11.285</v>
      </c>
      <c r="E28" s="141">
        <v>12.77</v>
      </c>
      <c r="F28" s="141"/>
      <c r="G28" s="141">
        <v>9.8000000000000007</v>
      </c>
      <c r="H28" s="140">
        <v>1</v>
      </c>
      <c r="I28" s="140" t="s">
        <v>696</v>
      </c>
      <c r="J28" s="140"/>
    </row>
    <row r="29" spans="1:10" x14ac:dyDescent="0.25">
      <c r="A29" s="140" t="s">
        <v>1095</v>
      </c>
      <c r="B29" s="140" t="s">
        <v>1096</v>
      </c>
      <c r="C29" s="140" t="s">
        <v>130</v>
      </c>
      <c r="D29" s="175">
        <v>12.565000000000001</v>
      </c>
      <c r="E29" s="141">
        <v>13.63</v>
      </c>
      <c r="F29" s="141">
        <v>11.5</v>
      </c>
      <c r="G29" s="141"/>
      <c r="H29" s="140">
        <v>1</v>
      </c>
      <c r="I29" s="140" t="s">
        <v>696</v>
      </c>
      <c r="J29" s="140"/>
    </row>
    <row r="30" spans="1:10" x14ac:dyDescent="0.25">
      <c r="A30" s="142" t="s">
        <v>1097</v>
      </c>
      <c r="B30" s="142" t="s">
        <v>1098</v>
      </c>
      <c r="C30" s="142" t="s">
        <v>130</v>
      </c>
      <c r="D30" s="175">
        <v>11.5</v>
      </c>
      <c r="E30" s="143">
        <v>25.87</v>
      </c>
      <c r="F30" s="143">
        <v>11</v>
      </c>
      <c r="G30" s="143">
        <v>11.5</v>
      </c>
      <c r="H30" s="142">
        <v>1</v>
      </c>
      <c r="I30" s="142" t="s">
        <v>710</v>
      </c>
      <c r="J30" s="142" t="s">
        <v>985</v>
      </c>
    </row>
    <row r="31" spans="1:10" x14ac:dyDescent="0.25">
      <c r="A31" s="140" t="s">
        <v>1099</v>
      </c>
      <c r="B31" s="140" t="s">
        <v>198</v>
      </c>
      <c r="C31" s="140" t="s">
        <v>130</v>
      </c>
      <c r="D31" s="175">
        <v>7.4633333333333338</v>
      </c>
      <c r="E31" s="141">
        <v>7.99</v>
      </c>
      <c r="F31" s="141">
        <v>6.8</v>
      </c>
      <c r="G31" s="141">
        <v>7.6</v>
      </c>
      <c r="H31" s="140">
        <v>1</v>
      </c>
      <c r="I31" s="140" t="s">
        <v>696</v>
      </c>
      <c r="J31" s="140"/>
    </row>
    <row r="32" spans="1:10" x14ac:dyDescent="0.25">
      <c r="A32" s="140" t="s">
        <v>1100</v>
      </c>
      <c r="B32" s="140" t="s">
        <v>195</v>
      </c>
      <c r="C32" s="140" t="s">
        <v>3</v>
      </c>
      <c r="D32" s="175">
        <v>3.25</v>
      </c>
      <c r="E32" s="141">
        <v>3.4</v>
      </c>
      <c r="F32" s="141">
        <v>3.1</v>
      </c>
      <c r="G32" s="141"/>
      <c r="H32" s="140">
        <v>1</v>
      </c>
      <c r="I32" s="140" t="s">
        <v>696</v>
      </c>
      <c r="J32" s="140"/>
    </row>
    <row r="33" spans="1:10" x14ac:dyDescent="0.25">
      <c r="A33" s="140" t="s">
        <v>1101</v>
      </c>
      <c r="B33" s="140" t="s">
        <v>186</v>
      </c>
      <c r="C33" s="140" t="s">
        <v>3</v>
      </c>
      <c r="D33" s="175">
        <v>3</v>
      </c>
      <c r="E33" s="141">
        <v>3.1</v>
      </c>
      <c r="F33" s="141">
        <v>2.9</v>
      </c>
      <c r="G33" s="141"/>
      <c r="H33" s="140">
        <v>1</v>
      </c>
      <c r="I33" s="140" t="s">
        <v>696</v>
      </c>
      <c r="J33" s="140"/>
    </row>
    <row r="34" spans="1:10" x14ac:dyDescent="0.25">
      <c r="A34" s="140" t="s">
        <v>1102</v>
      </c>
      <c r="B34" s="140" t="s">
        <v>192</v>
      </c>
      <c r="C34" s="140" t="s">
        <v>130</v>
      </c>
      <c r="D34" s="175">
        <v>1.25</v>
      </c>
      <c r="E34" s="141">
        <v>1.4</v>
      </c>
      <c r="F34" s="141">
        <v>1.1000000000000001</v>
      </c>
      <c r="G34" s="141"/>
      <c r="H34" s="140">
        <v>1</v>
      </c>
      <c r="I34" s="140" t="s">
        <v>696</v>
      </c>
      <c r="J34" s="140"/>
    </row>
    <row r="35" spans="1:10" x14ac:dyDescent="0.25">
      <c r="A35" s="140" t="s">
        <v>1103</v>
      </c>
      <c r="B35" s="140" t="s">
        <v>183</v>
      </c>
      <c r="C35" s="140" t="s">
        <v>3</v>
      </c>
      <c r="D35" s="175">
        <v>1.4500000000000002</v>
      </c>
      <c r="E35" s="141">
        <v>1.6</v>
      </c>
      <c r="F35" s="141">
        <v>1.3</v>
      </c>
      <c r="G35" s="141"/>
      <c r="H35" s="140">
        <v>1</v>
      </c>
      <c r="I35" s="140" t="s">
        <v>696</v>
      </c>
      <c r="J35" s="140"/>
    </row>
    <row r="36" spans="1:10" x14ac:dyDescent="0.25">
      <c r="A36" s="140" t="s">
        <v>1104</v>
      </c>
      <c r="B36" s="140" t="s">
        <v>164</v>
      </c>
      <c r="C36" s="140" t="s">
        <v>130</v>
      </c>
      <c r="D36" s="175">
        <v>3.95</v>
      </c>
      <c r="E36" s="141"/>
      <c r="F36" s="141">
        <v>3.1</v>
      </c>
      <c r="G36" s="141">
        <v>4.8</v>
      </c>
      <c r="H36" s="140">
        <v>1</v>
      </c>
      <c r="I36" s="140" t="s">
        <v>696</v>
      </c>
      <c r="J36" s="140"/>
    </row>
    <row r="37" spans="1:10" x14ac:dyDescent="0.25">
      <c r="A37" s="140" t="s">
        <v>1105</v>
      </c>
      <c r="B37" s="140" t="s">
        <v>189</v>
      </c>
      <c r="C37" s="140" t="s">
        <v>130</v>
      </c>
      <c r="D37" s="175">
        <v>4.8899999999999997</v>
      </c>
      <c r="E37" s="141">
        <v>5.0199999999999996</v>
      </c>
      <c r="F37" s="141">
        <v>4.8</v>
      </c>
      <c r="G37" s="141">
        <v>4.8499999999999996</v>
      </c>
      <c r="H37" s="140">
        <v>1</v>
      </c>
      <c r="I37" s="140" t="s">
        <v>696</v>
      </c>
      <c r="J37" s="140"/>
    </row>
    <row r="38" spans="1:10" x14ac:dyDescent="0.25">
      <c r="A38" s="140" t="s">
        <v>1106</v>
      </c>
      <c r="B38" s="140" t="s">
        <v>415</v>
      </c>
      <c r="C38" s="140" t="s">
        <v>6</v>
      </c>
      <c r="D38" s="175">
        <v>7.833333333333333</v>
      </c>
      <c r="E38" s="141">
        <v>7.5</v>
      </c>
      <c r="F38" s="141">
        <v>7.5</v>
      </c>
      <c r="G38" s="141">
        <v>8.5</v>
      </c>
      <c r="H38" s="140">
        <v>1</v>
      </c>
      <c r="I38" s="140" t="s">
        <v>696</v>
      </c>
      <c r="J38" s="140"/>
    </row>
    <row r="39" spans="1:10" x14ac:dyDescent="0.25">
      <c r="A39" s="137" t="s">
        <v>1107</v>
      </c>
      <c r="B39" s="137" t="s">
        <v>420</v>
      </c>
      <c r="C39" s="137" t="s">
        <v>3</v>
      </c>
      <c r="D39" s="175">
        <v>3.9</v>
      </c>
      <c r="E39" s="139"/>
      <c r="F39" s="139">
        <v>3.9</v>
      </c>
      <c r="G39" s="139"/>
      <c r="H39" s="137">
        <v>1</v>
      </c>
      <c r="I39" s="137" t="s">
        <v>690</v>
      </c>
      <c r="J39" s="137" t="s">
        <v>691</v>
      </c>
    </row>
    <row r="40" spans="1:10" x14ac:dyDescent="0.25">
      <c r="A40" s="140" t="s">
        <v>1108</v>
      </c>
      <c r="B40" s="140" t="s">
        <v>423</v>
      </c>
      <c r="C40" s="140" t="s">
        <v>3</v>
      </c>
      <c r="D40" s="175">
        <v>3.9</v>
      </c>
      <c r="E40" s="141"/>
      <c r="F40" s="141">
        <v>3.9</v>
      </c>
      <c r="G40" s="141">
        <v>3.9</v>
      </c>
      <c r="H40" s="140">
        <v>1</v>
      </c>
      <c r="I40" s="140" t="s">
        <v>696</v>
      </c>
      <c r="J40" s="140"/>
    </row>
    <row r="41" spans="1:10" x14ac:dyDescent="0.25">
      <c r="A41" s="140" t="s">
        <v>1109</v>
      </c>
      <c r="B41" s="140" t="s">
        <v>202</v>
      </c>
      <c r="C41" s="140" t="s">
        <v>130</v>
      </c>
      <c r="D41" s="175">
        <v>3.8</v>
      </c>
      <c r="E41" s="141"/>
      <c r="F41" s="141">
        <v>3.8</v>
      </c>
      <c r="G41" s="141">
        <v>3.8</v>
      </c>
      <c r="H41" s="140">
        <v>1</v>
      </c>
      <c r="I41" s="140" t="s">
        <v>696</v>
      </c>
      <c r="J41" s="140"/>
    </row>
    <row r="42" spans="1:10" x14ac:dyDescent="0.25">
      <c r="A42" s="140" t="s">
        <v>1110</v>
      </c>
      <c r="B42" s="140" t="s">
        <v>166</v>
      </c>
      <c r="C42" s="140" t="s">
        <v>3</v>
      </c>
      <c r="D42" s="175">
        <v>1.3399999999999999</v>
      </c>
      <c r="E42" s="141">
        <v>1.5</v>
      </c>
      <c r="F42" s="141">
        <v>1.26</v>
      </c>
      <c r="G42" s="141">
        <v>1.26</v>
      </c>
      <c r="H42" s="140">
        <v>1</v>
      </c>
      <c r="I42" s="140" t="s">
        <v>696</v>
      </c>
      <c r="J42" s="140"/>
    </row>
    <row r="43" spans="1:10" x14ac:dyDescent="0.25">
      <c r="A43" s="140" t="s">
        <v>1111</v>
      </c>
      <c r="B43" s="140" t="s">
        <v>459</v>
      </c>
      <c r="C43" s="140" t="s">
        <v>88</v>
      </c>
      <c r="D43" s="175">
        <v>200</v>
      </c>
      <c r="E43" s="141">
        <v>200</v>
      </c>
      <c r="F43" s="141">
        <v>200</v>
      </c>
      <c r="G43" s="141">
        <v>200</v>
      </c>
      <c r="H43" s="140">
        <v>1</v>
      </c>
      <c r="I43" s="140" t="s">
        <v>696</v>
      </c>
      <c r="J43" s="140"/>
    </row>
    <row r="44" spans="1:10" x14ac:dyDescent="0.25">
      <c r="A44" s="140" t="s">
        <v>1112</v>
      </c>
      <c r="B44" s="140" t="s">
        <v>393</v>
      </c>
      <c r="C44" s="140" t="s">
        <v>30</v>
      </c>
      <c r="D44" s="175">
        <v>0.32</v>
      </c>
      <c r="E44" s="141">
        <v>0.32</v>
      </c>
      <c r="F44" s="141">
        <v>0.32</v>
      </c>
      <c r="G44" s="141">
        <v>0.32</v>
      </c>
      <c r="H44" s="140">
        <v>1</v>
      </c>
      <c r="I44" s="140" t="s">
        <v>696</v>
      </c>
      <c r="J44" s="140"/>
    </row>
    <row r="45" spans="1:10" x14ac:dyDescent="0.25">
      <c r="A45" s="140" t="s">
        <v>1113</v>
      </c>
      <c r="B45" s="140" t="s">
        <v>390</v>
      </c>
      <c r="C45" s="140" t="s">
        <v>30</v>
      </c>
      <c r="D45" s="175">
        <v>0.32</v>
      </c>
      <c r="E45" s="141">
        <v>0.32</v>
      </c>
      <c r="F45" s="141">
        <v>0.32</v>
      </c>
      <c r="G45" s="141">
        <v>0.32</v>
      </c>
      <c r="H45" s="140">
        <v>1</v>
      </c>
      <c r="I45" s="140" t="s">
        <v>696</v>
      </c>
      <c r="J45" s="140"/>
    </row>
    <row r="46" spans="1:10" x14ac:dyDescent="0.25">
      <c r="A46" s="140" t="s">
        <v>1114</v>
      </c>
      <c r="B46" s="140" t="s">
        <v>386</v>
      </c>
      <c r="C46" s="140" t="s">
        <v>30</v>
      </c>
      <c r="D46" s="175">
        <v>0.32</v>
      </c>
      <c r="E46" s="141">
        <v>0.32</v>
      </c>
      <c r="F46" s="141">
        <v>0.32</v>
      </c>
      <c r="G46" s="141">
        <v>0.32</v>
      </c>
      <c r="H46" s="140">
        <v>1</v>
      </c>
      <c r="I46" s="140" t="s">
        <v>696</v>
      </c>
      <c r="J46" s="140"/>
    </row>
    <row r="47" spans="1:10" x14ac:dyDescent="0.25">
      <c r="A47" s="140" t="s">
        <v>1115</v>
      </c>
      <c r="B47" s="140" t="s">
        <v>380</v>
      </c>
      <c r="C47" s="140" t="s">
        <v>30</v>
      </c>
      <c r="D47" s="175">
        <v>0.32</v>
      </c>
      <c r="E47" s="141">
        <v>0.32</v>
      </c>
      <c r="F47" s="141">
        <v>0.32</v>
      </c>
      <c r="G47" s="141">
        <v>0.32</v>
      </c>
      <c r="H47" s="140">
        <v>1</v>
      </c>
      <c r="I47" s="140" t="s">
        <v>696</v>
      </c>
      <c r="J47" s="140"/>
    </row>
    <row r="48" spans="1:10" x14ac:dyDescent="0.25">
      <c r="A48" s="140" t="s">
        <v>1116</v>
      </c>
      <c r="B48" s="140" t="s">
        <v>376</v>
      </c>
      <c r="C48" s="140" t="s">
        <v>30</v>
      </c>
      <c r="D48" s="175">
        <v>0.32</v>
      </c>
      <c r="E48" s="141"/>
      <c r="F48" s="141">
        <v>0.32</v>
      </c>
      <c r="G48" s="141">
        <v>0.32</v>
      </c>
      <c r="H48" s="140">
        <v>1</v>
      </c>
      <c r="I48" s="140" t="s">
        <v>696</v>
      </c>
      <c r="J48" s="140"/>
    </row>
    <row r="49" spans="1:10" x14ac:dyDescent="0.25">
      <c r="A49" s="137" t="s">
        <v>1117</v>
      </c>
      <c r="B49" s="137" t="s">
        <v>396</v>
      </c>
      <c r="C49" s="137" t="s">
        <v>30</v>
      </c>
      <c r="D49" s="175">
        <v>0.32</v>
      </c>
      <c r="E49" s="139">
        <v>0.32</v>
      </c>
      <c r="F49" s="139"/>
      <c r="G49" s="139"/>
      <c r="H49" s="137">
        <v>1</v>
      </c>
      <c r="I49" s="137" t="s">
        <v>690</v>
      </c>
      <c r="J49" s="137" t="s">
        <v>691</v>
      </c>
    </row>
    <row r="50" spans="1:10" x14ac:dyDescent="0.25">
      <c r="A50" s="140" t="s">
        <v>1118</v>
      </c>
      <c r="B50" s="140" t="s">
        <v>334</v>
      </c>
      <c r="C50" s="140" t="s">
        <v>6</v>
      </c>
      <c r="D50" s="175">
        <v>33</v>
      </c>
      <c r="E50" s="141">
        <v>33</v>
      </c>
      <c r="F50" s="141">
        <v>33</v>
      </c>
      <c r="G50" s="141">
        <v>33</v>
      </c>
      <c r="H50" s="140">
        <v>1</v>
      </c>
      <c r="I50" s="140" t="s">
        <v>696</v>
      </c>
      <c r="J50" s="140"/>
    </row>
    <row r="51" spans="1:10" x14ac:dyDescent="0.25">
      <c r="A51" s="140" t="s">
        <v>1119</v>
      </c>
      <c r="B51" s="140" t="s">
        <v>311</v>
      </c>
      <c r="C51" s="140" t="s">
        <v>6</v>
      </c>
      <c r="D51" s="175">
        <v>35</v>
      </c>
      <c r="E51" s="141">
        <v>37</v>
      </c>
      <c r="F51" s="141">
        <v>33</v>
      </c>
      <c r="G51" s="141"/>
      <c r="H51" s="140">
        <v>1</v>
      </c>
      <c r="I51" s="140" t="s">
        <v>696</v>
      </c>
      <c r="J51" s="140"/>
    </row>
    <row r="52" spans="1:10" x14ac:dyDescent="0.25">
      <c r="A52" s="137" t="s">
        <v>1120</v>
      </c>
      <c r="B52" s="137" t="s">
        <v>591</v>
      </c>
      <c r="C52" s="137" t="s">
        <v>6</v>
      </c>
      <c r="D52" s="175">
        <v>33</v>
      </c>
      <c r="E52" s="139">
        <v>33</v>
      </c>
      <c r="F52" s="139"/>
      <c r="G52" s="139"/>
      <c r="H52" s="137">
        <v>1</v>
      </c>
      <c r="I52" s="137" t="s">
        <v>690</v>
      </c>
      <c r="J52" s="137" t="s">
        <v>691</v>
      </c>
    </row>
    <row r="53" spans="1:10" x14ac:dyDescent="0.25">
      <c r="A53" s="140" t="s">
        <v>1121</v>
      </c>
      <c r="B53" s="140" t="s">
        <v>316</v>
      </c>
      <c r="C53" s="140" t="s">
        <v>6</v>
      </c>
      <c r="D53" s="175">
        <v>34.333333333333336</v>
      </c>
      <c r="E53" s="141">
        <v>37</v>
      </c>
      <c r="F53" s="141">
        <v>33</v>
      </c>
      <c r="G53" s="141">
        <v>33</v>
      </c>
      <c r="H53" s="140">
        <v>1</v>
      </c>
      <c r="I53" s="140" t="s">
        <v>696</v>
      </c>
      <c r="J53" s="140"/>
    </row>
    <row r="54" spans="1:10" x14ac:dyDescent="0.25">
      <c r="A54" s="140" t="s">
        <v>1122</v>
      </c>
      <c r="B54" s="140" t="s">
        <v>1123</v>
      </c>
      <c r="C54" s="140" t="s">
        <v>6</v>
      </c>
      <c r="D54" s="175">
        <v>33</v>
      </c>
      <c r="E54" s="141">
        <v>33</v>
      </c>
      <c r="F54" s="141"/>
      <c r="G54" s="141">
        <v>33</v>
      </c>
      <c r="H54" s="140">
        <v>1</v>
      </c>
      <c r="I54" s="140" t="s">
        <v>696</v>
      </c>
      <c r="J54" s="140"/>
    </row>
    <row r="55" spans="1:10" x14ac:dyDescent="0.25">
      <c r="A55" s="140" t="s">
        <v>1124</v>
      </c>
      <c r="B55" s="140" t="s">
        <v>344</v>
      </c>
      <c r="C55" s="140" t="s">
        <v>6</v>
      </c>
      <c r="D55" s="175">
        <v>33</v>
      </c>
      <c r="E55" s="141">
        <v>33</v>
      </c>
      <c r="F55" s="141">
        <v>33</v>
      </c>
      <c r="G55" s="141">
        <v>33</v>
      </c>
      <c r="H55" s="140">
        <v>1</v>
      </c>
      <c r="I55" s="140" t="s">
        <v>696</v>
      </c>
      <c r="J55" s="140"/>
    </row>
    <row r="56" spans="1:10" x14ac:dyDescent="0.25">
      <c r="A56" s="140" t="s">
        <v>1125</v>
      </c>
      <c r="B56" s="140" t="s">
        <v>349</v>
      </c>
      <c r="C56" s="140" t="s">
        <v>6</v>
      </c>
      <c r="D56" s="175">
        <v>25</v>
      </c>
      <c r="E56" s="141">
        <v>25</v>
      </c>
      <c r="F56" s="141">
        <v>25</v>
      </c>
      <c r="G56" s="141">
        <v>25</v>
      </c>
      <c r="H56" s="140">
        <v>1</v>
      </c>
      <c r="I56" s="140" t="s">
        <v>696</v>
      </c>
      <c r="J56" s="140"/>
    </row>
    <row r="57" spans="1:10" x14ac:dyDescent="0.25">
      <c r="A57" s="140" t="s">
        <v>1126</v>
      </c>
      <c r="B57" s="140" t="s">
        <v>335</v>
      </c>
      <c r="C57" s="140" t="s">
        <v>6</v>
      </c>
      <c r="D57" s="175">
        <v>33</v>
      </c>
      <c r="E57" s="141">
        <v>33</v>
      </c>
      <c r="F57" s="141">
        <v>33</v>
      </c>
      <c r="G57" s="141">
        <v>33</v>
      </c>
      <c r="H57" s="140">
        <v>1</v>
      </c>
      <c r="I57" s="140" t="s">
        <v>696</v>
      </c>
      <c r="J57" s="140"/>
    </row>
    <row r="58" spans="1:10" x14ac:dyDescent="0.25">
      <c r="A58" s="140" t="s">
        <v>1127</v>
      </c>
      <c r="B58" s="140" t="s">
        <v>330</v>
      </c>
      <c r="C58" s="140" t="s">
        <v>6</v>
      </c>
      <c r="D58" s="175">
        <v>33</v>
      </c>
      <c r="E58" s="141">
        <v>33</v>
      </c>
      <c r="F58" s="141">
        <v>33</v>
      </c>
      <c r="G58" s="141">
        <v>33</v>
      </c>
      <c r="H58" s="140">
        <v>1</v>
      </c>
      <c r="I58" s="140" t="s">
        <v>696</v>
      </c>
      <c r="J58" s="140"/>
    </row>
    <row r="59" spans="1:10" x14ac:dyDescent="0.25">
      <c r="A59" s="140" t="s">
        <v>1128</v>
      </c>
      <c r="B59" s="140" t="s">
        <v>1129</v>
      </c>
      <c r="C59" s="140" t="s">
        <v>6</v>
      </c>
      <c r="D59" s="175">
        <v>33</v>
      </c>
      <c r="E59" s="141">
        <v>33</v>
      </c>
      <c r="F59" s="141">
        <v>33</v>
      </c>
      <c r="G59" s="141"/>
      <c r="H59" s="140">
        <v>1</v>
      </c>
      <c r="I59" s="140" t="s">
        <v>696</v>
      </c>
      <c r="J59" s="140"/>
    </row>
    <row r="60" spans="1:10" x14ac:dyDescent="0.25">
      <c r="A60" s="137" t="s">
        <v>1130</v>
      </c>
      <c r="B60" s="137" t="s">
        <v>297</v>
      </c>
      <c r="C60" s="137" t="s">
        <v>6</v>
      </c>
      <c r="D60" s="175">
        <v>15</v>
      </c>
      <c r="E60" s="139"/>
      <c r="F60" s="139">
        <v>15</v>
      </c>
      <c r="G60" s="139"/>
      <c r="H60" s="137">
        <v>1</v>
      </c>
      <c r="I60" s="137" t="s">
        <v>690</v>
      </c>
      <c r="J60" s="137" t="s">
        <v>691</v>
      </c>
    </row>
    <row r="61" spans="1:10" x14ac:dyDescent="0.25">
      <c r="A61" s="137" t="s">
        <v>1131</v>
      </c>
      <c r="B61" s="137" t="s">
        <v>300</v>
      </c>
      <c r="C61" s="137" t="s">
        <v>6</v>
      </c>
      <c r="D61" s="175">
        <v>33</v>
      </c>
      <c r="E61" s="139"/>
      <c r="F61" s="139">
        <v>33</v>
      </c>
      <c r="G61" s="139"/>
      <c r="H61" s="137">
        <v>1</v>
      </c>
      <c r="I61" s="137" t="s">
        <v>690</v>
      </c>
      <c r="J61" s="137" t="s">
        <v>691</v>
      </c>
    </row>
    <row r="62" spans="1:10" x14ac:dyDescent="0.25">
      <c r="A62" s="140" t="s">
        <v>1132</v>
      </c>
      <c r="B62" s="140" t="s">
        <v>306</v>
      </c>
      <c r="C62" s="140" t="s">
        <v>3</v>
      </c>
      <c r="D62" s="175">
        <v>4.25</v>
      </c>
      <c r="E62" s="141">
        <v>4.25</v>
      </c>
      <c r="F62" s="141">
        <v>4.25</v>
      </c>
      <c r="G62" s="141"/>
      <c r="H62" s="140">
        <v>1</v>
      </c>
      <c r="I62" s="140" t="s">
        <v>696</v>
      </c>
      <c r="J62" s="140"/>
    </row>
    <row r="63" spans="1:10" x14ac:dyDescent="0.25">
      <c r="A63" s="137" t="s">
        <v>1133</v>
      </c>
      <c r="B63" s="137" t="s">
        <v>515</v>
      </c>
      <c r="C63" s="137" t="s">
        <v>84</v>
      </c>
      <c r="D63" s="175">
        <v>35</v>
      </c>
      <c r="E63" s="139">
        <v>35</v>
      </c>
      <c r="F63" s="139"/>
      <c r="G63" s="139"/>
      <c r="H63" s="137">
        <v>1</v>
      </c>
      <c r="I63" s="137" t="s">
        <v>690</v>
      </c>
      <c r="J63" s="137" t="s">
        <v>691</v>
      </c>
    </row>
    <row r="64" spans="1:10" x14ac:dyDescent="0.25">
      <c r="A64" s="137" t="s">
        <v>1134</v>
      </c>
      <c r="B64" s="137" t="s">
        <v>353</v>
      </c>
      <c r="C64" s="137" t="s">
        <v>58</v>
      </c>
      <c r="D64" s="175">
        <v>3.4</v>
      </c>
      <c r="E64" s="139"/>
      <c r="F64" s="139">
        <v>3.4</v>
      </c>
      <c r="G64" s="139"/>
      <c r="H64" s="137">
        <v>1</v>
      </c>
      <c r="I64" s="137" t="s">
        <v>690</v>
      </c>
      <c r="J64" s="137" t="s">
        <v>691</v>
      </c>
    </row>
    <row r="65" spans="1:10" x14ac:dyDescent="0.25">
      <c r="A65" s="142" t="s">
        <v>1135</v>
      </c>
      <c r="B65" s="142" t="s">
        <v>125</v>
      </c>
      <c r="C65" s="142" t="s">
        <v>88</v>
      </c>
      <c r="D65" s="175">
        <v>880</v>
      </c>
      <c r="E65" s="143">
        <v>202.61</v>
      </c>
      <c r="F65" s="143">
        <v>1026.32</v>
      </c>
      <c r="G65" s="143">
        <v>880</v>
      </c>
      <c r="H65" s="142">
        <v>1</v>
      </c>
      <c r="I65" s="142" t="s">
        <v>710</v>
      </c>
      <c r="J65" s="142" t="s">
        <v>1136</v>
      </c>
    </row>
    <row r="66" spans="1:10" x14ac:dyDescent="0.25">
      <c r="A66" s="137" t="s">
        <v>1137</v>
      </c>
      <c r="B66" s="137" t="s">
        <v>61</v>
      </c>
      <c r="C66" s="137" t="s">
        <v>130</v>
      </c>
      <c r="D66" s="175">
        <v>1.04</v>
      </c>
      <c r="E66" s="139">
        <v>1.04</v>
      </c>
      <c r="F66" s="139"/>
      <c r="G66" s="139"/>
      <c r="H66" s="137">
        <v>1</v>
      </c>
      <c r="I66" s="137" t="s">
        <v>690</v>
      </c>
      <c r="J66" s="137" t="s">
        <v>691</v>
      </c>
    </row>
    <row r="67" spans="1:10" x14ac:dyDescent="0.25">
      <c r="A67" s="140" t="s">
        <v>1138</v>
      </c>
      <c r="B67" s="140" t="s">
        <v>401</v>
      </c>
      <c r="C67" s="140" t="s">
        <v>130</v>
      </c>
      <c r="D67" s="175">
        <v>1.04</v>
      </c>
      <c r="E67" s="141">
        <v>1.04</v>
      </c>
      <c r="F67" s="141">
        <v>1.04</v>
      </c>
      <c r="G67" s="141">
        <v>1.04</v>
      </c>
      <c r="H67" s="140">
        <v>1</v>
      </c>
      <c r="I67" s="140" t="s">
        <v>696</v>
      </c>
      <c r="J67" s="140"/>
    </row>
    <row r="68" spans="1:10" x14ac:dyDescent="0.25">
      <c r="A68" s="140" t="s">
        <v>1139</v>
      </c>
      <c r="B68" s="140" t="s">
        <v>590</v>
      </c>
      <c r="C68" s="140" t="s">
        <v>130</v>
      </c>
      <c r="D68" s="175">
        <v>16.134999999999998</v>
      </c>
      <c r="E68" s="141">
        <v>17.27</v>
      </c>
      <c r="F68" s="141">
        <v>15</v>
      </c>
      <c r="G68" s="141"/>
      <c r="H68" s="140">
        <v>1</v>
      </c>
      <c r="I68" s="140" t="s">
        <v>696</v>
      </c>
      <c r="J68" s="140"/>
    </row>
    <row r="69" spans="1:10" x14ac:dyDescent="0.25">
      <c r="A69" s="140" t="s">
        <v>1140</v>
      </c>
      <c r="B69" s="140" t="s">
        <v>258</v>
      </c>
      <c r="C69" s="140" t="s">
        <v>130</v>
      </c>
      <c r="D69" s="175">
        <v>5.84</v>
      </c>
      <c r="E69" s="141">
        <v>6.92</v>
      </c>
      <c r="F69" s="141">
        <v>5.3</v>
      </c>
      <c r="G69" s="141">
        <v>5.3</v>
      </c>
      <c r="H69" s="140">
        <v>1</v>
      </c>
      <c r="I69" s="140" t="s">
        <v>696</v>
      </c>
      <c r="J69" s="140"/>
    </row>
    <row r="70" spans="1:10" x14ac:dyDescent="0.25">
      <c r="A70" s="140" t="s">
        <v>1141</v>
      </c>
      <c r="B70" s="140" t="s">
        <v>1142</v>
      </c>
      <c r="C70" s="140" t="s">
        <v>130</v>
      </c>
      <c r="D70" s="175">
        <v>5.84</v>
      </c>
      <c r="E70" s="141">
        <v>6.92</v>
      </c>
      <c r="F70" s="141">
        <v>5.3</v>
      </c>
      <c r="G70" s="141">
        <v>5.3</v>
      </c>
      <c r="H70" s="140">
        <v>1</v>
      </c>
      <c r="I70" s="140" t="s">
        <v>696</v>
      </c>
      <c r="J70" s="140"/>
    </row>
    <row r="71" spans="1:10" x14ac:dyDescent="0.25">
      <c r="A71" s="140" t="s">
        <v>1143</v>
      </c>
      <c r="B71" s="140" t="s">
        <v>268</v>
      </c>
      <c r="C71" s="140" t="s">
        <v>130</v>
      </c>
      <c r="D71" s="175">
        <v>6.126666666666666</v>
      </c>
      <c r="E71" s="141">
        <v>7.38</v>
      </c>
      <c r="F71" s="141">
        <v>5.5</v>
      </c>
      <c r="G71" s="141">
        <v>5.5</v>
      </c>
      <c r="H71" s="140">
        <v>1</v>
      </c>
      <c r="I71" s="140" t="s">
        <v>696</v>
      </c>
      <c r="J71" s="140"/>
    </row>
    <row r="72" spans="1:10" x14ac:dyDescent="0.25">
      <c r="A72" s="137" t="s">
        <v>1144</v>
      </c>
      <c r="B72" s="137" t="s">
        <v>161</v>
      </c>
      <c r="C72" s="137" t="s">
        <v>130</v>
      </c>
      <c r="D72" s="175">
        <v>5.4</v>
      </c>
      <c r="E72" s="139">
        <v>5.4</v>
      </c>
      <c r="F72" s="139"/>
      <c r="G72" s="139"/>
      <c r="H72" s="137">
        <v>1</v>
      </c>
      <c r="I72" s="137" t="s">
        <v>690</v>
      </c>
      <c r="J72" s="137" t="s">
        <v>691</v>
      </c>
    </row>
    <row r="73" spans="1:10" x14ac:dyDescent="0.25">
      <c r="A73" s="140" t="s">
        <v>1145</v>
      </c>
      <c r="B73" s="140" t="s">
        <v>1146</v>
      </c>
      <c r="C73" s="140" t="s">
        <v>130</v>
      </c>
      <c r="D73" s="175">
        <v>1.1533333333333333</v>
      </c>
      <c r="E73" s="141">
        <v>1.2</v>
      </c>
      <c r="F73" s="141">
        <v>1.1299999999999999</v>
      </c>
      <c r="G73" s="141">
        <v>1.1299999999999999</v>
      </c>
      <c r="H73" s="140">
        <v>1</v>
      </c>
      <c r="I73" s="140" t="s">
        <v>696</v>
      </c>
      <c r="J73" s="140"/>
    </row>
    <row r="74" spans="1:10" x14ac:dyDescent="0.25">
      <c r="A74" s="140" t="s">
        <v>1147</v>
      </c>
      <c r="B74" s="140" t="s">
        <v>211</v>
      </c>
      <c r="C74" s="140" t="s">
        <v>210</v>
      </c>
      <c r="D74" s="175">
        <v>25.333333333333332</v>
      </c>
      <c r="E74" s="141">
        <v>24</v>
      </c>
      <c r="F74" s="141">
        <v>22</v>
      </c>
      <c r="G74" s="141">
        <v>30</v>
      </c>
      <c r="H74" s="140">
        <v>1</v>
      </c>
      <c r="I74" s="140" t="s">
        <v>696</v>
      </c>
      <c r="J74" s="140"/>
    </row>
    <row r="75" spans="1:10" x14ac:dyDescent="0.25">
      <c r="A75" s="137" t="s">
        <v>1148</v>
      </c>
      <c r="B75" s="137" t="s">
        <v>406</v>
      </c>
      <c r="C75" s="137" t="s">
        <v>130</v>
      </c>
      <c r="D75" s="175">
        <v>1.86</v>
      </c>
      <c r="E75" s="139"/>
      <c r="F75" s="139"/>
      <c r="G75" s="139">
        <v>1.86</v>
      </c>
      <c r="H75" s="137">
        <v>1</v>
      </c>
      <c r="I75" s="137" t="s">
        <v>690</v>
      </c>
      <c r="J75" s="137" t="s">
        <v>691</v>
      </c>
    </row>
    <row r="76" spans="1:10" x14ac:dyDescent="0.25">
      <c r="A76" s="140" t="s">
        <v>1149</v>
      </c>
      <c r="B76" s="140" t="s">
        <v>1150</v>
      </c>
      <c r="C76" s="140" t="s">
        <v>3</v>
      </c>
      <c r="D76" s="175">
        <v>0.94999999999999984</v>
      </c>
      <c r="E76" s="141">
        <v>0.95</v>
      </c>
      <c r="F76" s="141">
        <v>0.95</v>
      </c>
      <c r="G76" s="141">
        <v>0.95</v>
      </c>
      <c r="H76" s="140">
        <v>1</v>
      </c>
      <c r="I76" s="140" t="s">
        <v>696</v>
      </c>
      <c r="J76" s="140"/>
    </row>
    <row r="77" spans="1:10" x14ac:dyDescent="0.25">
      <c r="A77" s="137" t="s">
        <v>1151</v>
      </c>
      <c r="B77" s="137" t="s">
        <v>67</v>
      </c>
      <c r="C77" s="137" t="s">
        <v>130</v>
      </c>
      <c r="D77" s="175">
        <v>0.36</v>
      </c>
      <c r="E77" s="139">
        <v>0.36</v>
      </c>
      <c r="F77" s="139"/>
      <c r="G77" s="139"/>
      <c r="H77" s="137">
        <v>1</v>
      </c>
      <c r="I77" s="137" t="s">
        <v>690</v>
      </c>
      <c r="J77" s="137" t="s">
        <v>691</v>
      </c>
    </row>
    <row r="78" spans="1:10" x14ac:dyDescent="0.25">
      <c r="A78" s="140" t="s">
        <v>1152</v>
      </c>
      <c r="B78" s="140" t="s">
        <v>369</v>
      </c>
      <c r="C78" s="140" t="s">
        <v>130</v>
      </c>
      <c r="D78" s="175">
        <v>0.36000000000000004</v>
      </c>
      <c r="E78" s="141">
        <v>0.36</v>
      </c>
      <c r="F78" s="141">
        <v>0.36</v>
      </c>
      <c r="G78" s="141">
        <v>0.36</v>
      </c>
      <c r="H78" s="140">
        <v>1</v>
      </c>
      <c r="I78" s="140" t="s">
        <v>696</v>
      </c>
      <c r="J78" s="140"/>
    </row>
    <row r="79" spans="1:10" x14ac:dyDescent="0.25">
      <c r="A79" s="140" t="s">
        <v>1153</v>
      </c>
      <c r="B79" s="140" t="s">
        <v>433</v>
      </c>
      <c r="C79" s="140" t="s">
        <v>130</v>
      </c>
      <c r="D79" s="175">
        <v>0.69999999999999984</v>
      </c>
      <c r="E79" s="141">
        <v>0.7</v>
      </c>
      <c r="F79" s="141">
        <v>0.7</v>
      </c>
      <c r="G79" s="141">
        <v>0.7</v>
      </c>
      <c r="H79" s="140">
        <v>1</v>
      </c>
      <c r="I79" s="140" t="s">
        <v>696</v>
      </c>
      <c r="J79" s="140"/>
    </row>
    <row r="80" spans="1:10" x14ac:dyDescent="0.25">
      <c r="A80" s="140" t="s">
        <v>1154</v>
      </c>
      <c r="B80" s="140" t="s">
        <v>1155</v>
      </c>
      <c r="C80" s="140" t="s">
        <v>130</v>
      </c>
      <c r="D80" s="175">
        <v>0.69999999999999984</v>
      </c>
      <c r="E80" s="141">
        <v>0.7</v>
      </c>
      <c r="F80" s="141">
        <v>0.7</v>
      </c>
      <c r="G80" s="141">
        <v>0.7</v>
      </c>
      <c r="H80" s="140">
        <v>1</v>
      </c>
      <c r="I80" s="140" t="s">
        <v>696</v>
      </c>
      <c r="J80" s="140"/>
    </row>
    <row r="81" spans="1:10" x14ac:dyDescent="0.25">
      <c r="A81" s="137" t="s">
        <v>1156</v>
      </c>
      <c r="B81" s="137" t="s">
        <v>1157</v>
      </c>
      <c r="C81" s="137" t="s">
        <v>3</v>
      </c>
      <c r="D81" s="175">
        <v>101.5</v>
      </c>
      <c r="E81" s="139"/>
      <c r="F81" s="139">
        <v>101.5</v>
      </c>
      <c r="G81" s="139"/>
      <c r="H81" s="137">
        <v>1</v>
      </c>
      <c r="I81" s="137" t="s">
        <v>690</v>
      </c>
      <c r="J81" s="137" t="s">
        <v>691</v>
      </c>
    </row>
    <row r="82" spans="1:10" x14ac:dyDescent="0.25">
      <c r="A82" s="137" t="s">
        <v>1158</v>
      </c>
      <c r="B82" s="137" t="s">
        <v>1159</v>
      </c>
      <c r="C82" s="137" t="s">
        <v>3</v>
      </c>
      <c r="D82" s="175">
        <v>107.1</v>
      </c>
      <c r="E82" s="139"/>
      <c r="F82" s="139">
        <v>107.1</v>
      </c>
      <c r="G82" s="139"/>
      <c r="H82" s="137">
        <v>1</v>
      </c>
      <c r="I82" s="137" t="s">
        <v>690</v>
      </c>
      <c r="J82" s="137" t="s">
        <v>691</v>
      </c>
    </row>
    <row r="83" spans="1:10" x14ac:dyDescent="0.25">
      <c r="A83" s="140" t="s">
        <v>1160</v>
      </c>
      <c r="B83" s="140" t="s">
        <v>411</v>
      </c>
      <c r="C83" s="140" t="s">
        <v>6</v>
      </c>
      <c r="D83" s="175">
        <v>4.29</v>
      </c>
      <c r="E83" s="141">
        <v>4.29</v>
      </c>
      <c r="F83" s="141">
        <v>4.29</v>
      </c>
      <c r="G83" s="141">
        <v>4.29</v>
      </c>
      <c r="H83" s="140">
        <v>1</v>
      </c>
      <c r="I83" s="140" t="s">
        <v>696</v>
      </c>
      <c r="J83" s="140"/>
    </row>
    <row r="84" spans="1:10" x14ac:dyDescent="0.25">
      <c r="A84" s="140" t="s">
        <v>1161</v>
      </c>
      <c r="B84" s="140" t="s">
        <v>439</v>
      </c>
      <c r="C84" s="140" t="s">
        <v>6</v>
      </c>
      <c r="D84" s="175">
        <v>2.8833333333333333</v>
      </c>
      <c r="E84" s="141">
        <v>3</v>
      </c>
      <c r="F84" s="141">
        <v>3</v>
      </c>
      <c r="G84" s="141">
        <v>2.65</v>
      </c>
      <c r="H84" s="140">
        <v>1</v>
      </c>
      <c r="I84" s="140" t="s">
        <v>696</v>
      </c>
      <c r="J84" s="140"/>
    </row>
    <row r="85" spans="1:10" x14ac:dyDescent="0.25">
      <c r="A85" s="140" t="s">
        <v>1162</v>
      </c>
      <c r="B85" s="140" t="s">
        <v>75</v>
      </c>
      <c r="C85" s="140" t="s">
        <v>130</v>
      </c>
      <c r="D85" s="175">
        <v>0.72</v>
      </c>
      <c r="E85" s="141">
        <v>0.72</v>
      </c>
      <c r="F85" s="141">
        <v>0.72</v>
      </c>
      <c r="G85" s="141"/>
      <c r="H85" s="140">
        <v>1</v>
      </c>
      <c r="I85" s="140" t="s">
        <v>696</v>
      </c>
      <c r="J85" s="140"/>
    </row>
    <row r="86" spans="1:10" x14ac:dyDescent="0.25">
      <c r="A86" s="140" t="s">
        <v>1163</v>
      </c>
      <c r="B86" s="140" t="s">
        <v>27</v>
      </c>
      <c r="C86" s="140" t="s">
        <v>130</v>
      </c>
      <c r="D86" s="175">
        <v>0.73999999999999988</v>
      </c>
      <c r="E86" s="141"/>
      <c r="F86" s="141">
        <v>0.73499999999999999</v>
      </c>
      <c r="G86" s="141">
        <v>0.75</v>
      </c>
      <c r="H86" s="140">
        <v>2</v>
      </c>
      <c r="I86" s="140" t="s">
        <v>696</v>
      </c>
      <c r="J86" s="140"/>
    </row>
    <row r="87" spans="1:10" x14ac:dyDescent="0.25">
      <c r="A87" s="140" t="s">
        <v>1164</v>
      </c>
      <c r="B87" s="140" t="s">
        <v>492</v>
      </c>
      <c r="C87" s="140" t="s">
        <v>88</v>
      </c>
      <c r="D87" s="175">
        <v>160</v>
      </c>
      <c r="E87" s="141">
        <v>240</v>
      </c>
      <c r="F87" s="141">
        <v>120</v>
      </c>
      <c r="G87" s="141">
        <v>120</v>
      </c>
      <c r="H87" s="140">
        <v>1</v>
      </c>
      <c r="I87" s="140" t="s">
        <v>696</v>
      </c>
      <c r="J87" s="140"/>
    </row>
    <row r="88" spans="1:10" x14ac:dyDescent="0.25">
      <c r="A88" s="140" t="s">
        <v>1165</v>
      </c>
      <c r="B88" s="140" t="s">
        <v>485</v>
      </c>
      <c r="C88" s="140" t="s">
        <v>130</v>
      </c>
      <c r="D88" s="175">
        <v>0.77666666666666673</v>
      </c>
      <c r="E88" s="141">
        <v>0.72</v>
      </c>
      <c r="F88" s="141">
        <v>0.72</v>
      </c>
      <c r="G88" s="141">
        <v>0.89</v>
      </c>
      <c r="H88" s="140">
        <v>1</v>
      </c>
      <c r="I88" s="140" t="s">
        <v>696</v>
      </c>
      <c r="J88" s="140"/>
    </row>
    <row r="89" spans="1:10" x14ac:dyDescent="0.25">
      <c r="A89" s="137" t="s">
        <v>1166</v>
      </c>
      <c r="B89" s="137" t="s">
        <v>21</v>
      </c>
      <c r="C89" s="137" t="s">
        <v>130</v>
      </c>
      <c r="D89" s="175">
        <v>2</v>
      </c>
      <c r="E89" s="139"/>
      <c r="F89" s="139">
        <v>2</v>
      </c>
      <c r="G89" s="139"/>
      <c r="H89" s="137">
        <v>1</v>
      </c>
      <c r="I89" s="137" t="s">
        <v>690</v>
      </c>
      <c r="J89" s="137" t="s">
        <v>691</v>
      </c>
    </row>
    <row r="90" spans="1:10" x14ac:dyDescent="0.25">
      <c r="A90" s="137" t="s">
        <v>1167</v>
      </c>
      <c r="B90" s="137" t="s">
        <v>38</v>
      </c>
      <c r="C90" s="137" t="s">
        <v>130</v>
      </c>
      <c r="D90" s="175">
        <v>2</v>
      </c>
      <c r="E90" s="139"/>
      <c r="F90" s="139">
        <v>2</v>
      </c>
      <c r="G90" s="139"/>
      <c r="H90" s="137">
        <v>1</v>
      </c>
      <c r="I90" s="137" t="s">
        <v>690</v>
      </c>
      <c r="J90" s="137" t="s">
        <v>691</v>
      </c>
    </row>
    <row r="91" spans="1:10" x14ac:dyDescent="0.25">
      <c r="A91" s="137" t="s">
        <v>1168</v>
      </c>
      <c r="B91" s="137" t="s">
        <v>549</v>
      </c>
      <c r="C91" s="137" t="s">
        <v>15</v>
      </c>
      <c r="D91" s="175">
        <v>133.94</v>
      </c>
      <c r="E91" s="139"/>
      <c r="F91" s="139"/>
      <c r="G91" s="139">
        <v>133.94</v>
      </c>
      <c r="H91" s="137">
        <v>1</v>
      </c>
      <c r="I91" s="137" t="s">
        <v>690</v>
      </c>
      <c r="J91" s="137" t="s">
        <v>691</v>
      </c>
    </row>
    <row r="92" spans="1:10" x14ac:dyDescent="0.25">
      <c r="A92" s="140" t="s">
        <v>1169</v>
      </c>
      <c r="B92" s="140" t="s">
        <v>578</v>
      </c>
      <c r="C92" s="140" t="s">
        <v>579</v>
      </c>
      <c r="D92" s="175"/>
      <c r="E92" s="141"/>
      <c r="F92" s="141"/>
      <c r="G92" s="141"/>
      <c r="H92" s="140">
        <v>1</v>
      </c>
      <c r="I92" s="140" t="s">
        <v>794</v>
      </c>
      <c r="J92" s="140"/>
    </row>
    <row r="93" spans="1:10" x14ac:dyDescent="0.25">
      <c r="A93" s="140" t="s">
        <v>1170</v>
      </c>
      <c r="B93" s="140" t="s">
        <v>588</v>
      </c>
      <c r="C93" s="140" t="s">
        <v>579</v>
      </c>
      <c r="D93" s="175"/>
      <c r="E93" s="141"/>
      <c r="F93" s="141"/>
      <c r="G93" s="141"/>
      <c r="H93" s="140">
        <v>1</v>
      </c>
      <c r="I93" s="140" t="s">
        <v>794</v>
      </c>
      <c r="J93" s="140"/>
    </row>
    <row r="94" spans="1:10" x14ac:dyDescent="0.25">
      <c r="A94" s="140" t="s">
        <v>1171</v>
      </c>
      <c r="B94" s="140"/>
      <c r="C94" s="140"/>
      <c r="D94" s="175">
        <v>300</v>
      </c>
      <c r="E94" s="141">
        <v>300</v>
      </c>
      <c r="F94" s="141">
        <v>300</v>
      </c>
      <c r="G94" s="141">
        <v>300</v>
      </c>
      <c r="H94" s="140">
        <v>4</v>
      </c>
      <c r="I94" s="140" t="s">
        <v>696</v>
      </c>
      <c r="J94" s="140"/>
    </row>
    <row r="95" spans="1:10" x14ac:dyDescent="0.25">
      <c r="A95" s="140" t="s">
        <v>1172</v>
      </c>
      <c r="B95" s="140"/>
      <c r="C95" s="140" t="s">
        <v>130</v>
      </c>
      <c r="D95" s="175">
        <v>40.99</v>
      </c>
      <c r="E95" s="141"/>
      <c r="F95" s="141">
        <v>40.99</v>
      </c>
      <c r="G95" s="141">
        <v>40.99</v>
      </c>
      <c r="H95" s="140">
        <v>1</v>
      </c>
      <c r="I95" s="140" t="s">
        <v>696</v>
      </c>
      <c r="J95" s="140"/>
    </row>
    <row r="96" spans="1:10" x14ac:dyDescent="0.25">
      <c r="A96" s="140" t="s">
        <v>1173</v>
      </c>
      <c r="B96" s="140"/>
      <c r="C96" s="140" t="s">
        <v>84</v>
      </c>
      <c r="D96" s="175"/>
      <c r="E96" s="141"/>
      <c r="F96" s="141"/>
      <c r="G96" s="141"/>
      <c r="H96" s="140">
        <v>1</v>
      </c>
      <c r="I96" s="140" t="s">
        <v>794</v>
      </c>
      <c r="J96" s="140"/>
    </row>
    <row r="97" spans="1:9" x14ac:dyDescent="0.25">
      <c r="A97" t="s">
        <v>1922</v>
      </c>
      <c r="B97" t="s">
        <v>1923</v>
      </c>
      <c r="C97" t="s">
        <v>88</v>
      </c>
      <c r="D97" s="176">
        <v>300</v>
      </c>
      <c r="E97" s="106">
        <v>300</v>
      </c>
      <c r="F97" s="106">
        <v>300</v>
      </c>
      <c r="G97" s="106">
        <v>300</v>
      </c>
      <c r="H97">
        <v>1</v>
      </c>
      <c r="I97" t="s">
        <v>696</v>
      </c>
    </row>
    <row r="98" spans="1:9" x14ac:dyDescent="0.25">
      <c r="A98" t="s">
        <v>1924</v>
      </c>
      <c r="B98" t="s">
        <v>1925</v>
      </c>
      <c r="C98" t="s">
        <v>88</v>
      </c>
      <c r="D98" s="176">
        <v>300</v>
      </c>
      <c r="E98" s="106">
        <v>300</v>
      </c>
      <c r="F98" s="106">
        <v>300</v>
      </c>
      <c r="G98" s="106">
        <v>300</v>
      </c>
      <c r="H98">
        <v>1</v>
      </c>
      <c r="I98" t="s">
        <v>696</v>
      </c>
    </row>
    <row r="99" spans="1:9" x14ac:dyDescent="0.25">
      <c r="A99" t="s">
        <v>1926</v>
      </c>
      <c r="B99" t="s">
        <v>1927</v>
      </c>
      <c r="C99" t="s">
        <v>130</v>
      </c>
      <c r="D99" s="176">
        <v>40.99</v>
      </c>
      <c r="E99" s="106"/>
      <c r="F99" s="106">
        <v>40.99</v>
      </c>
      <c r="G99" s="106">
        <v>40.99</v>
      </c>
      <c r="H99">
        <v>1</v>
      </c>
      <c r="I99" t="s">
        <v>696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6E95-6A01-4090-BCB6-BB3F9A96A87D}">
  <dimension ref="A1:J42"/>
  <sheetViews>
    <sheetView workbookViewId="0">
      <pane ySplit="4" topLeftCell="A5" activePane="bottomLeft" state="frozen"/>
      <selection pane="bottomLeft" activeCell="R12" sqref="R12"/>
    </sheetView>
  </sheetViews>
  <sheetFormatPr baseColWidth="10" defaultRowHeight="15" x14ac:dyDescent="0.25"/>
  <cols>
    <col min="1" max="1" width="13.28515625" customWidth="1"/>
    <col min="2" max="2" width="68.5703125" customWidth="1"/>
    <col min="4" max="7" width="18.140625" customWidth="1"/>
    <col min="8" max="8" width="12.42578125" customWidth="1"/>
    <col min="9" max="9" width="17.140625" customWidth="1"/>
    <col min="10" max="10" width="41.85546875" customWidth="1"/>
  </cols>
  <sheetData>
    <row r="1" spans="1:10" ht="21" x14ac:dyDescent="0.35">
      <c r="A1" s="92" t="s">
        <v>1174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25">
      <c r="A2" s="136" t="s">
        <v>684</v>
      </c>
      <c r="B2" s="77"/>
      <c r="C2" s="77"/>
      <c r="D2" s="77"/>
      <c r="E2" s="77"/>
      <c r="F2" s="77"/>
      <c r="G2" s="77"/>
      <c r="H2" s="77"/>
      <c r="I2" s="77"/>
      <c r="J2" s="77"/>
    </row>
    <row r="4" spans="1:10" x14ac:dyDescent="0.25">
      <c r="A4" s="144" t="s">
        <v>671</v>
      </c>
      <c r="B4" s="144" t="s">
        <v>672</v>
      </c>
      <c r="C4" s="144" t="s">
        <v>617</v>
      </c>
      <c r="D4" s="144" t="s">
        <v>685</v>
      </c>
      <c r="E4" s="144" t="s">
        <v>618</v>
      </c>
      <c r="F4" s="144" t="s">
        <v>619</v>
      </c>
      <c r="G4" s="144" t="s">
        <v>620</v>
      </c>
      <c r="H4" s="144" t="s">
        <v>686</v>
      </c>
      <c r="I4" s="144" t="s">
        <v>687</v>
      </c>
      <c r="J4" s="144" t="s">
        <v>644</v>
      </c>
    </row>
    <row r="5" spans="1:10" x14ac:dyDescent="0.25">
      <c r="A5" s="140" t="s">
        <v>1175</v>
      </c>
      <c r="B5" s="140" t="s">
        <v>1176</v>
      </c>
      <c r="C5" s="140" t="s">
        <v>15</v>
      </c>
      <c r="D5" s="138">
        <v>0.35957142857142865</v>
      </c>
      <c r="E5" s="141">
        <v>0.35871428571428565</v>
      </c>
      <c r="F5" s="141">
        <v>0.35999999999999993</v>
      </c>
      <c r="G5" s="141">
        <v>0.35999999999999993</v>
      </c>
      <c r="H5" s="140">
        <v>12</v>
      </c>
      <c r="I5" s="140" t="s">
        <v>696</v>
      </c>
      <c r="J5" s="140"/>
    </row>
    <row r="6" spans="1:10" x14ac:dyDescent="0.25">
      <c r="A6" s="137" t="s">
        <v>1177</v>
      </c>
      <c r="B6" s="137" t="s">
        <v>1178</v>
      </c>
      <c r="C6" s="137" t="s">
        <v>410</v>
      </c>
      <c r="D6" s="138">
        <v>44.64</v>
      </c>
      <c r="E6" s="139"/>
      <c r="F6" s="139"/>
      <c r="G6" s="139">
        <v>44.64</v>
      </c>
      <c r="H6" s="137">
        <v>1</v>
      </c>
      <c r="I6" s="137" t="s">
        <v>690</v>
      </c>
      <c r="J6" s="137" t="s">
        <v>691</v>
      </c>
    </row>
    <row r="7" spans="1:10" x14ac:dyDescent="0.25">
      <c r="A7" s="137" t="s">
        <v>1179</v>
      </c>
      <c r="B7" s="137" t="s">
        <v>1180</v>
      </c>
      <c r="C7" s="137" t="s">
        <v>15</v>
      </c>
      <c r="D7" s="138">
        <v>0.05</v>
      </c>
      <c r="E7" s="139"/>
      <c r="F7" s="139"/>
      <c r="G7" s="139">
        <v>0.05</v>
      </c>
      <c r="H7" s="137">
        <v>1</v>
      </c>
      <c r="I7" s="137" t="s">
        <v>690</v>
      </c>
      <c r="J7" s="137" t="s">
        <v>691</v>
      </c>
    </row>
    <row r="8" spans="1:10" x14ac:dyDescent="0.25">
      <c r="A8" s="137" t="s">
        <v>1181</v>
      </c>
      <c r="B8" s="137" t="s">
        <v>1182</v>
      </c>
      <c r="C8" s="137" t="s">
        <v>356</v>
      </c>
      <c r="D8" s="138">
        <v>89.29</v>
      </c>
      <c r="E8" s="139"/>
      <c r="F8" s="139"/>
      <c r="G8" s="139">
        <v>89.29</v>
      </c>
      <c r="H8" s="137">
        <v>1</v>
      </c>
      <c r="I8" s="137" t="s">
        <v>690</v>
      </c>
      <c r="J8" s="137" t="s">
        <v>691</v>
      </c>
    </row>
    <row r="9" spans="1:10" x14ac:dyDescent="0.25">
      <c r="A9" s="140" t="s">
        <v>1183</v>
      </c>
      <c r="B9" s="140" t="s">
        <v>1184</v>
      </c>
      <c r="C9" s="140" t="s">
        <v>15</v>
      </c>
      <c r="D9" s="138">
        <v>31.25</v>
      </c>
      <c r="E9" s="141">
        <v>31.25</v>
      </c>
      <c r="F9" s="141"/>
      <c r="G9" s="141">
        <v>31.25</v>
      </c>
      <c r="H9" s="140">
        <v>4</v>
      </c>
      <c r="I9" s="140" t="s">
        <v>696</v>
      </c>
      <c r="J9" s="140"/>
    </row>
    <row r="10" spans="1:10" x14ac:dyDescent="0.25">
      <c r="A10" s="140" t="s">
        <v>1185</v>
      </c>
      <c r="B10" s="140" t="s">
        <v>1186</v>
      </c>
      <c r="C10" s="140" t="s">
        <v>15</v>
      </c>
      <c r="D10" s="138">
        <v>0.36000000000000004</v>
      </c>
      <c r="E10" s="141"/>
      <c r="F10" s="141">
        <v>0.36000000000000004</v>
      </c>
      <c r="G10" s="141"/>
      <c r="H10" s="140">
        <v>3</v>
      </c>
      <c r="I10" s="140" t="s">
        <v>696</v>
      </c>
      <c r="J10" s="140"/>
    </row>
    <row r="11" spans="1:10" x14ac:dyDescent="0.25">
      <c r="A11" s="140" t="s">
        <v>1187</v>
      </c>
      <c r="B11" s="140" t="s">
        <v>1188</v>
      </c>
      <c r="C11" s="140" t="s">
        <v>15</v>
      </c>
      <c r="D11" s="138">
        <v>25</v>
      </c>
      <c r="E11" s="141"/>
      <c r="F11" s="141">
        <v>25</v>
      </c>
      <c r="G11" s="141">
        <v>25</v>
      </c>
      <c r="H11" s="140">
        <v>3</v>
      </c>
      <c r="I11" s="140" t="s">
        <v>696</v>
      </c>
      <c r="J11" s="140"/>
    </row>
    <row r="12" spans="1:10" x14ac:dyDescent="0.25">
      <c r="A12" s="140" t="s">
        <v>1189</v>
      </c>
      <c r="B12" s="140" t="s">
        <v>1188</v>
      </c>
      <c r="C12" s="140" t="s">
        <v>410</v>
      </c>
      <c r="D12" s="138">
        <v>25</v>
      </c>
      <c r="E12" s="141">
        <v>25</v>
      </c>
      <c r="F12" s="141">
        <v>25</v>
      </c>
      <c r="G12" s="141">
        <v>25</v>
      </c>
      <c r="H12" s="140">
        <v>1</v>
      </c>
      <c r="I12" s="140" t="s">
        <v>696</v>
      </c>
      <c r="J12" s="140"/>
    </row>
    <row r="13" spans="1:10" x14ac:dyDescent="0.25">
      <c r="A13" s="140" t="s">
        <v>1190</v>
      </c>
      <c r="B13" s="140" t="s">
        <v>522</v>
      </c>
      <c r="C13" s="140" t="s">
        <v>410</v>
      </c>
      <c r="D13" s="138">
        <v>31.25</v>
      </c>
      <c r="E13" s="141"/>
      <c r="F13" s="141">
        <v>31.25</v>
      </c>
      <c r="G13" s="141">
        <v>31.25</v>
      </c>
      <c r="H13" s="140">
        <v>1</v>
      </c>
      <c r="I13" s="140" t="s">
        <v>696</v>
      </c>
      <c r="J13" s="140"/>
    </row>
    <row r="14" spans="1:10" x14ac:dyDescent="0.25">
      <c r="A14" s="137" t="s">
        <v>1191</v>
      </c>
      <c r="B14" s="137" t="s">
        <v>1192</v>
      </c>
      <c r="C14" s="137" t="s">
        <v>410</v>
      </c>
      <c r="D14" s="138">
        <v>35.71</v>
      </c>
      <c r="E14" s="139"/>
      <c r="F14" s="139"/>
      <c r="G14" s="139">
        <v>35.71</v>
      </c>
      <c r="H14" s="137">
        <v>1</v>
      </c>
      <c r="I14" s="137" t="s">
        <v>690</v>
      </c>
      <c r="J14" s="137" t="s">
        <v>691</v>
      </c>
    </row>
    <row r="15" spans="1:10" x14ac:dyDescent="0.25">
      <c r="A15" s="137" t="s">
        <v>1193</v>
      </c>
      <c r="B15" s="137" t="s">
        <v>328</v>
      </c>
      <c r="C15" s="137" t="s">
        <v>432</v>
      </c>
      <c r="D15" s="138">
        <v>22</v>
      </c>
      <c r="E15" s="139"/>
      <c r="F15" s="139"/>
      <c r="G15" s="139">
        <v>22</v>
      </c>
      <c r="H15" s="137">
        <v>1</v>
      </c>
      <c r="I15" s="137" t="s">
        <v>690</v>
      </c>
      <c r="J15" s="137" t="s">
        <v>691</v>
      </c>
    </row>
    <row r="16" spans="1:10" x14ac:dyDescent="0.25">
      <c r="A16" s="140" t="s">
        <v>1194</v>
      </c>
      <c r="B16" s="140" t="s">
        <v>328</v>
      </c>
      <c r="C16" s="140" t="s">
        <v>78</v>
      </c>
      <c r="D16" s="138">
        <v>22</v>
      </c>
      <c r="E16" s="141">
        <v>22</v>
      </c>
      <c r="F16" s="141"/>
      <c r="G16" s="141">
        <v>22</v>
      </c>
      <c r="H16" s="140">
        <v>4</v>
      </c>
      <c r="I16" s="140" t="s">
        <v>696</v>
      </c>
      <c r="J16" s="140"/>
    </row>
    <row r="17" spans="1:10" x14ac:dyDescent="0.25">
      <c r="A17" s="137" t="s">
        <v>1195</v>
      </c>
      <c r="B17" s="137" t="s">
        <v>1196</v>
      </c>
      <c r="C17" s="137" t="s">
        <v>15</v>
      </c>
      <c r="D17" s="138">
        <v>8.9200000000000002E-2</v>
      </c>
      <c r="E17" s="139">
        <v>8.9200000000000002E-2</v>
      </c>
      <c r="F17" s="139"/>
      <c r="G17" s="139"/>
      <c r="H17" s="137">
        <v>1</v>
      </c>
      <c r="I17" s="137" t="s">
        <v>690</v>
      </c>
      <c r="J17" s="137" t="s">
        <v>691</v>
      </c>
    </row>
    <row r="18" spans="1:10" x14ac:dyDescent="0.25">
      <c r="A18" s="140" t="s">
        <v>1197</v>
      </c>
      <c r="B18" s="140" t="s">
        <v>1198</v>
      </c>
      <c r="C18" s="140" t="s">
        <v>15</v>
      </c>
      <c r="D18" s="138">
        <v>8.9948260869565241E-2</v>
      </c>
      <c r="E18" s="141">
        <v>8.9801666666666655E-2</v>
      </c>
      <c r="F18" s="141">
        <v>8.9999999999999983E-2</v>
      </c>
      <c r="G18" s="141">
        <v>8.9999999999999983E-2</v>
      </c>
      <c r="H18" s="140">
        <v>14</v>
      </c>
      <c r="I18" s="140" t="s">
        <v>696</v>
      </c>
      <c r="J18" s="140"/>
    </row>
    <row r="19" spans="1:10" x14ac:dyDescent="0.25">
      <c r="A19" s="140" t="s">
        <v>1199</v>
      </c>
      <c r="B19" s="140" t="s">
        <v>1200</v>
      </c>
      <c r="C19" s="140" t="s">
        <v>15</v>
      </c>
      <c r="D19" s="138">
        <v>17.86000000000001</v>
      </c>
      <c r="E19" s="141">
        <v>17.86</v>
      </c>
      <c r="F19" s="141">
        <v>17.86</v>
      </c>
      <c r="G19" s="141">
        <v>17.86</v>
      </c>
      <c r="H19" s="140">
        <v>9</v>
      </c>
      <c r="I19" s="140" t="s">
        <v>696</v>
      </c>
      <c r="J19" s="140"/>
    </row>
    <row r="20" spans="1:10" x14ac:dyDescent="0.25">
      <c r="A20" s="137" t="s">
        <v>1201</v>
      </c>
      <c r="B20" s="137" t="s">
        <v>566</v>
      </c>
      <c r="C20" s="137" t="s">
        <v>15</v>
      </c>
      <c r="D20" s="138">
        <v>49.88</v>
      </c>
      <c r="E20" s="139"/>
      <c r="F20" s="139"/>
      <c r="G20" s="139">
        <v>49.88</v>
      </c>
      <c r="H20" s="137">
        <v>1</v>
      </c>
      <c r="I20" s="137" t="s">
        <v>690</v>
      </c>
      <c r="J20" s="137" t="s">
        <v>691</v>
      </c>
    </row>
    <row r="21" spans="1:10" x14ac:dyDescent="0.25">
      <c r="A21" s="140" t="s">
        <v>1202</v>
      </c>
      <c r="B21" s="140" t="s">
        <v>1203</v>
      </c>
      <c r="C21" s="140" t="s">
        <v>6</v>
      </c>
      <c r="D21" s="138">
        <v>8</v>
      </c>
      <c r="E21" s="141">
        <v>8</v>
      </c>
      <c r="F21" s="141">
        <v>8</v>
      </c>
      <c r="G21" s="141">
        <v>8</v>
      </c>
      <c r="H21" s="140">
        <v>10</v>
      </c>
      <c r="I21" s="140" t="s">
        <v>696</v>
      </c>
      <c r="J21" s="140"/>
    </row>
    <row r="22" spans="1:10" x14ac:dyDescent="0.25">
      <c r="A22" s="142" t="s">
        <v>1204</v>
      </c>
      <c r="B22" s="142" t="s">
        <v>1205</v>
      </c>
      <c r="C22" s="142" t="s">
        <v>15</v>
      </c>
      <c r="D22" s="138">
        <v>4.13</v>
      </c>
      <c r="E22" s="143">
        <v>9.52</v>
      </c>
      <c r="F22" s="143">
        <v>4.13</v>
      </c>
      <c r="G22" s="143">
        <v>4.12</v>
      </c>
      <c r="H22" s="142">
        <v>1</v>
      </c>
      <c r="I22" s="142" t="s">
        <v>710</v>
      </c>
      <c r="J22" s="142" t="s">
        <v>1206</v>
      </c>
    </row>
    <row r="23" spans="1:10" x14ac:dyDescent="0.25">
      <c r="A23" s="140" t="s">
        <v>1207</v>
      </c>
      <c r="B23" s="140" t="s">
        <v>1208</v>
      </c>
      <c r="C23" s="140" t="s">
        <v>102</v>
      </c>
      <c r="D23" s="138">
        <v>2.1700000000000001E-2</v>
      </c>
      <c r="E23" s="141">
        <v>1.6400000000000001E-2</v>
      </c>
      <c r="F23" s="141">
        <v>2.2200000000000001E-2</v>
      </c>
      <c r="G23" s="141">
        <v>2.6499999999999999E-2</v>
      </c>
      <c r="H23" s="140">
        <v>1</v>
      </c>
      <c r="I23" s="140" t="s">
        <v>696</v>
      </c>
      <c r="J23" s="140"/>
    </row>
    <row r="24" spans="1:10" x14ac:dyDescent="0.25">
      <c r="A24" s="142" t="s">
        <v>1209</v>
      </c>
      <c r="B24" s="142" t="s">
        <v>1210</v>
      </c>
      <c r="C24" s="142" t="s">
        <v>15</v>
      </c>
      <c r="D24" s="138">
        <v>1.1499999999999999</v>
      </c>
      <c r="E24" s="143"/>
      <c r="F24" s="143">
        <v>1.82</v>
      </c>
      <c r="G24" s="143">
        <v>0.48</v>
      </c>
      <c r="H24" s="142">
        <v>1</v>
      </c>
      <c r="I24" s="142" t="s">
        <v>710</v>
      </c>
      <c r="J24" s="142" t="s">
        <v>1211</v>
      </c>
    </row>
    <row r="25" spans="1:10" x14ac:dyDescent="0.25">
      <c r="A25" s="140" t="s">
        <v>1212</v>
      </c>
      <c r="B25" s="140" t="s">
        <v>1213</v>
      </c>
      <c r="C25" s="140" t="s">
        <v>15</v>
      </c>
      <c r="D25" s="138">
        <v>1.4566666666666668</v>
      </c>
      <c r="E25" s="141">
        <v>1.43</v>
      </c>
      <c r="F25" s="141">
        <v>1.47</v>
      </c>
      <c r="G25" s="141">
        <v>1.47</v>
      </c>
      <c r="H25" s="140">
        <v>1</v>
      </c>
      <c r="I25" s="140" t="s">
        <v>696</v>
      </c>
      <c r="J25" s="140"/>
    </row>
    <row r="26" spans="1:10" x14ac:dyDescent="0.25">
      <c r="A26" s="140" t="s">
        <v>1214</v>
      </c>
      <c r="B26" s="140" t="s">
        <v>1215</v>
      </c>
      <c r="C26" s="140" t="s">
        <v>114</v>
      </c>
      <c r="D26" s="138">
        <v>1.22</v>
      </c>
      <c r="E26" s="141"/>
      <c r="F26" s="141">
        <v>1.1599999999999999</v>
      </c>
      <c r="G26" s="141">
        <v>1.28</v>
      </c>
      <c r="H26" s="140">
        <v>1</v>
      </c>
      <c r="I26" s="140" t="s">
        <v>696</v>
      </c>
      <c r="J26" s="140"/>
    </row>
    <row r="27" spans="1:10" x14ac:dyDescent="0.25">
      <c r="A27" s="140" t="s">
        <v>1216</v>
      </c>
      <c r="B27" s="140" t="s">
        <v>1217</v>
      </c>
      <c r="C27" s="140" t="s">
        <v>78</v>
      </c>
      <c r="D27" s="138">
        <v>22.5</v>
      </c>
      <c r="E27" s="141">
        <v>20</v>
      </c>
      <c r="F27" s="141"/>
      <c r="G27" s="141">
        <v>25</v>
      </c>
      <c r="H27" s="140">
        <v>1</v>
      </c>
      <c r="I27" s="140" t="s">
        <v>696</v>
      </c>
      <c r="J27" s="140"/>
    </row>
    <row r="28" spans="1:10" x14ac:dyDescent="0.25">
      <c r="A28" s="140" t="s">
        <v>1218</v>
      </c>
      <c r="B28" s="140" t="s">
        <v>1219</v>
      </c>
      <c r="C28" s="140" t="s">
        <v>78</v>
      </c>
      <c r="D28" s="138">
        <v>22.428750000000001</v>
      </c>
      <c r="E28" s="141">
        <v>23.143333333333334</v>
      </c>
      <c r="F28" s="141">
        <v>22</v>
      </c>
      <c r="G28" s="141">
        <v>22</v>
      </c>
      <c r="H28" s="140">
        <v>3</v>
      </c>
      <c r="I28" s="140" t="s">
        <v>696</v>
      </c>
      <c r="J28" s="140"/>
    </row>
    <row r="29" spans="1:10" x14ac:dyDescent="0.25">
      <c r="A29" s="140" t="s">
        <v>1220</v>
      </c>
      <c r="B29" s="140" t="s">
        <v>436</v>
      </c>
      <c r="C29" s="140" t="s">
        <v>130</v>
      </c>
      <c r="D29" s="138">
        <v>0.62666666666666659</v>
      </c>
      <c r="E29" s="141">
        <v>0.65</v>
      </c>
      <c r="F29" s="141">
        <v>0.65</v>
      </c>
      <c r="G29" s="141">
        <v>0.57999999999999996</v>
      </c>
      <c r="H29" s="140">
        <v>1</v>
      </c>
      <c r="I29" s="140" t="s">
        <v>696</v>
      </c>
      <c r="J29" s="140"/>
    </row>
    <row r="30" spans="1:10" x14ac:dyDescent="0.25">
      <c r="A30" s="140" t="s">
        <v>1221</v>
      </c>
      <c r="B30" s="140" t="s">
        <v>445</v>
      </c>
      <c r="C30" s="140" t="s">
        <v>6</v>
      </c>
      <c r="D30" s="138">
        <v>1.1600000000000001</v>
      </c>
      <c r="E30" s="141"/>
      <c r="F30" s="141">
        <v>1.25</v>
      </c>
      <c r="G30" s="141">
        <v>1.07</v>
      </c>
      <c r="H30" s="140">
        <v>1</v>
      </c>
      <c r="I30" s="140" t="s">
        <v>696</v>
      </c>
      <c r="J30" s="140"/>
    </row>
    <row r="31" spans="1:10" x14ac:dyDescent="0.25">
      <c r="A31" s="140" t="s">
        <v>1222</v>
      </c>
      <c r="B31" s="140" t="s">
        <v>329</v>
      </c>
      <c r="C31" s="140" t="s">
        <v>88</v>
      </c>
      <c r="D31" s="138">
        <v>60</v>
      </c>
      <c r="E31" s="141">
        <v>60</v>
      </c>
      <c r="F31" s="141">
        <v>40</v>
      </c>
      <c r="G31" s="141">
        <v>80</v>
      </c>
      <c r="H31" s="140">
        <v>1</v>
      </c>
      <c r="I31" s="140" t="s">
        <v>696</v>
      </c>
      <c r="J31" s="140"/>
    </row>
    <row r="32" spans="1:10" x14ac:dyDescent="0.25">
      <c r="A32" s="140" t="s">
        <v>1223</v>
      </c>
      <c r="B32" s="140" t="s">
        <v>303</v>
      </c>
      <c r="C32" s="140" t="s">
        <v>88</v>
      </c>
      <c r="D32" s="138">
        <v>400</v>
      </c>
      <c r="E32" s="141">
        <v>350</v>
      </c>
      <c r="F32" s="141">
        <v>350</v>
      </c>
      <c r="G32" s="141">
        <v>500</v>
      </c>
      <c r="H32" s="140">
        <v>1</v>
      </c>
      <c r="I32" s="140" t="s">
        <v>696</v>
      </c>
      <c r="J32" s="140"/>
    </row>
    <row r="33" spans="1:10" x14ac:dyDescent="0.25">
      <c r="A33" s="137" t="s">
        <v>1224</v>
      </c>
      <c r="B33" s="137" t="s">
        <v>429</v>
      </c>
      <c r="C33" s="137" t="s">
        <v>6</v>
      </c>
      <c r="D33" s="138">
        <v>3.92</v>
      </c>
      <c r="E33" s="139">
        <v>3.92</v>
      </c>
      <c r="F33" s="139"/>
      <c r="G33" s="139"/>
      <c r="H33" s="137">
        <v>1</v>
      </c>
      <c r="I33" s="137" t="s">
        <v>690</v>
      </c>
      <c r="J33" s="137" t="s">
        <v>691</v>
      </c>
    </row>
    <row r="34" spans="1:10" x14ac:dyDescent="0.25">
      <c r="A34" s="142" t="s">
        <v>1225</v>
      </c>
      <c r="B34" s="142" t="s">
        <v>442</v>
      </c>
      <c r="C34" s="142" t="s">
        <v>6</v>
      </c>
      <c r="D34" s="138">
        <v>20.285</v>
      </c>
      <c r="E34" s="143"/>
      <c r="F34" s="143">
        <v>36.78</v>
      </c>
      <c r="G34" s="143">
        <v>3.79</v>
      </c>
      <c r="H34" s="142">
        <v>1</v>
      </c>
      <c r="I34" s="142" t="s">
        <v>763</v>
      </c>
      <c r="J34" s="142" t="s">
        <v>1226</v>
      </c>
    </row>
    <row r="35" spans="1:10" x14ac:dyDescent="0.25">
      <c r="A35" s="140" t="s">
        <v>1227</v>
      </c>
      <c r="B35" s="140" t="s">
        <v>1228</v>
      </c>
      <c r="C35" s="140" t="s">
        <v>88</v>
      </c>
      <c r="D35" s="138">
        <v>28.28</v>
      </c>
      <c r="E35" s="141">
        <v>24.77</v>
      </c>
      <c r="F35" s="141"/>
      <c r="G35" s="141">
        <v>31.79</v>
      </c>
      <c r="H35" s="140">
        <v>1</v>
      </c>
      <c r="I35" s="140" t="s">
        <v>696</v>
      </c>
      <c r="J35" s="140"/>
    </row>
    <row r="36" spans="1:10" x14ac:dyDescent="0.25">
      <c r="A36" s="137" t="s">
        <v>1229</v>
      </c>
      <c r="B36" s="137" t="s">
        <v>113</v>
      </c>
      <c r="C36" s="137" t="s">
        <v>15</v>
      </c>
      <c r="D36" s="138">
        <v>4.13</v>
      </c>
      <c r="E36" s="139"/>
      <c r="F36" s="139">
        <v>4.13</v>
      </c>
      <c r="G36" s="139"/>
      <c r="H36" s="137">
        <v>1</v>
      </c>
      <c r="I36" s="137" t="s">
        <v>690</v>
      </c>
      <c r="J36" s="137" t="s">
        <v>691</v>
      </c>
    </row>
    <row r="37" spans="1:10" x14ac:dyDescent="0.25">
      <c r="A37" s="140" t="s">
        <v>1230</v>
      </c>
      <c r="B37" s="140" t="s">
        <v>1231</v>
      </c>
      <c r="C37" s="140" t="s">
        <v>6</v>
      </c>
      <c r="D37" s="138">
        <v>8</v>
      </c>
      <c r="E37" s="141">
        <v>8</v>
      </c>
      <c r="F37" s="141"/>
      <c r="G37" s="141"/>
      <c r="H37" s="140">
        <v>3</v>
      </c>
      <c r="I37" s="140" t="s">
        <v>696</v>
      </c>
      <c r="J37" s="140"/>
    </row>
    <row r="38" spans="1:10" x14ac:dyDescent="0.25">
      <c r="A38" s="140" t="s">
        <v>1232</v>
      </c>
      <c r="B38" s="140" t="s">
        <v>563</v>
      </c>
      <c r="C38" s="140" t="s">
        <v>564</v>
      </c>
      <c r="D38" s="138">
        <v>35</v>
      </c>
      <c r="E38" s="141"/>
      <c r="F38" s="141"/>
      <c r="G38" s="141">
        <v>35</v>
      </c>
      <c r="H38" s="140">
        <v>2</v>
      </c>
      <c r="I38" s="140" t="s">
        <v>696</v>
      </c>
      <c r="J38" s="140"/>
    </row>
    <row r="39" spans="1:10" x14ac:dyDescent="0.25">
      <c r="A39" s="140" t="s">
        <v>1233</v>
      </c>
      <c r="B39" s="140" t="s">
        <v>1234</v>
      </c>
      <c r="C39" s="140" t="s">
        <v>15</v>
      </c>
      <c r="D39" s="138">
        <v>35</v>
      </c>
      <c r="E39" s="141"/>
      <c r="F39" s="141">
        <v>35</v>
      </c>
      <c r="G39" s="141"/>
      <c r="H39" s="140">
        <v>2</v>
      </c>
      <c r="I39" s="140" t="s">
        <v>696</v>
      </c>
      <c r="J39" s="140"/>
    </row>
    <row r="40" spans="1:10" x14ac:dyDescent="0.25">
      <c r="A40" s="140" t="s">
        <v>1235</v>
      </c>
      <c r="B40" s="140" t="s">
        <v>523</v>
      </c>
      <c r="C40" s="140" t="s">
        <v>122</v>
      </c>
      <c r="D40" s="138">
        <v>36.43</v>
      </c>
      <c r="E40" s="141">
        <v>39.29</v>
      </c>
      <c r="F40" s="141">
        <v>35</v>
      </c>
      <c r="G40" s="141">
        <v>35</v>
      </c>
      <c r="H40" s="140">
        <v>1</v>
      </c>
      <c r="I40" s="140" t="s">
        <v>696</v>
      </c>
      <c r="J40" s="140"/>
    </row>
    <row r="41" spans="1:10" x14ac:dyDescent="0.25">
      <c r="A41" s="137" t="s">
        <v>1236</v>
      </c>
      <c r="B41" s="137" t="s">
        <v>1237</v>
      </c>
      <c r="C41" s="137" t="s">
        <v>15</v>
      </c>
      <c r="D41" s="138">
        <v>70</v>
      </c>
      <c r="E41" s="139"/>
      <c r="F41" s="139"/>
      <c r="G41" s="139">
        <v>70</v>
      </c>
      <c r="H41" s="137">
        <v>1</v>
      </c>
      <c r="I41" s="137" t="s">
        <v>690</v>
      </c>
      <c r="J41" s="137" t="s">
        <v>691</v>
      </c>
    </row>
    <row r="42" spans="1:10" x14ac:dyDescent="0.25">
      <c r="A42" s="140" t="s">
        <v>1238</v>
      </c>
      <c r="B42" s="140"/>
      <c r="C42" s="140"/>
      <c r="D42" s="138"/>
      <c r="E42" s="141"/>
      <c r="F42" s="141"/>
      <c r="G42" s="141"/>
      <c r="H42" s="140">
        <v>2</v>
      </c>
      <c r="I42" s="140" t="s">
        <v>794</v>
      </c>
      <c r="J42" s="140"/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9718-31B3-4BE2-9D15-DCE99FC75A4C}">
  <dimension ref="A1:L688"/>
  <sheetViews>
    <sheetView workbookViewId="0">
      <pane ySplit="4" topLeftCell="A137" activePane="bottomLeft" state="frozen"/>
      <selection pane="bottomLeft" activeCell="R12" sqref="R12"/>
    </sheetView>
  </sheetViews>
  <sheetFormatPr baseColWidth="10" defaultRowHeight="15" x14ac:dyDescent="0.25"/>
  <cols>
    <col min="1" max="1" width="14.28515625" customWidth="1"/>
    <col min="2" max="2" width="53.28515625" customWidth="1"/>
    <col min="3" max="3" width="10.42578125" customWidth="1"/>
    <col min="4" max="4" width="15.28515625" customWidth="1"/>
    <col min="5" max="5" width="53.28515625" customWidth="1"/>
    <col min="7" max="7" width="18.140625" customWidth="1"/>
    <col min="8" max="10" width="16.140625" customWidth="1"/>
    <col min="11" max="11" width="34.28515625" customWidth="1"/>
    <col min="12" max="12" width="47.5703125" customWidth="1"/>
  </cols>
  <sheetData>
    <row r="1" spans="1:12" ht="18.75" x14ac:dyDescent="0.3">
      <c r="A1" s="78" t="s">
        <v>1239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t="s">
        <v>1252</v>
      </c>
    </row>
    <row r="2" spans="1:12" x14ac:dyDescent="0.25">
      <c r="A2" s="136" t="s">
        <v>1240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2" x14ac:dyDescent="0.25">
      <c r="A4" s="125" t="s">
        <v>1241</v>
      </c>
      <c r="B4" s="125" t="s">
        <v>1242</v>
      </c>
      <c r="C4" s="125" t="s">
        <v>1243</v>
      </c>
      <c r="D4" s="125" t="s">
        <v>615</v>
      </c>
      <c r="E4" s="125" t="s">
        <v>616</v>
      </c>
      <c r="F4" s="125" t="s">
        <v>1244</v>
      </c>
      <c r="G4" s="125" t="s">
        <v>1245</v>
      </c>
      <c r="H4" s="125" t="s">
        <v>638</v>
      </c>
      <c r="I4" s="125" t="s">
        <v>640</v>
      </c>
      <c r="J4" s="125" t="s">
        <v>642</v>
      </c>
      <c r="K4" s="125" t="s">
        <v>644</v>
      </c>
      <c r="L4" s="125"/>
    </row>
    <row r="5" spans="1:12" x14ac:dyDescent="0.25">
      <c r="A5" t="s">
        <v>494</v>
      </c>
      <c r="B5" t="s">
        <v>493</v>
      </c>
      <c r="C5" t="s">
        <v>88</v>
      </c>
      <c r="D5" t="s">
        <v>1246</v>
      </c>
      <c r="E5" t="s">
        <v>492</v>
      </c>
      <c r="F5" t="s">
        <v>88</v>
      </c>
      <c r="G5" s="145">
        <v>1</v>
      </c>
      <c r="H5" s="118">
        <v>1</v>
      </c>
      <c r="I5" s="118">
        <v>1</v>
      </c>
      <c r="J5" s="118">
        <v>1</v>
      </c>
      <c r="K5" t="s">
        <v>1247</v>
      </c>
      <c r="L5" s="146" t="s">
        <v>1253</v>
      </c>
    </row>
    <row r="6" spans="1:12" x14ac:dyDescent="0.25">
      <c r="A6" t="s">
        <v>491</v>
      </c>
      <c r="B6" t="s">
        <v>490</v>
      </c>
      <c r="C6" t="s">
        <v>130</v>
      </c>
      <c r="D6" t="s">
        <v>1250</v>
      </c>
      <c r="E6" t="s">
        <v>701</v>
      </c>
      <c r="F6" t="s">
        <v>144</v>
      </c>
      <c r="G6" s="145">
        <v>3.0732351946894496E-3</v>
      </c>
      <c r="H6" s="118">
        <v>1</v>
      </c>
      <c r="I6" s="118"/>
      <c r="J6" s="118"/>
      <c r="K6" t="s">
        <v>1251</v>
      </c>
      <c r="L6" s="146" t="s">
        <v>1254</v>
      </c>
    </row>
    <row r="7" spans="1:12" x14ac:dyDescent="0.25">
      <c r="A7" t="s">
        <v>491</v>
      </c>
      <c r="B7" t="s">
        <v>490</v>
      </c>
      <c r="C7" t="s">
        <v>130</v>
      </c>
      <c r="D7" t="s">
        <v>1250</v>
      </c>
      <c r="E7" t="s">
        <v>754</v>
      </c>
      <c r="F7" t="s">
        <v>15</v>
      </c>
      <c r="G7" s="145">
        <v>1.050773369199731E-3</v>
      </c>
      <c r="H7" s="118"/>
      <c r="I7" s="118"/>
      <c r="J7" s="118">
        <v>1</v>
      </c>
      <c r="K7" t="s">
        <v>1251</v>
      </c>
      <c r="L7" s="146" t="s">
        <v>1255</v>
      </c>
    </row>
    <row r="8" spans="1:12" x14ac:dyDescent="0.25">
      <c r="A8" t="s">
        <v>491</v>
      </c>
      <c r="B8" t="s">
        <v>490</v>
      </c>
      <c r="C8" t="s">
        <v>130</v>
      </c>
      <c r="D8" t="s">
        <v>1250</v>
      </c>
      <c r="E8" t="s">
        <v>775</v>
      </c>
      <c r="F8" t="s">
        <v>222</v>
      </c>
      <c r="G8" s="145">
        <v>1.7743165669784431E-2</v>
      </c>
      <c r="H8" s="118">
        <v>19.5</v>
      </c>
      <c r="I8" s="118">
        <v>4.42</v>
      </c>
      <c r="J8" s="118">
        <v>8.11</v>
      </c>
      <c r="K8" t="s">
        <v>1249</v>
      </c>
      <c r="L8" s="146" t="s">
        <v>1256</v>
      </c>
    </row>
    <row r="9" spans="1:12" x14ac:dyDescent="0.25">
      <c r="A9" t="s">
        <v>491</v>
      </c>
      <c r="B9" t="s">
        <v>490</v>
      </c>
      <c r="C9" t="s">
        <v>130</v>
      </c>
      <c r="D9" t="s">
        <v>1250</v>
      </c>
      <c r="E9" t="s">
        <v>783</v>
      </c>
      <c r="F9" t="s">
        <v>174</v>
      </c>
      <c r="G9" s="145">
        <v>2.4467621593491223E-2</v>
      </c>
      <c r="H9" s="118">
        <v>7</v>
      </c>
      <c r="I9" s="118">
        <v>9</v>
      </c>
      <c r="J9" s="118">
        <v>15</v>
      </c>
      <c r="L9" s="146" t="s">
        <v>1257</v>
      </c>
    </row>
    <row r="10" spans="1:12" x14ac:dyDescent="0.25">
      <c r="A10" t="s">
        <v>491</v>
      </c>
      <c r="B10" t="s">
        <v>490</v>
      </c>
      <c r="C10" t="s">
        <v>130</v>
      </c>
      <c r="D10" t="s">
        <v>1250</v>
      </c>
      <c r="E10" t="s">
        <v>810</v>
      </c>
      <c r="F10" t="s">
        <v>30</v>
      </c>
      <c r="G10" s="145">
        <v>4.6098527920341746E-3</v>
      </c>
      <c r="H10" s="118">
        <v>1.5</v>
      </c>
      <c r="I10" s="118"/>
      <c r="J10" s="118"/>
      <c r="K10" t="s">
        <v>1251</v>
      </c>
      <c r="L10" s="146" t="s">
        <v>1258</v>
      </c>
    </row>
    <row r="11" spans="1:12" x14ac:dyDescent="0.25">
      <c r="A11" t="s">
        <v>491</v>
      </c>
      <c r="B11" t="s">
        <v>490</v>
      </c>
      <c r="C11" t="s">
        <v>130</v>
      </c>
      <c r="D11" t="s">
        <v>1250</v>
      </c>
      <c r="E11" t="s">
        <v>816</v>
      </c>
      <c r="F11" t="s">
        <v>30</v>
      </c>
      <c r="G11" s="145">
        <v>4.0142908755168398E-3</v>
      </c>
      <c r="H11" s="118">
        <v>2</v>
      </c>
      <c r="I11" s="118">
        <v>1</v>
      </c>
      <c r="J11" s="118">
        <v>0.5</v>
      </c>
      <c r="K11" t="s">
        <v>1249</v>
      </c>
      <c r="L11" s="146" t="s">
        <v>1259</v>
      </c>
    </row>
    <row r="12" spans="1:12" x14ac:dyDescent="0.25">
      <c r="A12" t="s">
        <v>491</v>
      </c>
      <c r="B12" t="s">
        <v>490</v>
      </c>
      <c r="C12" t="s">
        <v>130</v>
      </c>
      <c r="D12" t="s">
        <v>1250</v>
      </c>
      <c r="E12" t="s">
        <v>824</v>
      </c>
      <c r="F12" t="s">
        <v>30</v>
      </c>
      <c r="G12" s="145">
        <v>9.3924524662233767E-3</v>
      </c>
      <c r="H12" s="118">
        <v>3.5</v>
      </c>
      <c r="I12" s="118">
        <v>2</v>
      </c>
      <c r="J12" s="118"/>
      <c r="L12" s="146" t="s">
        <v>1260</v>
      </c>
    </row>
    <row r="13" spans="1:12" x14ac:dyDescent="0.25">
      <c r="A13" t="s">
        <v>491</v>
      </c>
      <c r="B13" t="s">
        <v>490</v>
      </c>
      <c r="C13" t="s">
        <v>130</v>
      </c>
      <c r="D13" t="s">
        <v>1250</v>
      </c>
      <c r="E13" t="s">
        <v>820</v>
      </c>
      <c r="F13" t="s">
        <v>30</v>
      </c>
      <c r="G13" s="145">
        <v>6.2778170605288655E-3</v>
      </c>
      <c r="H13" s="118">
        <v>4</v>
      </c>
      <c r="I13" s="118"/>
      <c r="J13" s="118">
        <v>0.25</v>
      </c>
      <c r="K13" t="s">
        <v>1249</v>
      </c>
      <c r="L13" s="146" t="s">
        <v>1261</v>
      </c>
    </row>
    <row r="14" spans="1:12" x14ac:dyDescent="0.25">
      <c r="A14" t="s">
        <v>491</v>
      </c>
      <c r="B14" t="s">
        <v>490</v>
      </c>
      <c r="C14" t="s">
        <v>130</v>
      </c>
      <c r="D14" t="s">
        <v>1250</v>
      </c>
      <c r="E14" t="s">
        <v>826</v>
      </c>
      <c r="F14" t="s">
        <v>30</v>
      </c>
      <c r="G14" s="145">
        <v>4.0142908755168398E-3</v>
      </c>
      <c r="H14" s="118"/>
      <c r="I14" s="118">
        <v>1</v>
      </c>
      <c r="J14" s="118"/>
      <c r="K14" t="s">
        <v>1251</v>
      </c>
      <c r="L14" s="146" t="s">
        <v>1262</v>
      </c>
    </row>
    <row r="15" spans="1:12" x14ac:dyDescent="0.25">
      <c r="A15" t="s">
        <v>491</v>
      </c>
      <c r="B15" t="s">
        <v>490</v>
      </c>
      <c r="C15" t="s">
        <v>130</v>
      </c>
      <c r="D15" t="s">
        <v>1250</v>
      </c>
      <c r="E15" t="s">
        <v>836</v>
      </c>
      <c r="F15" t="s">
        <v>15</v>
      </c>
      <c r="G15" s="145">
        <v>1.3660053799596504E-2</v>
      </c>
      <c r="H15" s="118"/>
      <c r="I15" s="118"/>
      <c r="J15" s="118">
        <v>13</v>
      </c>
      <c r="K15" t="s">
        <v>1251</v>
      </c>
      <c r="L15" s="146" t="s">
        <v>1263</v>
      </c>
    </row>
    <row r="16" spans="1:12" x14ac:dyDescent="0.25">
      <c r="A16" t="s">
        <v>491</v>
      </c>
      <c r="B16" t="s">
        <v>490</v>
      </c>
      <c r="C16" t="s">
        <v>130</v>
      </c>
      <c r="D16" t="s">
        <v>1250</v>
      </c>
      <c r="E16" t="s">
        <v>914</v>
      </c>
      <c r="F16" t="s">
        <v>3</v>
      </c>
      <c r="G16" s="145">
        <v>0.100357271887921</v>
      </c>
      <c r="H16" s="118"/>
      <c r="I16" s="118">
        <v>25</v>
      </c>
      <c r="J16" s="118"/>
      <c r="K16" t="s">
        <v>1251</v>
      </c>
      <c r="L16" s="146" t="s">
        <v>1264</v>
      </c>
    </row>
    <row r="17" spans="1:12" x14ac:dyDescent="0.25">
      <c r="A17" t="s">
        <v>491</v>
      </c>
      <c r="B17" t="s">
        <v>490</v>
      </c>
      <c r="C17" t="s">
        <v>130</v>
      </c>
      <c r="D17" t="s">
        <v>1250</v>
      </c>
      <c r="E17" t="s">
        <v>939</v>
      </c>
      <c r="F17" t="s">
        <v>15</v>
      </c>
      <c r="G17" s="145">
        <v>4.0142908755168398E-2</v>
      </c>
      <c r="H17" s="118">
        <v>19</v>
      </c>
      <c r="I17" s="118">
        <v>10</v>
      </c>
      <c r="J17" s="118">
        <v>3</v>
      </c>
      <c r="K17" t="s">
        <v>1249</v>
      </c>
      <c r="L17" s="146" t="s">
        <v>1265</v>
      </c>
    </row>
    <row r="18" spans="1:12" x14ac:dyDescent="0.25">
      <c r="A18" t="s">
        <v>491</v>
      </c>
      <c r="B18" t="s">
        <v>490</v>
      </c>
      <c r="C18" t="s">
        <v>130</v>
      </c>
      <c r="D18" t="s">
        <v>1250</v>
      </c>
      <c r="E18" t="s">
        <v>941</v>
      </c>
      <c r="F18" t="s">
        <v>15</v>
      </c>
      <c r="G18" s="145">
        <v>2.2698387800583527E-2</v>
      </c>
      <c r="H18" s="118"/>
      <c r="I18" s="118">
        <v>10</v>
      </c>
      <c r="J18" s="118">
        <v>5</v>
      </c>
      <c r="K18" t="s">
        <v>1249</v>
      </c>
      <c r="L18" s="146" t="s">
        <v>1266</v>
      </c>
    </row>
    <row r="19" spans="1:12" x14ac:dyDescent="0.25">
      <c r="A19" t="s">
        <v>491</v>
      </c>
      <c r="B19" t="s">
        <v>490</v>
      </c>
      <c r="C19" t="s">
        <v>130</v>
      </c>
      <c r="D19" t="s">
        <v>1250</v>
      </c>
      <c r="E19" t="s">
        <v>976</v>
      </c>
      <c r="F19" t="s">
        <v>15</v>
      </c>
      <c r="G19" s="145">
        <v>6.9243217492615389E-2</v>
      </c>
      <c r="H19" s="118">
        <v>32</v>
      </c>
      <c r="I19" s="118">
        <v>10</v>
      </c>
      <c r="J19" s="118"/>
      <c r="L19" s="146" t="s">
        <v>1267</v>
      </c>
    </row>
    <row r="20" spans="1:12" x14ac:dyDescent="0.25">
      <c r="A20" t="s">
        <v>491</v>
      </c>
      <c r="B20" t="s">
        <v>490</v>
      </c>
      <c r="C20" t="s">
        <v>130</v>
      </c>
      <c r="D20" t="s">
        <v>1250</v>
      </c>
      <c r="E20" t="s">
        <v>1008</v>
      </c>
      <c r="F20" t="s">
        <v>15</v>
      </c>
      <c r="G20" s="145">
        <v>9.2197055840683492E-3</v>
      </c>
      <c r="H20" s="118">
        <v>3</v>
      </c>
      <c r="I20" s="118">
        <v>5</v>
      </c>
      <c r="J20" s="118">
        <v>2</v>
      </c>
      <c r="K20" t="s">
        <v>1249</v>
      </c>
      <c r="L20" s="146" t="s">
        <v>1268</v>
      </c>
    </row>
    <row r="21" spans="1:12" x14ac:dyDescent="0.25">
      <c r="A21" t="s">
        <v>491</v>
      </c>
      <c r="B21" t="s">
        <v>490</v>
      </c>
      <c r="C21" t="s">
        <v>130</v>
      </c>
      <c r="D21" t="s">
        <v>1250</v>
      </c>
      <c r="E21" t="s">
        <v>606</v>
      </c>
      <c r="F21" t="s">
        <v>15</v>
      </c>
      <c r="G21" s="145">
        <v>3.0827777558997273E-2</v>
      </c>
      <c r="H21" s="118">
        <v>7</v>
      </c>
      <c r="I21" s="118">
        <v>10</v>
      </c>
      <c r="J21" s="118"/>
      <c r="L21" s="146" t="s">
        <v>1269</v>
      </c>
    </row>
    <row r="22" spans="1:12" x14ac:dyDescent="0.25">
      <c r="A22" t="s">
        <v>491</v>
      </c>
      <c r="B22" t="s">
        <v>490</v>
      </c>
      <c r="C22" t="s">
        <v>130</v>
      </c>
      <c r="D22" t="s">
        <v>1246</v>
      </c>
      <c r="E22" t="s">
        <v>485</v>
      </c>
      <c r="F22" t="s">
        <v>130</v>
      </c>
      <c r="G22" s="145">
        <v>1</v>
      </c>
      <c r="H22" s="118">
        <v>325.39</v>
      </c>
      <c r="I22" s="118">
        <v>249.11</v>
      </c>
      <c r="J22" s="118">
        <v>951.68</v>
      </c>
      <c r="K22" t="s">
        <v>1247</v>
      </c>
      <c r="L22" s="146" t="s">
        <v>1270</v>
      </c>
    </row>
    <row r="23" spans="1:12" x14ac:dyDescent="0.25">
      <c r="A23" t="s">
        <v>480</v>
      </c>
      <c r="B23" t="s">
        <v>479</v>
      </c>
      <c r="C23" t="s">
        <v>88</v>
      </c>
      <c r="D23" t="s">
        <v>1250</v>
      </c>
      <c r="E23" t="s">
        <v>701</v>
      </c>
      <c r="F23" t="s">
        <v>144</v>
      </c>
      <c r="G23" s="145">
        <v>1</v>
      </c>
      <c r="H23" s="118">
        <v>1</v>
      </c>
      <c r="I23" s="118"/>
      <c r="J23" s="118"/>
      <c r="K23" t="s">
        <v>1251</v>
      </c>
      <c r="L23" s="146" t="s">
        <v>1271</v>
      </c>
    </row>
    <row r="24" spans="1:12" x14ac:dyDescent="0.25">
      <c r="A24" t="s">
        <v>480</v>
      </c>
      <c r="B24" t="s">
        <v>479</v>
      </c>
      <c r="C24" t="s">
        <v>88</v>
      </c>
      <c r="D24" t="s">
        <v>1250</v>
      </c>
      <c r="E24" t="s">
        <v>709</v>
      </c>
      <c r="F24" t="s">
        <v>15</v>
      </c>
      <c r="G24" s="145">
        <v>1.5</v>
      </c>
      <c r="H24" s="118">
        <v>1</v>
      </c>
      <c r="I24" s="118">
        <v>2</v>
      </c>
      <c r="J24" s="118"/>
      <c r="L24" s="146" t="s">
        <v>1272</v>
      </c>
    </row>
    <row r="25" spans="1:12" x14ac:dyDescent="0.25">
      <c r="A25" t="s">
        <v>480</v>
      </c>
      <c r="B25" t="s">
        <v>479</v>
      </c>
      <c r="C25" t="s">
        <v>88</v>
      </c>
      <c r="D25" t="s">
        <v>1250</v>
      </c>
      <c r="E25" t="s">
        <v>470</v>
      </c>
      <c r="F25" t="s">
        <v>15</v>
      </c>
      <c r="G25" s="145">
        <v>3</v>
      </c>
      <c r="H25" s="118"/>
      <c r="I25" s="118">
        <v>2</v>
      </c>
      <c r="J25" s="118">
        <v>4</v>
      </c>
      <c r="L25" s="146" t="s">
        <v>1273</v>
      </c>
    </row>
    <row r="26" spans="1:12" x14ac:dyDescent="0.25">
      <c r="A26" t="s">
        <v>480</v>
      </c>
      <c r="B26" t="s">
        <v>479</v>
      </c>
      <c r="C26" t="s">
        <v>88</v>
      </c>
      <c r="D26" t="s">
        <v>1250</v>
      </c>
      <c r="E26" t="s">
        <v>727</v>
      </c>
      <c r="F26" t="s">
        <v>15</v>
      </c>
      <c r="G26" s="145">
        <v>6</v>
      </c>
      <c r="H26" s="118">
        <v>6</v>
      </c>
      <c r="I26" s="118">
        <v>6</v>
      </c>
      <c r="J26" s="118"/>
      <c r="L26" s="146" t="s">
        <v>1274</v>
      </c>
    </row>
    <row r="27" spans="1:12" x14ac:dyDescent="0.25">
      <c r="A27" t="s">
        <v>480</v>
      </c>
      <c r="B27" t="s">
        <v>479</v>
      </c>
      <c r="C27" t="s">
        <v>88</v>
      </c>
      <c r="D27" t="s">
        <v>1250</v>
      </c>
      <c r="E27" t="s">
        <v>731</v>
      </c>
      <c r="F27" t="s">
        <v>15</v>
      </c>
      <c r="G27" s="145">
        <v>700</v>
      </c>
      <c r="H27" s="118">
        <v>700</v>
      </c>
      <c r="I27" s="118"/>
      <c r="J27" s="118"/>
      <c r="K27" t="s">
        <v>1251</v>
      </c>
      <c r="L27" s="146" t="s">
        <v>1275</v>
      </c>
    </row>
    <row r="28" spans="1:12" x14ac:dyDescent="0.25">
      <c r="A28" t="s">
        <v>480</v>
      </c>
      <c r="B28" t="s">
        <v>479</v>
      </c>
      <c r="C28" t="s">
        <v>88</v>
      </c>
      <c r="D28" t="s">
        <v>1250</v>
      </c>
      <c r="E28" t="s">
        <v>769</v>
      </c>
      <c r="F28" t="s">
        <v>15</v>
      </c>
      <c r="G28" s="145">
        <v>1</v>
      </c>
      <c r="H28" s="118"/>
      <c r="I28" s="118"/>
      <c r="J28" s="118">
        <v>1</v>
      </c>
      <c r="K28" t="s">
        <v>1251</v>
      </c>
      <c r="L28" s="146" t="s">
        <v>1276</v>
      </c>
    </row>
    <row r="29" spans="1:12" x14ac:dyDescent="0.25">
      <c r="A29" t="s">
        <v>480</v>
      </c>
      <c r="B29" t="s">
        <v>479</v>
      </c>
      <c r="C29" t="s">
        <v>88</v>
      </c>
      <c r="D29" t="s">
        <v>1250</v>
      </c>
      <c r="E29" t="s">
        <v>790</v>
      </c>
      <c r="F29" t="s">
        <v>174</v>
      </c>
      <c r="G29" s="145">
        <v>3</v>
      </c>
      <c r="H29" s="118">
        <v>12</v>
      </c>
      <c r="I29" s="118">
        <v>3</v>
      </c>
      <c r="J29" s="118">
        <v>1</v>
      </c>
      <c r="K29" t="s">
        <v>1249</v>
      </c>
      <c r="L29" s="146" t="s">
        <v>1277</v>
      </c>
    </row>
    <row r="30" spans="1:12" x14ac:dyDescent="0.25">
      <c r="A30" t="s">
        <v>480</v>
      </c>
      <c r="B30" t="s">
        <v>479</v>
      </c>
      <c r="C30" t="s">
        <v>88</v>
      </c>
      <c r="D30" t="s">
        <v>1250</v>
      </c>
      <c r="E30" t="s">
        <v>364</v>
      </c>
      <c r="F30" t="s">
        <v>30</v>
      </c>
      <c r="G30" s="145">
        <v>0.5</v>
      </c>
      <c r="H30" s="118"/>
      <c r="I30" s="118"/>
      <c r="J30" s="118">
        <v>0.5</v>
      </c>
      <c r="K30" t="s">
        <v>1251</v>
      </c>
      <c r="L30" s="146" t="s">
        <v>1278</v>
      </c>
    </row>
    <row r="31" spans="1:12" x14ac:dyDescent="0.25">
      <c r="A31" t="s">
        <v>480</v>
      </c>
      <c r="B31" t="s">
        <v>479</v>
      </c>
      <c r="C31" t="s">
        <v>88</v>
      </c>
      <c r="D31" t="s">
        <v>1250</v>
      </c>
      <c r="E31" t="s">
        <v>824</v>
      </c>
      <c r="F31" t="s">
        <v>30</v>
      </c>
      <c r="G31" s="145">
        <v>2.3333333333333335</v>
      </c>
      <c r="H31" s="118">
        <v>2.5</v>
      </c>
      <c r="I31" s="118">
        <v>1.5</v>
      </c>
      <c r="J31" s="118">
        <v>3</v>
      </c>
      <c r="L31" s="146" t="s">
        <v>1279</v>
      </c>
    </row>
    <row r="32" spans="1:12" x14ac:dyDescent="0.25">
      <c r="A32" t="s">
        <v>480</v>
      </c>
      <c r="B32" t="s">
        <v>479</v>
      </c>
      <c r="C32" t="s">
        <v>88</v>
      </c>
      <c r="D32" t="s">
        <v>1250</v>
      </c>
      <c r="E32" t="s">
        <v>820</v>
      </c>
      <c r="F32" t="s">
        <v>30</v>
      </c>
      <c r="G32" s="145">
        <v>2.25</v>
      </c>
      <c r="H32" s="118">
        <v>2.5</v>
      </c>
      <c r="I32" s="118"/>
      <c r="J32" s="118">
        <v>2</v>
      </c>
      <c r="L32" s="146" t="s">
        <v>1280</v>
      </c>
    </row>
    <row r="33" spans="1:12" x14ac:dyDescent="0.25">
      <c r="A33" t="s">
        <v>480</v>
      </c>
      <c r="B33" t="s">
        <v>479</v>
      </c>
      <c r="C33" t="s">
        <v>88</v>
      </c>
      <c r="D33" t="s">
        <v>1250</v>
      </c>
      <c r="E33" t="s">
        <v>463</v>
      </c>
      <c r="F33" t="s">
        <v>30</v>
      </c>
      <c r="G33" s="145">
        <v>1.25</v>
      </c>
      <c r="H33" s="118"/>
      <c r="I33" s="118">
        <v>0.5</v>
      </c>
      <c r="J33" s="118">
        <v>2</v>
      </c>
      <c r="K33" t="s">
        <v>1249</v>
      </c>
      <c r="L33" s="146" t="s">
        <v>1281</v>
      </c>
    </row>
    <row r="34" spans="1:12" x14ac:dyDescent="0.25">
      <c r="A34" t="s">
        <v>480</v>
      </c>
      <c r="B34" t="s">
        <v>479</v>
      </c>
      <c r="C34" t="s">
        <v>88</v>
      </c>
      <c r="D34" t="s">
        <v>1250</v>
      </c>
      <c r="E34" t="s">
        <v>836</v>
      </c>
      <c r="F34" t="s">
        <v>15</v>
      </c>
      <c r="G34" s="145">
        <v>54</v>
      </c>
      <c r="H34" s="118"/>
      <c r="I34" s="118"/>
      <c r="J34" s="118">
        <v>54</v>
      </c>
      <c r="K34" t="s">
        <v>1251</v>
      </c>
      <c r="L34" s="146" t="s">
        <v>1282</v>
      </c>
    </row>
    <row r="35" spans="1:12" x14ac:dyDescent="0.25">
      <c r="A35" t="s">
        <v>480</v>
      </c>
      <c r="B35" t="s">
        <v>479</v>
      </c>
      <c r="C35" t="s">
        <v>88</v>
      </c>
      <c r="D35" t="s">
        <v>1250</v>
      </c>
      <c r="E35" t="s">
        <v>856</v>
      </c>
      <c r="F35" t="s">
        <v>15</v>
      </c>
      <c r="G35" s="145">
        <v>1</v>
      </c>
      <c r="H35" s="118">
        <v>1</v>
      </c>
      <c r="I35" s="118"/>
      <c r="J35" s="118"/>
      <c r="K35" t="s">
        <v>1251</v>
      </c>
      <c r="L35" s="146" t="s">
        <v>1283</v>
      </c>
    </row>
    <row r="36" spans="1:12" x14ac:dyDescent="0.25">
      <c r="A36" t="s">
        <v>480</v>
      </c>
      <c r="B36" t="s">
        <v>479</v>
      </c>
      <c r="C36" t="s">
        <v>88</v>
      </c>
      <c r="D36" t="s">
        <v>1250</v>
      </c>
      <c r="E36" t="s">
        <v>886</v>
      </c>
      <c r="F36" t="s">
        <v>15</v>
      </c>
      <c r="G36" s="145">
        <v>1</v>
      </c>
      <c r="H36" s="118"/>
      <c r="I36" s="118">
        <v>1</v>
      </c>
      <c r="J36" s="118">
        <v>1</v>
      </c>
      <c r="L36" s="146" t="s">
        <v>1284</v>
      </c>
    </row>
    <row r="37" spans="1:12" x14ac:dyDescent="0.25">
      <c r="A37" t="s">
        <v>480</v>
      </c>
      <c r="B37" t="s">
        <v>479</v>
      </c>
      <c r="C37" t="s">
        <v>88</v>
      </c>
      <c r="D37" t="s">
        <v>1250</v>
      </c>
      <c r="E37" t="s">
        <v>891</v>
      </c>
      <c r="F37" t="s">
        <v>15</v>
      </c>
      <c r="G37" s="145">
        <v>1</v>
      </c>
      <c r="H37" s="118"/>
      <c r="I37" s="118">
        <v>1</v>
      </c>
      <c r="J37" s="118">
        <v>1</v>
      </c>
      <c r="L37" s="146" t="s">
        <v>1285</v>
      </c>
    </row>
    <row r="38" spans="1:12" x14ac:dyDescent="0.25">
      <c r="A38" t="s">
        <v>480</v>
      </c>
      <c r="B38" t="s">
        <v>479</v>
      </c>
      <c r="C38" t="s">
        <v>88</v>
      </c>
      <c r="D38" t="s">
        <v>1250</v>
      </c>
      <c r="E38" t="s">
        <v>939</v>
      </c>
      <c r="F38" t="s">
        <v>15</v>
      </c>
      <c r="G38" s="145">
        <v>8.5</v>
      </c>
      <c r="H38" s="118"/>
      <c r="I38" s="118">
        <v>6</v>
      </c>
      <c r="J38" s="118">
        <v>11</v>
      </c>
      <c r="L38" s="146" t="s">
        <v>1286</v>
      </c>
    </row>
    <row r="39" spans="1:12" x14ac:dyDescent="0.25">
      <c r="A39" t="s">
        <v>480</v>
      </c>
      <c r="B39" t="s">
        <v>479</v>
      </c>
      <c r="C39" t="s">
        <v>88</v>
      </c>
      <c r="D39" t="s">
        <v>1250</v>
      </c>
      <c r="E39" t="s">
        <v>943</v>
      </c>
      <c r="F39" t="s">
        <v>15</v>
      </c>
      <c r="G39" s="145">
        <v>24</v>
      </c>
      <c r="H39" s="118"/>
      <c r="I39" s="118"/>
      <c r="J39" s="118">
        <v>24</v>
      </c>
      <c r="K39" t="s">
        <v>1251</v>
      </c>
      <c r="L39" s="146" t="s">
        <v>1287</v>
      </c>
    </row>
    <row r="40" spans="1:12" x14ac:dyDescent="0.25">
      <c r="A40" t="s">
        <v>480</v>
      </c>
      <c r="B40" t="s">
        <v>479</v>
      </c>
      <c r="C40" t="s">
        <v>88</v>
      </c>
      <c r="D40" t="s">
        <v>1250</v>
      </c>
      <c r="E40" t="s">
        <v>945</v>
      </c>
      <c r="F40" t="s">
        <v>15</v>
      </c>
      <c r="G40" s="145">
        <v>4.5</v>
      </c>
      <c r="H40" s="118">
        <v>5</v>
      </c>
      <c r="I40" s="118"/>
      <c r="J40" s="118">
        <v>4</v>
      </c>
      <c r="L40" s="146" t="s">
        <v>1288</v>
      </c>
    </row>
    <row r="41" spans="1:12" x14ac:dyDescent="0.25">
      <c r="A41" t="s">
        <v>480</v>
      </c>
      <c r="B41" t="s">
        <v>479</v>
      </c>
      <c r="C41" t="s">
        <v>88</v>
      </c>
      <c r="D41" t="s">
        <v>1250</v>
      </c>
      <c r="E41" t="s">
        <v>947</v>
      </c>
      <c r="F41" t="s">
        <v>15</v>
      </c>
      <c r="G41" s="145">
        <v>8.6666666666666661</v>
      </c>
      <c r="H41" s="118">
        <v>10</v>
      </c>
      <c r="I41" s="118">
        <v>4</v>
      </c>
      <c r="J41" s="118">
        <v>12</v>
      </c>
      <c r="L41" s="146" t="s">
        <v>1289</v>
      </c>
    </row>
    <row r="42" spans="1:12" x14ac:dyDescent="0.25">
      <c r="A42" t="s">
        <v>480</v>
      </c>
      <c r="B42" t="s">
        <v>479</v>
      </c>
      <c r="C42" t="s">
        <v>88</v>
      </c>
      <c r="D42" t="s">
        <v>1250</v>
      </c>
      <c r="E42" t="s">
        <v>145</v>
      </c>
      <c r="F42" t="s">
        <v>144</v>
      </c>
      <c r="G42" s="145">
        <v>0.80499999999999994</v>
      </c>
      <c r="H42" s="118"/>
      <c r="I42" s="118">
        <v>1.2</v>
      </c>
      <c r="J42" s="118">
        <v>0.41</v>
      </c>
      <c r="L42" s="146" t="s">
        <v>1290</v>
      </c>
    </row>
    <row r="43" spans="1:12" x14ac:dyDescent="0.25">
      <c r="A43" t="s">
        <v>480</v>
      </c>
      <c r="B43" t="s">
        <v>479</v>
      </c>
      <c r="C43" t="s">
        <v>88</v>
      </c>
      <c r="D43" t="s">
        <v>1250</v>
      </c>
      <c r="E43" t="s">
        <v>976</v>
      </c>
      <c r="F43" t="s">
        <v>15</v>
      </c>
      <c r="G43" s="145">
        <v>18</v>
      </c>
      <c r="H43" s="118">
        <v>18</v>
      </c>
      <c r="I43" s="118">
        <v>6</v>
      </c>
      <c r="J43" s="118">
        <v>23</v>
      </c>
      <c r="K43" t="s">
        <v>1249</v>
      </c>
      <c r="L43" s="146" t="s">
        <v>1291</v>
      </c>
    </row>
    <row r="44" spans="1:12" x14ac:dyDescent="0.25">
      <c r="A44" t="s">
        <v>480</v>
      </c>
      <c r="B44" t="s">
        <v>479</v>
      </c>
      <c r="C44" t="s">
        <v>88</v>
      </c>
      <c r="D44" t="s">
        <v>1250</v>
      </c>
      <c r="E44" t="s">
        <v>606</v>
      </c>
      <c r="F44" t="s">
        <v>15</v>
      </c>
      <c r="G44" s="145">
        <v>34.666666666666664</v>
      </c>
      <c r="H44" s="118">
        <v>30</v>
      </c>
      <c r="I44" s="118">
        <v>32</v>
      </c>
      <c r="J44" s="118">
        <v>42</v>
      </c>
      <c r="L44" s="146" t="s">
        <v>1292</v>
      </c>
    </row>
    <row r="45" spans="1:12" x14ac:dyDescent="0.25">
      <c r="A45" t="s">
        <v>480</v>
      </c>
      <c r="B45" t="s">
        <v>479</v>
      </c>
      <c r="C45" t="s">
        <v>88</v>
      </c>
      <c r="D45" t="s">
        <v>1250</v>
      </c>
      <c r="E45" t="s">
        <v>1012</v>
      </c>
      <c r="F45" t="s">
        <v>15</v>
      </c>
      <c r="G45" s="145">
        <v>2</v>
      </c>
      <c r="H45" s="118">
        <v>2</v>
      </c>
      <c r="I45" s="118"/>
      <c r="J45" s="118"/>
      <c r="K45" t="s">
        <v>1251</v>
      </c>
      <c r="L45" s="146" t="s">
        <v>1293</v>
      </c>
    </row>
    <row r="46" spans="1:12" x14ac:dyDescent="0.25">
      <c r="A46" t="s">
        <v>480</v>
      </c>
      <c r="B46" t="s">
        <v>479</v>
      </c>
      <c r="C46" t="s">
        <v>88</v>
      </c>
      <c r="D46" t="s">
        <v>1250</v>
      </c>
      <c r="E46" t="s">
        <v>456</v>
      </c>
      <c r="F46" t="s">
        <v>144</v>
      </c>
      <c r="G46" s="145">
        <v>1.3</v>
      </c>
      <c r="H46" s="118">
        <v>1.3</v>
      </c>
      <c r="I46" s="118"/>
      <c r="J46" s="118"/>
      <c r="K46" t="s">
        <v>1251</v>
      </c>
      <c r="L46" s="146" t="s">
        <v>1294</v>
      </c>
    </row>
    <row r="47" spans="1:12" x14ac:dyDescent="0.25">
      <c r="A47" t="s">
        <v>480</v>
      </c>
      <c r="B47" t="s">
        <v>479</v>
      </c>
      <c r="C47" t="s">
        <v>88</v>
      </c>
      <c r="D47" t="s">
        <v>1250</v>
      </c>
      <c r="E47" t="s">
        <v>1061</v>
      </c>
      <c r="F47" t="s">
        <v>15</v>
      </c>
      <c r="G47" s="145">
        <v>2</v>
      </c>
      <c r="H47" s="118">
        <v>2</v>
      </c>
      <c r="I47" s="118"/>
      <c r="J47" s="118"/>
      <c r="K47" t="s">
        <v>1251</v>
      </c>
      <c r="L47" s="146" t="s">
        <v>1295</v>
      </c>
    </row>
    <row r="48" spans="1:12" x14ac:dyDescent="0.25">
      <c r="A48" t="s">
        <v>480</v>
      </c>
      <c r="B48" t="s">
        <v>479</v>
      </c>
      <c r="C48" t="s">
        <v>88</v>
      </c>
      <c r="D48" t="s">
        <v>1250</v>
      </c>
      <c r="E48" t="s">
        <v>1063</v>
      </c>
      <c r="F48" t="s">
        <v>15</v>
      </c>
      <c r="G48" s="145">
        <v>14</v>
      </c>
      <c r="H48" s="118">
        <v>16</v>
      </c>
      <c r="I48" s="118">
        <v>12</v>
      </c>
      <c r="J48" s="118">
        <v>14</v>
      </c>
      <c r="L48" s="146" t="s">
        <v>1296</v>
      </c>
    </row>
    <row r="49" spans="1:12" x14ac:dyDescent="0.25">
      <c r="A49" t="s">
        <v>480</v>
      </c>
      <c r="B49" t="s">
        <v>479</v>
      </c>
      <c r="C49" t="s">
        <v>88</v>
      </c>
      <c r="D49" t="s">
        <v>1246</v>
      </c>
      <c r="E49" t="s">
        <v>459</v>
      </c>
      <c r="F49" t="s">
        <v>88</v>
      </c>
      <c r="G49" s="145">
        <v>1</v>
      </c>
      <c r="H49" s="118">
        <v>1</v>
      </c>
      <c r="I49" s="118">
        <v>1</v>
      </c>
      <c r="J49" s="118">
        <v>1</v>
      </c>
      <c r="K49" t="s">
        <v>1247</v>
      </c>
      <c r="L49" s="146" t="s">
        <v>1297</v>
      </c>
    </row>
    <row r="50" spans="1:12" x14ac:dyDescent="0.25">
      <c r="A50" t="s">
        <v>458</v>
      </c>
      <c r="B50" t="s">
        <v>457</v>
      </c>
      <c r="C50" t="s">
        <v>3</v>
      </c>
      <c r="D50" t="s">
        <v>1250</v>
      </c>
      <c r="E50" t="s">
        <v>788</v>
      </c>
      <c r="F50" t="s">
        <v>8</v>
      </c>
      <c r="G50" s="145">
        <v>4.9920127795527154E-3</v>
      </c>
      <c r="H50" s="118"/>
      <c r="I50" s="118"/>
      <c r="J50" s="118">
        <v>1</v>
      </c>
      <c r="K50" t="s">
        <v>1251</v>
      </c>
      <c r="L50" s="146" t="s">
        <v>1298</v>
      </c>
    </row>
    <row r="51" spans="1:12" x14ac:dyDescent="0.25">
      <c r="A51" t="s">
        <v>458</v>
      </c>
      <c r="B51" t="s">
        <v>457</v>
      </c>
      <c r="C51" t="s">
        <v>3</v>
      </c>
      <c r="D51" t="s">
        <v>1250</v>
      </c>
      <c r="E51" t="s">
        <v>824</v>
      </c>
      <c r="F51" t="s">
        <v>30</v>
      </c>
      <c r="G51" s="145">
        <v>3.0673839200908295E-2</v>
      </c>
      <c r="H51" s="118">
        <v>7.9</v>
      </c>
      <c r="I51" s="118">
        <v>0.5</v>
      </c>
      <c r="J51" s="118"/>
      <c r="K51" t="s">
        <v>1249</v>
      </c>
      <c r="L51" s="146" t="s">
        <v>1299</v>
      </c>
    </row>
    <row r="52" spans="1:12" x14ac:dyDescent="0.25">
      <c r="A52" t="s">
        <v>458</v>
      </c>
      <c r="B52" t="s">
        <v>457</v>
      </c>
      <c r="C52" t="s">
        <v>3</v>
      </c>
      <c r="D52" t="s">
        <v>1250</v>
      </c>
      <c r="E52" t="s">
        <v>820</v>
      </c>
      <c r="F52" t="s">
        <v>30</v>
      </c>
      <c r="G52" s="145">
        <v>1.0940919037199124E-2</v>
      </c>
      <c r="H52" s="118">
        <v>1.5</v>
      </c>
      <c r="I52" s="118">
        <v>5</v>
      </c>
      <c r="J52" s="118">
        <v>1.5</v>
      </c>
      <c r="K52" t="s">
        <v>1249</v>
      </c>
      <c r="L52" s="146" t="s">
        <v>1300</v>
      </c>
    </row>
    <row r="53" spans="1:12" x14ac:dyDescent="0.25">
      <c r="A53" t="s">
        <v>458</v>
      </c>
      <c r="B53" t="s">
        <v>457</v>
      </c>
      <c r="C53" t="s">
        <v>3</v>
      </c>
      <c r="D53" t="s">
        <v>1250</v>
      </c>
      <c r="E53" t="s">
        <v>836</v>
      </c>
      <c r="F53" t="s">
        <v>15</v>
      </c>
      <c r="G53" s="145">
        <v>0.3865791393143691</v>
      </c>
      <c r="H53" s="118">
        <v>53</v>
      </c>
      <c r="I53" s="118"/>
      <c r="J53" s="118"/>
      <c r="K53" t="s">
        <v>1251</v>
      </c>
      <c r="L53" s="146" t="s">
        <v>1301</v>
      </c>
    </row>
    <row r="54" spans="1:12" x14ac:dyDescent="0.25">
      <c r="A54" t="s">
        <v>458</v>
      </c>
      <c r="B54" t="s">
        <v>457</v>
      </c>
      <c r="C54" t="s">
        <v>3</v>
      </c>
      <c r="D54" t="s">
        <v>1250</v>
      </c>
      <c r="E54" t="s">
        <v>939</v>
      </c>
      <c r="F54" t="s">
        <v>15</v>
      </c>
      <c r="G54" s="145">
        <v>0.16046681254558717</v>
      </c>
      <c r="H54" s="118">
        <v>22</v>
      </c>
      <c r="I54" s="118">
        <v>35</v>
      </c>
      <c r="J54" s="118">
        <v>15</v>
      </c>
      <c r="K54" t="s">
        <v>1249</v>
      </c>
      <c r="L54" s="146" t="s">
        <v>1302</v>
      </c>
    </row>
    <row r="55" spans="1:12" x14ac:dyDescent="0.25">
      <c r="A55" t="s">
        <v>458</v>
      </c>
      <c r="B55" t="s">
        <v>457</v>
      </c>
      <c r="C55" t="s">
        <v>3</v>
      </c>
      <c r="D55" t="s">
        <v>1250</v>
      </c>
      <c r="E55" t="s">
        <v>943</v>
      </c>
      <c r="F55" t="s">
        <v>15</v>
      </c>
      <c r="G55" s="145">
        <v>0.21479673368707808</v>
      </c>
      <c r="H55" s="118">
        <v>50</v>
      </c>
      <c r="I55" s="118"/>
      <c r="J55" s="118">
        <v>13</v>
      </c>
      <c r="K55" t="s">
        <v>1249</v>
      </c>
      <c r="L55" s="146" t="s">
        <v>1303</v>
      </c>
    </row>
    <row r="56" spans="1:12" x14ac:dyDescent="0.25">
      <c r="A56" t="s">
        <v>458</v>
      </c>
      <c r="B56" t="s">
        <v>457</v>
      </c>
      <c r="C56" t="s">
        <v>3</v>
      </c>
      <c r="D56" t="s">
        <v>1250</v>
      </c>
      <c r="E56" t="s">
        <v>456</v>
      </c>
      <c r="F56" t="s">
        <v>144</v>
      </c>
      <c r="G56" s="145">
        <v>0.4518340312684242</v>
      </c>
      <c r="H56" s="118">
        <v>0.7</v>
      </c>
      <c r="I56" s="118"/>
      <c r="J56" s="118">
        <v>180</v>
      </c>
      <c r="K56" t="s">
        <v>1249</v>
      </c>
      <c r="L56" s="146" t="s">
        <v>1304</v>
      </c>
    </row>
    <row r="57" spans="1:12" x14ac:dyDescent="0.25">
      <c r="A57" t="s">
        <v>458</v>
      </c>
      <c r="B57" t="s">
        <v>457</v>
      </c>
      <c r="C57" t="s">
        <v>3</v>
      </c>
      <c r="D57" t="s">
        <v>1250</v>
      </c>
      <c r="E57" t="s">
        <v>454</v>
      </c>
      <c r="F57" t="s">
        <v>102</v>
      </c>
      <c r="G57" s="145">
        <v>0.3494408945686901</v>
      </c>
      <c r="H57" s="118"/>
      <c r="I57" s="118"/>
      <c r="J57" s="118">
        <v>70</v>
      </c>
      <c r="K57" t="s">
        <v>1251</v>
      </c>
      <c r="L57" s="146" t="s">
        <v>1305</v>
      </c>
    </row>
    <row r="58" spans="1:12" x14ac:dyDescent="0.25">
      <c r="A58" t="s">
        <v>458</v>
      </c>
      <c r="B58" t="s">
        <v>457</v>
      </c>
      <c r="C58" t="s">
        <v>3</v>
      </c>
      <c r="D58" t="s">
        <v>1250</v>
      </c>
      <c r="E58" t="s">
        <v>239</v>
      </c>
      <c r="F58" t="s">
        <v>3</v>
      </c>
      <c r="G58" s="145">
        <v>1.1176514417703598</v>
      </c>
      <c r="H58" s="118"/>
      <c r="I58" s="118">
        <v>150</v>
      </c>
      <c r="J58" s="118"/>
      <c r="K58" t="s">
        <v>1251</v>
      </c>
      <c r="L58" s="146" t="s">
        <v>1306</v>
      </c>
    </row>
    <row r="59" spans="1:12" x14ac:dyDescent="0.25">
      <c r="A59" t="s">
        <v>458</v>
      </c>
      <c r="B59" t="s">
        <v>457</v>
      </c>
      <c r="C59" t="s">
        <v>3</v>
      </c>
      <c r="D59" t="s">
        <v>1250</v>
      </c>
      <c r="E59" t="s">
        <v>1027</v>
      </c>
      <c r="F59" t="s">
        <v>15</v>
      </c>
      <c r="G59" s="145">
        <v>0.27627158870253032</v>
      </c>
      <c r="H59" s="118">
        <v>40</v>
      </c>
      <c r="I59" s="118">
        <v>35</v>
      </c>
      <c r="J59" s="118"/>
      <c r="L59" s="146" t="s">
        <v>1307</v>
      </c>
    </row>
    <row r="60" spans="1:12" x14ac:dyDescent="0.25">
      <c r="A60" t="s">
        <v>458</v>
      </c>
      <c r="B60" t="s">
        <v>457</v>
      </c>
      <c r="C60" t="s">
        <v>3</v>
      </c>
      <c r="D60" t="s">
        <v>1246</v>
      </c>
      <c r="E60" t="s">
        <v>453</v>
      </c>
      <c r="F60" t="s">
        <v>3</v>
      </c>
      <c r="G60" s="145">
        <v>1</v>
      </c>
      <c r="H60" s="118">
        <v>137.1</v>
      </c>
      <c r="I60" s="118">
        <v>134.21</v>
      </c>
      <c r="J60" s="118">
        <v>200.32</v>
      </c>
      <c r="K60" t="s">
        <v>1247</v>
      </c>
      <c r="L60" s="146" t="s">
        <v>1308</v>
      </c>
    </row>
    <row r="61" spans="1:12" x14ac:dyDescent="0.25">
      <c r="A61" t="s">
        <v>452</v>
      </c>
      <c r="B61" t="s">
        <v>451</v>
      </c>
      <c r="C61" t="s">
        <v>88</v>
      </c>
      <c r="D61" t="s">
        <v>1246</v>
      </c>
      <c r="E61" t="s">
        <v>450</v>
      </c>
      <c r="F61" t="s">
        <v>88</v>
      </c>
      <c r="G61" s="145">
        <v>1</v>
      </c>
      <c r="H61" s="118"/>
      <c r="I61" s="118"/>
      <c r="J61" s="118">
        <v>1</v>
      </c>
      <c r="K61" t="s">
        <v>1251</v>
      </c>
      <c r="L61" s="146" t="s">
        <v>1309</v>
      </c>
    </row>
    <row r="62" spans="1:12" x14ac:dyDescent="0.25">
      <c r="A62" t="s">
        <v>447</v>
      </c>
      <c r="B62" t="s">
        <v>446</v>
      </c>
      <c r="C62" t="s">
        <v>6</v>
      </c>
      <c r="D62" t="s">
        <v>1248</v>
      </c>
      <c r="E62" t="s">
        <v>445</v>
      </c>
      <c r="F62" t="s">
        <v>6</v>
      </c>
      <c r="G62" s="145">
        <v>1</v>
      </c>
      <c r="H62" s="118"/>
      <c r="I62" s="118">
        <v>618</v>
      </c>
      <c r="J62" s="118">
        <v>3661.87</v>
      </c>
      <c r="L62" s="146" t="s">
        <v>1310</v>
      </c>
    </row>
    <row r="63" spans="1:12" x14ac:dyDescent="0.25">
      <c r="A63" t="s">
        <v>444</v>
      </c>
      <c r="B63" t="s">
        <v>443</v>
      </c>
      <c r="C63" t="s">
        <v>6</v>
      </c>
      <c r="D63" t="s">
        <v>1248</v>
      </c>
      <c r="E63" t="s">
        <v>442</v>
      </c>
      <c r="F63" t="s">
        <v>6</v>
      </c>
      <c r="G63" s="145">
        <v>1</v>
      </c>
      <c r="H63" s="118"/>
      <c r="I63" s="118">
        <v>48.89</v>
      </c>
      <c r="J63" s="118">
        <v>912.76</v>
      </c>
      <c r="L63" s="146" t="s">
        <v>1311</v>
      </c>
    </row>
    <row r="64" spans="1:12" x14ac:dyDescent="0.25">
      <c r="A64" t="s">
        <v>441</v>
      </c>
      <c r="B64" t="s">
        <v>440</v>
      </c>
      <c r="C64" t="s">
        <v>6</v>
      </c>
      <c r="D64" t="s">
        <v>1246</v>
      </c>
      <c r="E64" t="s">
        <v>439</v>
      </c>
      <c r="F64" t="s">
        <v>6</v>
      </c>
      <c r="G64" s="145">
        <v>1</v>
      </c>
      <c r="H64" s="118">
        <v>1029.5899999999999</v>
      </c>
      <c r="I64" s="118">
        <v>41.7</v>
      </c>
      <c r="J64" s="118">
        <v>2171.83</v>
      </c>
      <c r="K64" t="s">
        <v>1247</v>
      </c>
      <c r="L64" s="146" t="s">
        <v>1312</v>
      </c>
    </row>
    <row r="65" spans="1:12" x14ac:dyDescent="0.25">
      <c r="A65" t="s">
        <v>438</v>
      </c>
      <c r="B65" t="s">
        <v>437</v>
      </c>
      <c r="C65" t="s">
        <v>130</v>
      </c>
      <c r="D65" t="s">
        <v>1248</v>
      </c>
      <c r="E65" t="s">
        <v>436</v>
      </c>
      <c r="F65" t="s">
        <v>130</v>
      </c>
      <c r="G65" s="145">
        <v>1</v>
      </c>
      <c r="H65" s="118">
        <v>1729.61</v>
      </c>
      <c r="I65" s="118">
        <v>892.62</v>
      </c>
      <c r="J65" s="118">
        <v>3141.25</v>
      </c>
      <c r="L65" s="146" t="s">
        <v>1313</v>
      </c>
    </row>
    <row r="66" spans="1:12" x14ac:dyDescent="0.25">
      <c r="A66" t="s">
        <v>435</v>
      </c>
      <c r="B66" t="s">
        <v>434</v>
      </c>
      <c r="C66" t="s">
        <v>130</v>
      </c>
      <c r="D66" t="s">
        <v>1246</v>
      </c>
      <c r="E66" t="s">
        <v>433</v>
      </c>
      <c r="F66" t="s">
        <v>130</v>
      </c>
      <c r="G66" s="145">
        <v>1</v>
      </c>
      <c r="H66" s="118">
        <v>325.39</v>
      </c>
      <c r="I66" s="118">
        <v>206.5</v>
      </c>
      <c r="J66" s="118">
        <v>542.9</v>
      </c>
      <c r="K66" t="s">
        <v>1247</v>
      </c>
      <c r="L66" s="146" t="s">
        <v>1314</v>
      </c>
    </row>
    <row r="67" spans="1:12" x14ac:dyDescent="0.25">
      <c r="A67" t="s">
        <v>435</v>
      </c>
      <c r="B67" t="s">
        <v>434</v>
      </c>
      <c r="C67" t="s">
        <v>130</v>
      </c>
      <c r="D67" t="s">
        <v>1248</v>
      </c>
      <c r="E67" t="s">
        <v>328</v>
      </c>
      <c r="F67" t="s">
        <v>432</v>
      </c>
      <c r="G67" s="145">
        <v>1.8419598452753731E-3</v>
      </c>
      <c r="H67" s="118"/>
      <c r="I67" s="118"/>
      <c r="J67" s="118">
        <v>1</v>
      </c>
      <c r="K67" t="s">
        <v>1251</v>
      </c>
      <c r="L67" s="146" t="s">
        <v>1315</v>
      </c>
    </row>
    <row r="68" spans="1:12" x14ac:dyDescent="0.25">
      <c r="A68" t="s">
        <v>431</v>
      </c>
      <c r="B68" t="s">
        <v>430</v>
      </c>
      <c r="C68" t="s">
        <v>6</v>
      </c>
      <c r="D68" t="s">
        <v>1248</v>
      </c>
      <c r="E68" t="s">
        <v>429</v>
      </c>
      <c r="F68" t="s">
        <v>6</v>
      </c>
      <c r="G68" s="145">
        <v>1</v>
      </c>
      <c r="H68" s="118">
        <v>787.49</v>
      </c>
      <c r="I68" s="118"/>
      <c r="J68" s="118"/>
      <c r="K68" t="s">
        <v>1251</v>
      </c>
      <c r="L68" s="146" t="s">
        <v>1316</v>
      </c>
    </row>
    <row r="69" spans="1:12" x14ac:dyDescent="0.25">
      <c r="A69" t="s">
        <v>428</v>
      </c>
      <c r="B69" t="s">
        <v>427</v>
      </c>
      <c r="C69" t="s">
        <v>88</v>
      </c>
      <c r="D69" t="s">
        <v>1248</v>
      </c>
      <c r="E69" t="s">
        <v>303</v>
      </c>
      <c r="F69" t="s">
        <v>88</v>
      </c>
      <c r="G69" s="145">
        <v>1</v>
      </c>
      <c r="H69" s="118">
        <v>1</v>
      </c>
      <c r="I69" s="118">
        <v>1</v>
      </c>
      <c r="J69" s="118">
        <v>1</v>
      </c>
      <c r="L69" s="146" t="s">
        <v>1317</v>
      </c>
    </row>
    <row r="70" spans="1:12" x14ac:dyDescent="0.25">
      <c r="A70" t="s">
        <v>425</v>
      </c>
      <c r="B70" t="s">
        <v>424</v>
      </c>
      <c r="C70" t="s">
        <v>3</v>
      </c>
      <c r="D70" t="s">
        <v>1246</v>
      </c>
      <c r="E70" t="s">
        <v>423</v>
      </c>
      <c r="F70" t="s">
        <v>3</v>
      </c>
      <c r="G70" s="145">
        <v>1</v>
      </c>
      <c r="H70" s="118"/>
      <c r="I70" s="118">
        <v>37</v>
      </c>
      <c r="J70" s="118">
        <v>34.94</v>
      </c>
      <c r="K70" t="s">
        <v>1247</v>
      </c>
      <c r="L70" s="146" t="s">
        <v>1318</v>
      </c>
    </row>
    <row r="71" spans="1:12" x14ac:dyDescent="0.25">
      <c r="A71" t="s">
        <v>422</v>
      </c>
      <c r="B71" t="s">
        <v>421</v>
      </c>
      <c r="C71" t="s">
        <v>3</v>
      </c>
      <c r="D71" t="s">
        <v>1246</v>
      </c>
      <c r="E71" t="s">
        <v>420</v>
      </c>
      <c r="F71" t="s">
        <v>3</v>
      </c>
      <c r="G71" s="145">
        <v>1</v>
      </c>
      <c r="H71" s="118"/>
      <c r="I71" s="118">
        <v>25</v>
      </c>
      <c r="J71" s="118"/>
      <c r="K71" t="s">
        <v>1251</v>
      </c>
      <c r="L71" s="146" t="s">
        <v>1319</v>
      </c>
    </row>
    <row r="72" spans="1:12" x14ac:dyDescent="0.25">
      <c r="A72" t="s">
        <v>417</v>
      </c>
      <c r="B72" t="s">
        <v>416</v>
      </c>
      <c r="C72" t="s">
        <v>6</v>
      </c>
      <c r="D72" t="s">
        <v>1246</v>
      </c>
      <c r="E72" t="s">
        <v>415</v>
      </c>
      <c r="F72" t="s">
        <v>6</v>
      </c>
      <c r="G72" s="145">
        <v>1</v>
      </c>
      <c r="H72" s="118">
        <v>76.569999999999993</v>
      </c>
      <c r="I72" s="118">
        <v>61.92</v>
      </c>
      <c r="J72" s="118">
        <v>253.39</v>
      </c>
      <c r="K72" t="s">
        <v>1247</v>
      </c>
      <c r="L72" s="146" t="s">
        <v>1320</v>
      </c>
    </row>
    <row r="73" spans="1:12" x14ac:dyDescent="0.25">
      <c r="A73" t="s">
        <v>417</v>
      </c>
      <c r="B73" t="s">
        <v>416</v>
      </c>
      <c r="C73" t="s">
        <v>6</v>
      </c>
      <c r="D73" t="s">
        <v>1248</v>
      </c>
      <c r="E73" t="s">
        <v>328</v>
      </c>
      <c r="F73" t="s">
        <v>78</v>
      </c>
      <c r="G73" s="145">
        <v>0.2185713687913636</v>
      </c>
      <c r="H73" s="118">
        <v>23.5</v>
      </c>
      <c r="I73" s="118"/>
      <c r="J73" s="118">
        <v>33</v>
      </c>
      <c r="L73" s="146" t="s">
        <v>1321</v>
      </c>
    </row>
    <row r="74" spans="1:12" x14ac:dyDescent="0.25">
      <c r="A74" t="s">
        <v>414</v>
      </c>
      <c r="B74" t="s">
        <v>413</v>
      </c>
      <c r="C74" t="s">
        <v>6</v>
      </c>
      <c r="D74" t="s">
        <v>1250</v>
      </c>
      <c r="E74" t="s">
        <v>879</v>
      </c>
      <c r="F74" t="s">
        <v>23</v>
      </c>
      <c r="G74" s="145">
        <v>0.31120331950207469</v>
      </c>
      <c r="H74" s="118">
        <v>17.25</v>
      </c>
      <c r="I74" s="118">
        <v>12</v>
      </c>
      <c r="J74" s="118">
        <v>20.48</v>
      </c>
      <c r="K74" t="s">
        <v>1249</v>
      </c>
      <c r="L74" s="146" t="s">
        <v>1322</v>
      </c>
    </row>
    <row r="75" spans="1:12" x14ac:dyDescent="0.25">
      <c r="A75" t="s">
        <v>414</v>
      </c>
      <c r="B75" t="s">
        <v>413</v>
      </c>
      <c r="C75" t="s">
        <v>6</v>
      </c>
      <c r="D75" t="s">
        <v>1246</v>
      </c>
      <c r="E75" t="s">
        <v>411</v>
      </c>
      <c r="F75" t="s">
        <v>6</v>
      </c>
      <c r="G75" s="145">
        <v>1</v>
      </c>
      <c r="H75" s="118">
        <v>55.43</v>
      </c>
      <c r="I75" s="118">
        <v>28.2</v>
      </c>
      <c r="J75" s="118">
        <v>144.88</v>
      </c>
      <c r="K75" t="s">
        <v>1247</v>
      </c>
      <c r="L75" s="146" t="s">
        <v>1323</v>
      </c>
    </row>
    <row r="76" spans="1:12" x14ac:dyDescent="0.25">
      <c r="A76" t="s">
        <v>414</v>
      </c>
      <c r="B76" t="s">
        <v>413</v>
      </c>
      <c r="C76" t="s">
        <v>6</v>
      </c>
      <c r="D76" t="s">
        <v>1248</v>
      </c>
      <c r="E76" t="s">
        <v>1188</v>
      </c>
      <c r="F76" t="s">
        <v>410</v>
      </c>
      <c r="G76" s="145">
        <v>0.32480506803606585</v>
      </c>
      <c r="H76" s="118">
        <v>23</v>
      </c>
      <c r="I76" s="118">
        <v>9.5</v>
      </c>
      <c r="J76" s="118">
        <v>32.25</v>
      </c>
      <c r="L76" s="146" t="s">
        <v>1324</v>
      </c>
    </row>
    <row r="77" spans="1:12" x14ac:dyDescent="0.25">
      <c r="A77" t="s">
        <v>409</v>
      </c>
      <c r="B77" t="s">
        <v>408</v>
      </c>
      <c r="C77" t="s">
        <v>130</v>
      </c>
      <c r="D77" t="s">
        <v>1250</v>
      </c>
      <c r="E77" t="s">
        <v>818</v>
      </c>
      <c r="F77" t="s">
        <v>30</v>
      </c>
      <c r="G77" s="145">
        <v>8.270321361058602E-3</v>
      </c>
      <c r="H77" s="118"/>
      <c r="I77" s="118"/>
      <c r="J77" s="118">
        <v>1.75</v>
      </c>
      <c r="K77" t="s">
        <v>1251</v>
      </c>
      <c r="L77" s="146" t="s">
        <v>1325</v>
      </c>
    </row>
    <row r="78" spans="1:12" x14ac:dyDescent="0.25">
      <c r="A78" t="s">
        <v>409</v>
      </c>
      <c r="B78" t="s">
        <v>408</v>
      </c>
      <c r="C78" t="s">
        <v>130</v>
      </c>
      <c r="D78" t="s">
        <v>1250</v>
      </c>
      <c r="E78" t="s">
        <v>822</v>
      </c>
      <c r="F78" t="s">
        <v>30</v>
      </c>
      <c r="G78" s="145">
        <v>2.3629489603024575E-3</v>
      </c>
      <c r="H78" s="118"/>
      <c r="I78" s="118"/>
      <c r="J78" s="118">
        <v>0.5</v>
      </c>
      <c r="K78" t="s">
        <v>1251</v>
      </c>
      <c r="L78" s="146" t="s">
        <v>1326</v>
      </c>
    </row>
    <row r="79" spans="1:12" x14ac:dyDescent="0.25">
      <c r="A79" t="s">
        <v>409</v>
      </c>
      <c r="B79" t="s">
        <v>408</v>
      </c>
      <c r="C79" t="s">
        <v>130</v>
      </c>
      <c r="D79" t="s">
        <v>1250</v>
      </c>
      <c r="E79" t="s">
        <v>370</v>
      </c>
      <c r="F79" t="s">
        <v>144</v>
      </c>
      <c r="G79" s="145">
        <v>1.5075614366729679E-2</v>
      </c>
      <c r="H79" s="118"/>
      <c r="I79" s="118"/>
      <c r="J79" s="118">
        <v>3.19</v>
      </c>
      <c r="K79" t="s">
        <v>1251</v>
      </c>
      <c r="L79" s="146" t="s">
        <v>1327</v>
      </c>
    </row>
    <row r="80" spans="1:12" x14ac:dyDescent="0.25">
      <c r="A80" t="s">
        <v>409</v>
      </c>
      <c r="B80" t="s">
        <v>408</v>
      </c>
      <c r="C80" t="s">
        <v>130</v>
      </c>
      <c r="D80" t="s">
        <v>1246</v>
      </c>
      <c r="E80" t="s">
        <v>406</v>
      </c>
      <c r="F80" t="s">
        <v>130</v>
      </c>
      <c r="G80" s="145">
        <v>1</v>
      </c>
      <c r="H80" s="118"/>
      <c r="I80" s="118"/>
      <c r="J80" s="118">
        <v>211.6</v>
      </c>
      <c r="K80" t="s">
        <v>1251</v>
      </c>
      <c r="L80" s="146" t="s">
        <v>1328</v>
      </c>
    </row>
    <row r="81" spans="1:12" x14ac:dyDescent="0.25">
      <c r="A81" t="s">
        <v>409</v>
      </c>
      <c r="B81" t="s">
        <v>408</v>
      </c>
      <c r="C81" t="s">
        <v>130</v>
      </c>
      <c r="D81" t="s">
        <v>1248</v>
      </c>
      <c r="E81" t="s">
        <v>328</v>
      </c>
      <c r="F81" t="s">
        <v>78</v>
      </c>
      <c r="G81" s="145">
        <v>2.3629489603024575E-2</v>
      </c>
      <c r="H81" s="118"/>
      <c r="I81" s="118"/>
      <c r="J81" s="118">
        <v>5</v>
      </c>
      <c r="K81" t="s">
        <v>1251</v>
      </c>
      <c r="L81" s="146" t="s">
        <v>1329</v>
      </c>
    </row>
    <row r="82" spans="1:12" x14ac:dyDescent="0.25">
      <c r="A82" t="s">
        <v>403</v>
      </c>
      <c r="B82" t="s">
        <v>402</v>
      </c>
      <c r="C82" t="s">
        <v>130</v>
      </c>
      <c r="D82" t="s">
        <v>1250</v>
      </c>
      <c r="E82" t="s">
        <v>854</v>
      </c>
      <c r="F82" t="s">
        <v>15</v>
      </c>
      <c r="G82" s="145">
        <v>1.4947980270509566E-3</v>
      </c>
      <c r="H82" s="118">
        <v>2</v>
      </c>
      <c r="I82" s="118">
        <v>1</v>
      </c>
      <c r="J82" s="118">
        <v>3</v>
      </c>
      <c r="L82" s="146" t="s">
        <v>1330</v>
      </c>
    </row>
    <row r="83" spans="1:12" x14ac:dyDescent="0.25">
      <c r="A83" t="s">
        <v>403</v>
      </c>
      <c r="B83" t="s">
        <v>402</v>
      </c>
      <c r="C83" t="s">
        <v>130</v>
      </c>
      <c r="D83" t="s">
        <v>1250</v>
      </c>
      <c r="E83" t="s">
        <v>64</v>
      </c>
      <c r="F83" t="s">
        <v>15</v>
      </c>
      <c r="G83" s="145">
        <v>3.897141386486333E-2</v>
      </c>
      <c r="H83" s="118">
        <v>42</v>
      </c>
      <c r="I83" s="118">
        <v>34</v>
      </c>
      <c r="J83" s="118">
        <v>85</v>
      </c>
      <c r="L83" s="146" t="s">
        <v>1331</v>
      </c>
    </row>
    <row r="84" spans="1:12" x14ac:dyDescent="0.25">
      <c r="A84" t="s">
        <v>403</v>
      </c>
      <c r="B84" t="s">
        <v>402</v>
      </c>
      <c r="C84" t="s">
        <v>130</v>
      </c>
      <c r="D84" t="s">
        <v>1250</v>
      </c>
      <c r="E84" t="s">
        <v>1029</v>
      </c>
      <c r="F84" t="s">
        <v>15</v>
      </c>
      <c r="G84" s="145">
        <v>1.128528060850233E-3</v>
      </c>
      <c r="H84" s="118">
        <v>1</v>
      </c>
      <c r="I84" s="118"/>
      <c r="J84" s="118"/>
      <c r="K84" t="s">
        <v>1251</v>
      </c>
      <c r="L84" s="146" t="s">
        <v>1332</v>
      </c>
    </row>
    <row r="85" spans="1:12" x14ac:dyDescent="0.25">
      <c r="A85" t="s">
        <v>403</v>
      </c>
      <c r="B85" t="s">
        <v>402</v>
      </c>
      <c r="C85" t="s">
        <v>130</v>
      </c>
      <c r="D85" t="s">
        <v>1246</v>
      </c>
      <c r="E85" t="s">
        <v>401</v>
      </c>
      <c r="F85" t="s">
        <v>130</v>
      </c>
      <c r="G85" s="145">
        <v>1</v>
      </c>
      <c r="H85" s="118">
        <v>886.11</v>
      </c>
      <c r="I85" s="118">
        <v>884.29</v>
      </c>
      <c r="J85" s="118">
        <v>2736.01</v>
      </c>
      <c r="K85" t="s">
        <v>1247</v>
      </c>
      <c r="L85" s="146" t="s">
        <v>1333</v>
      </c>
    </row>
    <row r="86" spans="1:12" x14ac:dyDescent="0.25">
      <c r="A86" t="s">
        <v>403</v>
      </c>
      <c r="B86" t="s">
        <v>402</v>
      </c>
      <c r="C86" t="s">
        <v>130</v>
      </c>
      <c r="D86" t="s">
        <v>1248</v>
      </c>
      <c r="E86" t="s">
        <v>1237</v>
      </c>
      <c r="F86" t="s">
        <v>15</v>
      </c>
      <c r="G86" s="145">
        <v>3.6549574014714856E-4</v>
      </c>
      <c r="H86" s="118"/>
      <c r="I86" s="118"/>
      <c r="J86" s="118">
        <v>1</v>
      </c>
      <c r="K86" t="s">
        <v>1251</v>
      </c>
      <c r="L86" s="146" t="s">
        <v>1334</v>
      </c>
    </row>
    <row r="87" spans="1:12" x14ac:dyDescent="0.25">
      <c r="A87" t="s">
        <v>399</v>
      </c>
      <c r="B87" t="s">
        <v>398</v>
      </c>
      <c r="C87" t="s">
        <v>30</v>
      </c>
      <c r="D87" t="s">
        <v>1250</v>
      </c>
      <c r="E87" t="s">
        <v>1042</v>
      </c>
      <c r="F87" t="s">
        <v>15</v>
      </c>
      <c r="G87" s="145">
        <v>0.2109704641350211</v>
      </c>
      <c r="H87" s="118">
        <v>19</v>
      </c>
      <c r="I87" s="118"/>
      <c r="J87" s="118"/>
      <c r="K87" t="s">
        <v>1251</v>
      </c>
      <c r="L87" s="146" t="s">
        <v>1335</v>
      </c>
    </row>
    <row r="88" spans="1:12" x14ac:dyDescent="0.25">
      <c r="A88" t="s">
        <v>399</v>
      </c>
      <c r="B88" t="s">
        <v>398</v>
      </c>
      <c r="C88" t="s">
        <v>30</v>
      </c>
      <c r="D88" t="s">
        <v>1246</v>
      </c>
      <c r="E88" t="s">
        <v>396</v>
      </c>
      <c r="F88" t="s">
        <v>30</v>
      </c>
      <c r="G88" s="145">
        <v>1</v>
      </c>
      <c r="H88" s="118">
        <v>90.06</v>
      </c>
      <c r="I88" s="118"/>
      <c r="J88" s="118"/>
      <c r="K88" t="s">
        <v>1251</v>
      </c>
      <c r="L88" s="146" t="s">
        <v>1336</v>
      </c>
    </row>
    <row r="89" spans="1:12" x14ac:dyDescent="0.25">
      <c r="A89" t="s">
        <v>395</v>
      </c>
      <c r="B89" t="s">
        <v>394</v>
      </c>
      <c r="C89" t="s">
        <v>30</v>
      </c>
      <c r="D89" t="s">
        <v>1250</v>
      </c>
      <c r="E89" t="s">
        <v>383</v>
      </c>
      <c r="F89" t="s">
        <v>382</v>
      </c>
      <c r="G89" s="145">
        <v>2.8697941588102881E-4</v>
      </c>
      <c r="H89" s="118">
        <v>2</v>
      </c>
      <c r="I89" s="118">
        <v>2</v>
      </c>
      <c r="J89" s="118">
        <v>1</v>
      </c>
      <c r="L89" s="146" t="s">
        <v>1337</v>
      </c>
    </row>
    <row r="90" spans="1:12" x14ac:dyDescent="0.25">
      <c r="A90" t="s">
        <v>395</v>
      </c>
      <c r="B90" t="s">
        <v>394</v>
      </c>
      <c r="C90" t="s">
        <v>30</v>
      </c>
      <c r="D90" t="s">
        <v>1250</v>
      </c>
      <c r="E90" t="s">
        <v>854</v>
      </c>
      <c r="F90" t="s">
        <v>15</v>
      </c>
      <c r="G90" s="145">
        <v>3.3967692294059786E-3</v>
      </c>
      <c r="H90" s="118">
        <v>23</v>
      </c>
      <c r="I90" s="118">
        <v>18</v>
      </c>
      <c r="J90" s="118">
        <v>6</v>
      </c>
      <c r="K90" t="s">
        <v>1249</v>
      </c>
      <c r="L90" s="146" t="s">
        <v>1338</v>
      </c>
    </row>
    <row r="91" spans="1:12" x14ac:dyDescent="0.25">
      <c r="A91" t="s">
        <v>395</v>
      </c>
      <c r="B91" t="s">
        <v>394</v>
      </c>
      <c r="C91" t="s">
        <v>30</v>
      </c>
      <c r="D91" t="s">
        <v>1250</v>
      </c>
      <c r="E91" t="s">
        <v>987</v>
      </c>
      <c r="F91" t="s">
        <v>15</v>
      </c>
      <c r="G91" s="145">
        <v>5.5226129138479288E-4</v>
      </c>
      <c r="H91" s="118">
        <v>1</v>
      </c>
      <c r="I91" s="118">
        <v>3</v>
      </c>
      <c r="J91" s="118">
        <v>3</v>
      </c>
      <c r="K91" t="s">
        <v>1249</v>
      </c>
      <c r="L91" s="146" t="s">
        <v>1339</v>
      </c>
    </row>
    <row r="92" spans="1:12" x14ac:dyDescent="0.25">
      <c r="A92" t="s">
        <v>395</v>
      </c>
      <c r="B92" t="s">
        <v>394</v>
      </c>
      <c r="C92" t="s">
        <v>30</v>
      </c>
      <c r="D92" t="s">
        <v>1250</v>
      </c>
      <c r="E92" t="s">
        <v>1029</v>
      </c>
      <c r="F92" t="s">
        <v>15</v>
      </c>
      <c r="G92" s="145">
        <v>1.1850123769279106E-3</v>
      </c>
      <c r="H92" s="118">
        <v>10</v>
      </c>
      <c r="I92" s="118">
        <v>8</v>
      </c>
      <c r="J92" s="118">
        <v>3</v>
      </c>
      <c r="L92" s="146" t="s">
        <v>1340</v>
      </c>
    </row>
    <row r="93" spans="1:12" x14ac:dyDescent="0.25">
      <c r="A93" t="s">
        <v>395</v>
      </c>
      <c r="B93" t="s">
        <v>394</v>
      </c>
      <c r="C93" t="s">
        <v>30</v>
      </c>
      <c r="D93" t="s">
        <v>1250</v>
      </c>
      <c r="E93" t="s">
        <v>1044</v>
      </c>
      <c r="F93" t="s">
        <v>15</v>
      </c>
      <c r="G93" s="145">
        <v>0.11049232676764149</v>
      </c>
      <c r="H93" s="118">
        <v>902.66763000000003</v>
      </c>
      <c r="I93" s="118">
        <v>539</v>
      </c>
      <c r="J93" s="118">
        <v>518</v>
      </c>
      <c r="L93" s="146" t="s">
        <v>1341</v>
      </c>
    </row>
    <row r="94" spans="1:12" x14ac:dyDescent="0.25">
      <c r="A94" t="s">
        <v>395</v>
      </c>
      <c r="B94" t="s">
        <v>394</v>
      </c>
      <c r="C94" t="s">
        <v>30</v>
      </c>
      <c r="D94" t="s">
        <v>1246</v>
      </c>
      <c r="E94" t="s">
        <v>393</v>
      </c>
      <c r="F94" t="s">
        <v>30</v>
      </c>
      <c r="G94" s="145">
        <v>1</v>
      </c>
      <c r="H94" s="118">
        <v>6771.14</v>
      </c>
      <c r="I94" s="118">
        <v>5242.74</v>
      </c>
      <c r="J94" s="118">
        <v>5432.2112500000003</v>
      </c>
      <c r="K94" t="s">
        <v>1247</v>
      </c>
      <c r="L94" s="146" t="s">
        <v>1342</v>
      </c>
    </row>
    <row r="95" spans="1:12" x14ac:dyDescent="0.25">
      <c r="A95" t="s">
        <v>395</v>
      </c>
      <c r="B95" t="s">
        <v>394</v>
      </c>
      <c r="C95" t="s">
        <v>30</v>
      </c>
      <c r="D95" t="s">
        <v>1248</v>
      </c>
      <c r="E95" t="s">
        <v>1176</v>
      </c>
      <c r="F95" t="s">
        <v>15</v>
      </c>
      <c r="G95" s="145">
        <v>3.6817419425652859E-3</v>
      </c>
      <c r="H95" s="118"/>
      <c r="I95" s="118"/>
      <c r="J95" s="118">
        <v>20</v>
      </c>
      <c r="K95" t="s">
        <v>1251</v>
      </c>
      <c r="L95" s="146" t="s">
        <v>1343</v>
      </c>
    </row>
    <row r="96" spans="1:12" x14ac:dyDescent="0.25">
      <c r="A96" t="s">
        <v>395</v>
      </c>
      <c r="B96" t="s">
        <v>394</v>
      </c>
      <c r="C96" t="s">
        <v>30</v>
      </c>
      <c r="D96" t="s">
        <v>1248</v>
      </c>
      <c r="E96" t="s">
        <v>1198</v>
      </c>
      <c r="F96" t="s">
        <v>15</v>
      </c>
      <c r="G96" s="145">
        <v>3.6817419425652859E-3</v>
      </c>
      <c r="H96" s="118"/>
      <c r="I96" s="118"/>
      <c r="J96" s="118">
        <v>20</v>
      </c>
      <c r="K96" t="s">
        <v>1251</v>
      </c>
      <c r="L96" s="146" t="s">
        <v>1344</v>
      </c>
    </row>
    <row r="97" spans="1:12" x14ac:dyDescent="0.25">
      <c r="A97" t="s">
        <v>392</v>
      </c>
      <c r="B97" t="s">
        <v>391</v>
      </c>
      <c r="C97" t="s">
        <v>30</v>
      </c>
      <c r="D97" t="s">
        <v>1250</v>
      </c>
      <c r="E97" t="s">
        <v>383</v>
      </c>
      <c r="F97" t="s">
        <v>382</v>
      </c>
      <c r="G97" s="145">
        <v>1.7819361191164385E-3</v>
      </c>
      <c r="H97" s="118">
        <v>9</v>
      </c>
      <c r="I97" s="118">
        <v>6</v>
      </c>
      <c r="J97" s="118">
        <v>5</v>
      </c>
      <c r="L97" s="146" t="s">
        <v>1345</v>
      </c>
    </row>
    <row r="98" spans="1:12" x14ac:dyDescent="0.25">
      <c r="A98" t="s">
        <v>392</v>
      </c>
      <c r="B98" t="s">
        <v>391</v>
      </c>
      <c r="C98" t="s">
        <v>30</v>
      </c>
      <c r="D98" t="s">
        <v>1250</v>
      </c>
      <c r="E98" t="s">
        <v>854</v>
      </c>
      <c r="F98" t="s">
        <v>15</v>
      </c>
      <c r="G98" s="145">
        <v>6.1830216989887709E-3</v>
      </c>
      <c r="H98" s="118">
        <v>25</v>
      </c>
      <c r="I98" s="118">
        <v>22</v>
      </c>
      <c r="J98" s="118">
        <v>22</v>
      </c>
      <c r="L98" s="146" t="s">
        <v>1346</v>
      </c>
    </row>
    <row r="99" spans="1:12" x14ac:dyDescent="0.25">
      <c r="A99" t="s">
        <v>392</v>
      </c>
      <c r="B99" t="s">
        <v>391</v>
      </c>
      <c r="C99" t="s">
        <v>30</v>
      </c>
      <c r="D99" t="s">
        <v>1250</v>
      </c>
      <c r="E99" t="s">
        <v>987</v>
      </c>
      <c r="F99" t="s">
        <v>15</v>
      </c>
      <c r="G99" s="145">
        <v>6.5838419351228218E-4</v>
      </c>
      <c r="H99" s="118">
        <v>1</v>
      </c>
      <c r="I99" s="118">
        <v>2</v>
      </c>
      <c r="J99" s="118">
        <v>3</v>
      </c>
      <c r="K99" t="s">
        <v>1249</v>
      </c>
      <c r="L99" s="146" t="s">
        <v>1347</v>
      </c>
    </row>
    <row r="100" spans="1:12" x14ac:dyDescent="0.25">
      <c r="A100" t="s">
        <v>392</v>
      </c>
      <c r="B100" t="s">
        <v>391</v>
      </c>
      <c r="C100" t="s">
        <v>30</v>
      </c>
      <c r="D100" t="s">
        <v>1250</v>
      </c>
      <c r="E100" t="s">
        <v>1029</v>
      </c>
      <c r="F100" t="s">
        <v>15</v>
      </c>
      <c r="G100" s="145">
        <v>6.8343244817963347E-3</v>
      </c>
      <c r="H100" s="118">
        <v>15</v>
      </c>
      <c r="I100" s="118">
        <v>29</v>
      </c>
      <c r="J100" s="118">
        <v>30</v>
      </c>
      <c r="L100" s="146" t="s">
        <v>1348</v>
      </c>
    </row>
    <row r="101" spans="1:12" x14ac:dyDescent="0.25">
      <c r="A101" t="s">
        <v>392</v>
      </c>
      <c r="B101" t="s">
        <v>391</v>
      </c>
      <c r="C101" t="s">
        <v>30</v>
      </c>
      <c r="D101" t="s">
        <v>1250</v>
      </c>
      <c r="E101" t="s">
        <v>1047</v>
      </c>
      <c r="F101" t="s">
        <v>15</v>
      </c>
      <c r="G101" s="145">
        <v>0.10337703379244921</v>
      </c>
      <c r="H101" s="118">
        <v>430</v>
      </c>
      <c r="I101" s="118">
        <v>249</v>
      </c>
      <c r="J101" s="118">
        <v>550</v>
      </c>
      <c r="L101" s="146" t="s">
        <v>1349</v>
      </c>
    </row>
    <row r="102" spans="1:12" x14ac:dyDescent="0.25">
      <c r="A102" t="s">
        <v>392</v>
      </c>
      <c r="B102" t="s">
        <v>391</v>
      </c>
      <c r="C102" t="s">
        <v>30</v>
      </c>
      <c r="D102" t="s">
        <v>1246</v>
      </c>
      <c r="E102" t="s">
        <v>390</v>
      </c>
      <c r="F102" t="s">
        <v>30</v>
      </c>
      <c r="G102" s="145">
        <v>1</v>
      </c>
      <c r="H102" s="118">
        <v>4308.2</v>
      </c>
      <c r="I102" s="118">
        <v>2778.47</v>
      </c>
      <c r="J102" s="118">
        <v>4556.6099999999997</v>
      </c>
      <c r="K102" t="s">
        <v>1247</v>
      </c>
      <c r="L102" s="146" t="s">
        <v>1350</v>
      </c>
    </row>
    <row r="103" spans="1:12" x14ac:dyDescent="0.25">
      <c r="A103" t="s">
        <v>392</v>
      </c>
      <c r="B103" t="s">
        <v>391</v>
      </c>
      <c r="C103" t="s">
        <v>30</v>
      </c>
      <c r="D103" t="s">
        <v>1248</v>
      </c>
      <c r="E103" t="s">
        <v>1176</v>
      </c>
      <c r="F103" t="s">
        <v>15</v>
      </c>
      <c r="G103" s="145">
        <v>1.7556911826994193E-2</v>
      </c>
      <c r="H103" s="118"/>
      <c r="I103" s="118"/>
      <c r="J103" s="118">
        <v>80</v>
      </c>
      <c r="K103" t="s">
        <v>1251</v>
      </c>
      <c r="L103" s="146" t="s">
        <v>1351</v>
      </c>
    </row>
    <row r="104" spans="1:12" x14ac:dyDescent="0.25">
      <c r="A104" t="s">
        <v>392</v>
      </c>
      <c r="B104" t="s">
        <v>391</v>
      </c>
      <c r="C104" t="s">
        <v>30</v>
      </c>
      <c r="D104" t="s">
        <v>1248</v>
      </c>
      <c r="E104" t="s">
        <v>1198</v>
      </c>
      <c r="F104" t="s">
        <v>15</v>
      </c>
      <c r="G104" s="145">
        <v>1.7556911826994193E-2</v>
      </c>
      <c r="H104" s="118"/>
      <c r="I104" s="118"/>
      <c r="J104" s="118">
        <v>80</v>
      </c>
      <c r="K104" t="s">
        <v>1251</v>
      </c>
      <c r="L104" s="146" t="s">
        <v>1352</v>
      </c>
    </row>
    <row r="105" spans="1:12" x14ac:dyDescent="0.25">
      <c r="A105" t="s">
        <v>389</v>
      </c>
      <c r="B105" t="s">
        <v>388</v>
      </c>
      <c r="C105" t="s">
        <v>30</v>
      </c>
      <c r="D105" t="s">
        <v>1250</v>
      </c>
      <c r="E105" t="s">
        <v>383</v>
      </c>
      <c r="F105" t="s">
        <v>382</v>
      </c>
      <c r="G105" s="145">
        <v>7.6646363896496752E-4</v>
      </c>
      <c r="H105" s="118">
        <v>3</v>
      </c>
      <c r="I105" s="118">
        <v>2</v>
      </c>
      <c r="J105" s="118">
        <v>1</v>
      </c>
      <c r="K105" t="s">
        <v>1249</v>
      </c>
      <c r="L105" s="146" t="s">
        <v>1353</v>
      </c>
    </row>
    <row r="106" spans="1:12" x14ac:dyDescent="0.25">
      <c r="A106" t="s">
        <v>389</v>
      </c>
      <c r="B106" t="s">
        <v>388</v>
      </c>
      <c r="C106" t="s">
        <v>30</v>
      </c>
      <c r="D106" t="s">
        <v>1250</v>
      </c>
      <c r="E106" t="s">
        <v>854</v>
      </c>
      <c r="F106" t="s">
        <v>15</v>
      </c>
      <c r="G106" s="145">
        <v>2.0290698067649189E-3</v>
      </c>
      <c r="H106" s="118">
        <v>10</v>
      </c>
      <c r="I106" s="118">
        <v>3</v>
      </c>
      <c r="J106" s="118">
        <v>2</v>
      </c>
      <c r="K106" t="s">
        <v>1249</v>
      </c>
      <c r="L106" s="146" t="s">
        <v>1354</v>
      </c>
    </row>
    <row r="107" spans="1:12" x14ac:dyDescent="0.25">
      <c r="A107" t="s">
        <v>389</v>
      </c>
      <c r="B107" t="s">
        <v>388</v>
      </c>
      <c r="C107" t="s">
        <v>30</v>
      </c>
      <c r="D107" t="s">
        <v>1250</v>
      </c>
      <c r="E107" t="s">
        <v>987</v>
      </c>
      <c r="F107" t="s">
        <v>15</v>
      </c>
      <c r="G107" s="145">
        <v>2.8179412684680826E-4</v>
      </c>
      <c r="H107" s="118"/>
      <c r="I107" s="118"/>
      <c r="J107" s="118">
        <v>2</v>
      </c>
      <c r="K107" t="s">
        <v>1251</v>
      </c>
      <c r="L107" s="146" t="s">
        <v>1355</v>
      </c>
    </row>
    <row r="108" spans="1:12" x14ac:dyDescent="0.25">
      <c r="A108" t="s">
        <v>389</v>
      </c>
      <c r="B108" t="s">
        <v>388</v>
      </c>
      <c r="C108" t="s">
        <v>30</v>
      </c>
      <c r="D108" t="s">
        <v>1250</v>
      </c>
      <c r="E108" t="s">
        <v>1029</v>
      </c>
      <c r="F108" t="s">
        <v>15</v>
      </c>
      <c r="G108" s="145">
        <v>2.712843024257389E-3</v>
      </c>
      <c r="H108" s="118">
        <v>8</v>
      </c>
      <c r="I108" s="118">
        <v>5</v>
      </c>
      <c r="J108" s="118"/>
      <c r="L108" s="146" t="s">
        <v>1356</v>
      </c>
    </row>
    <row r="109" spans="1:12" x14ac:dyDescent="0.25">
      <c r="A109" t="s">
        <v>389</v>
      </c>
      <c r="B109" t="s">
        <v>388</v>
      </c>
      <c r="C109" t="s">
        <v>30</v>
      </c>
      <c r="D109" t="s">
        <v>1250</v>
      </c>
      <c r="E109" t="s">
        <v>387</v>
      </c>
      <c r="F109" t="s">
        <v>15</v>
      </c>
      <c r="G109" s="145">
        <v>5.478488478265281E-2</v>
      </c>
      <c r="H109" s="118">
        <v>215</v>
      </c>
      <c r="I109" s="118">
        <v>81</v>
      </c>
      <c r="J109" s="118">
        <v>38</v>
      </c>
      <c r="K109" t="s">
        <v>1249</v>
      </c>
      <c r="L109" s="146" t="s">
        <v>1357</v>
      </c>
    </row>
    <row r="110" spans="1:12" x14ac:dyDescent="0.25">
      <c r="A110" t="s">
        <v>389</v>
      </c>
      <c r="B110" t="s">
        <v>388</v>
      </c>
      <c r="C110" t="s">
        <v>30</v>
      </c>
      <c r="D110" t="s">
        <v>1246</v>
      </c>
      <c r="E110" t="s">
        <v>386</v>
      </c>
      <c r="F110" t="s">
        <v>30</v>
      </c>
      <c r="G110" s="145">
        <v>1</v>
      </c>
      <c r="H110" s="118">
        <v>3914.08</v>
      </c>
      <c r="I110" s="118">
        <v>1478.51</v>
      </c>
      <c r="J110" s="118">
        <v>7097.38</v>
      </c>
      <c r="K110" t="s">
        <v>1247</v>
      </c>
      <c r="L110" s="146" t="s">
        <v>1358</v>
      </c>
    </row>
    <row r="111" spans="1:12" x14ac:dyDescent="0.25">
      <c r="A111" t="s">
        <v>385</v>
      </c>
      <c r="B111" t="s">
        <v>384</v>
      </c>
      <c r="C111" t="s">
        <v>30</v>
      </c>
      <c r="D111" t="s">
        <v>1250</v>
      </c>
      <c r="E111" t="s">
        <v>703</v>
      </c>
      <c r="F111" t="s">
        <v>105</v>
      </c>
      <c r="G111" s="145">
        <v>3.5835871707579287E-4</v>
      </c>
      <c r="H111" s="118"/>
      <c r="I111" s="118">
        <v>1</v>
      </c>
      <c r="J111" s="118"/>
      <c r="K111" t="s">
        <v>1251</v>
      </c>
      <c r="L111" s="146" t="s">
        <v>1359</v>
      </c>
    </row>
    <row r="112" spans="1:12" x14ac:dyDescent="0.25">
      <c r="A112" t="s">
        <v>385</v>
      </c>
      <c r="B112" t="s">
        <v>384</v>
      </c>
      <c r="C112" t="s">
        <v>30</v>
      </c>
      <c r="D112" t="s">
        <v>1250</v>
      </c>
      <c r="E112" t="s">
        <v>383</v>
      </c>
      <c r="F112" t="s">
        <v>382</v>
      </c>
      <c r="G112" s="145">
        <v>1.7917935853789643E-3</v>
      </c>
      <c r="H112" s="118">
        <v>1</v>
      </c>
      <c r="I112" s="118">
        <v>5</v>
      </c>
      <c r="J112" s="118">
        <v>1</v>
      </c>
      <c r="K112" t="s">
        <v>1249</v>
      </c>
      <c r="L112" s="146" t="s">
        <v>1360</v>
      </c>
    </row>
    <row r="113" spans="1:12" x14ac:dyDescent="0.25">
      <c r="A113" t="s">
        <v>385</v>
      </c>
      <c r="B113" t="s">
        <v>384</v>
      </c>
      <c r="C113" t="s">
        <v>30</v>
      </c>
      <c r="D113" t="s">
        <v>1250</v>
      </c>
      <c r="E113" t="s">
        <v>854</v>
      </c>
      <c r="F113" t="s">
        <v>15</v>
      </c>
      <c r="G113" s="145">
        <v>3.3491683567395286E-3</v>
      </c>
      <c r="H113" s="118">
        <v>7</v>
      </c>
      <c r="I113" s="118">
        <v>5</v>
      </c>
      <c r="J113" s="118">
        <v>2</v>
      </c>
      <c r="L113" s="146" t="s">
        <v>1361</v>
      </c>
    </row>
    <row r="114" spans="1:12" x14ac:dyDescent="0.25">
      <c r="A114" t="s">
        <v>385</v>
      </c>
      <c r="B114" t="s">
        <v>384</v>
      </c>
      <c r="C114" t="s">
        <v>30</v>
      </c>
      <c r="D114" t="s">
        <v>1250</v>
      </c>
      <c r="E114" t="s">
        <v>987</v>
      </c>
      <c r="F114" t="s">
        <v>15</v>
      </c>
      <c r="G114" s="145">
        <v>7.1671743415158574E-4</v>
      </c>
      <c r="H114" s="118"/>
      <c r="I114" s="118">
        <v>2</v>
      </c>
      <c r="J114" s="118"/>
      <c r="K114" t="s">
        <v>1251</v>
      </c>
      <c r="L114" s="146" t="s">
        <v>1362</v>
      </c>
    </row>
    <row r="115" spans="1:12" x14ac:dyDescent="0.25">
      <c r="A115" t="s">
        <v>385</v>
      </c>
      <c r="B115" t="s">
        <v>384</v>
      </c>
      <c r="C115" t="s">
        <v>30</v>
      </c>
      <c r="D115" t="s">
        <v>1250</v>
      </c>
      <c r="E115" t="s">
        <v>1029</v>
      </c>
      <c r="F115" t="s">
        <v>15</v>
      </c>
      <c r="G115" s="145">
        <v>1.7917935853789643E-3</v>
      </c>
      <c r="H115" s="118"/>
      <c r="I115" s="118">
        <v>5</v>
      </c>
      <c r="J115" s="118"/>
      <c r="K115" t="s">
        <v>1251</v>
      </c>
      <c r="L115" s="146" t="s">
        <v>1363</v>
      </c>
    </row>
    <row r="116" spans="1:12" x14ac:dyDescent="0.25">
      <c r="A116" t="s">
        <v>385</v>
      </c>
      <c r="B116" t="s">
        <v>384</v>
      </c>
      <c r="C116" t="s">
        <v>30</v>
      </c>
      <c r="D116" t="s">
        <v>1250</v>
      </c>
      <c r="E116" t="s">
        <v>381</v>
      </c>
      <c r="F116" t="s">
        <v>15</v>
      </c>
      <c r="G116" s="145">
        <v>5.9286618716346849E-2</v>
      </c>
      <c r="H116" s="118">
        <v>107</v>
      </c>
      <c r="I116" s="118">
        <v>148</v>
      </c>
      <c r="J116" s="118">
        <v>30</v>
      </c>
      <c r="L116" s="146" t="s">
        <v>1364</v>
      </c>
    </row>
    <row r="117" spans="1:12" x14ac:dyDescent="0.25">
      <c r="A117" t="s">
        <v>385</v>
      </c>
      <c r="B117" t="s">
        <v>384</v>
      </c>
      <c r="C117" t="s">
        <v>30</v>
      </c>
      <c r="D117" t="s">
        <v>1246</v>
      </c>
      <c r="E117" t="s">
        <v>380</v>
      </c>
      <c r="F117" t="s">
        <v>30</v>
      </c>
      <c r="G117" s="145">
        <v>1</v>
      </c>
      <c r="H117" s="118">
        <v>2026.15</v>
      </c>
      <c r="I117" s="118">
        <v>2790.5</v>
      </c>
      <c r="J117" s="118">
        <v>416.59</v>
      </c>
      <c r="K117" t="s">
        <v>1247</v>
      </c>
      <c r="L117" s="146" t="s">
        <v>1365</v>
      </c>
    </row>
    <row r="118" spans="1:12" x14ac:dyDescent="0.25">
      <c r="A118" t="s">
        <v>379</v>
      </c>
      <c r="B118" t="s">
        <v>378</v>
      </c>
      <c r="C118" t="s">
        <v>30</v>
      </c>
      <c r="D118" t="s">
        <v>1250</v>
      </c>
      <c r="E118" t="s">
        <v>1054</v>
      </c>
      <c r="F118" t="s">
        <v>15</v>
      </c>
      <c r="G118" s="145">
        <v>4.1435612784553703E-2</v>
      </c>
      <c r="H118" s="118"/>
      <c r="I118" s="118">
        <v>24</v>
      </c>
      <c r="J118" s="118">
        <v>20</v>
      </c>
      <c r="L118" s="146" t="s">
        <v>1366</v>
      </c>
    </row>
    <row r="119" spans="1:12" x14ac:dyDescent="0.25">
      <c r="A119" t="s">
        <v>379</v>
      </c>
      <c r="B119" t="s">
        <v>378</v>
      </c>
      <c r="C119" t="s">
        <v>30</v>
      </c>
      <c r="D119" t="s">
        <v>1246</v>
      </c>
      <c r="E119" t="s">
        <v>376</v>
      </c>
      <c r="F119" t="s">
        <v>30</v>
      </c>
      <c r="G119" s="145">
        <v>1</v>
      </c>
      <c r="H119" s="118"/>
      <c r="I119" s="118">
        <v>583.04999999999995</v>
      </c>
      <c r="J119" s="118">
        <v>479.52</v>
      </c>
      <c r="K119" t="s">
        <v>1247</v>
      </c>
      <c r="L119" s="146" t="s">
        <v>1367</v>
      </c>
    </row>
    <row r="120" spans="1:12" x14ac:dyDescent="0.25">
      <c r="A120" t="s">
        <v>374</v>
      </c>
      <c r="B120" t="s">
        <v>373</v>
      </c>
      <c r="C120" t="s">
        <v>130</v>
      </c>
      <c r="D120" t="s">
        <v>1250</v>
      </c>
      <c r="E120" t="s">
        <v>818</v>
      </c>
      <c r="F120" t="s">
        <v>30</v>
      </c>
      <c r="G120" s="145">
        <v>1.4464244387873177E-2</v>
      </c>
      <c r="H120" s="118"/>
      <c r="I120" s="118">
        <v>5</v>
      </c>
      <c r="J120" s="118"/>
      <c r="K120" t="s">
        <v>1251</v>
      </c>
      <c r="L120" s="146" t="s">
        <v>1368</v>
      </c>
    </row>
    <row r="121" spans="1:12" x14ac:dyDescent="0.25">
      <c r="A121" t="s">
        <v>374</v>
      </c>
      <c r="B121" t="s">
        <v>373</v>
      </c>
      <c r="C121" t="s">
        <v>130</v>
      </c>
      <c r="D121" t="s">
        <v>1250</v>
      </c>
      <c r="E121" t="s">
        <v>822</v>
      </c>
      <c r="F121" t="s">
        <v>30</v>
      </c>
      <c r="G121" s="145">
        <v>1.4464244387873177E-3</v>
      </c>
      <c r="H121" s="118"/>
      <c r="I121" s="118">
        <v>0.5</v>
      </c>
      <c r="J121" s="118"/>
      <c r="K121" t="s">
        <v>1251</v>
      </c>
      <c r="L121" s="146" t="s">
        <v>1369</v>
      </c>
    </row>
    <row r="122" spans="1:12" x14ac:dyDescent="0.25">
      <c r="A122" t="s">
        <v>374</v>
      </c>
      <c r="B122" t="s">
        <v>373</v>
      </c>
      <c r="C122" t="s">
        <v>130</v>
      </c>
      <c r="D122" t="s">
        <v>1250</v>
      </c>
      <c r="E122" t="s">
        <v>826</v>
      </c>
      <c r="F122" t="s">
        <v>30</v>
      </c>
      <c r="G122" s="145">
        <v>5.7856977551492706E-3</v>
      </c>
      <c r="H122" s="118"/>
      <c r="I122" s="118">
        <v>2</v>
      </c>
      <c r="J122" s="118"/>
      <c r="K122" t="s">
        <v>1251</v>
      </c>
      <c r="L122" s="146" t="s">
        <v>1370</v>
      </c>
    </row>
    <row r="123" spans="1:12" x14ac:dyDescent="0.25">
      <c r="A123" t="s">
        <v>374</v>
      </c>
      <c r="B123" t="s">
        <v>373</v>
      </c>
      <c r="C123" t="s">
        <v>130</v>
      </c>
      <c r="D123" t="s">
        <v>1250</v>
      </c>
      <c r="E123" t="s">
        <v>145</v>
      </c>
      <c r="F123" t="s">
        <v>144</v>
      </c>
      <c r="G123" s="145">
        <v>4.1491127488215472E-3</v>
      </c>
      <c r="H123" s="118"/>
      <c r="I123" s="118">
        <v>2</v>
      </c>
      <c r="J123" s="118">
        <v>3.6</v>
      </c>
      <c r="L123" s="146" t="s">
        <v>1371</v>
      </c>
    </row>
    <row r="124" spans="1:12" x14ac:dyDescent="0.25">
      <c r="A124" t="s">
        <v>374</v>
      </c>
      <c r="B124" t="s">
        <v>373</v>
      </c>
      <c r="C124" t="s">
        <v>130</v>
      </c>
      <c r="D124" t="s">
        <v>1250</v>
      </c>
      <c r="E124" t="s">
        <v>372</v>
      </c>
      <c r="F124" t="s">
        <v>144</v>
      </c>
      <c r="G124" s="145">
        <v>7.882848274378438E-3</v>
      </c>
      <c r="H124" s="118">
        <v>5.13</v>
      </c>
      <c r="I124" s="118"/>
      <c r="J124" s="118"/>
      <c r="K124" t="s">
        <v>1251</v>
      </c>
      <c r="L124" s="146" t="s">
        <v>1372</v>
      </c>
    </row>
    <row r="125" spans="1:12" x14ac:dyDescent="0.25">
      <c r="A125" t="s">
        <v>374</v>
      </c>
      <c r="B125" t="s">
        <v>373</v>
      </c>
      <c r="C125" t="s">
        <v>130</v>
      </c>
      <c r="D125" t="s">
        <v>1246</v>
      </c>
      <c r="E125" t="s">
        <v>369</v>
      </c>
      <c r="F125" t="s">
        <v>130</v>
      </c>
      <c r="G125" s="145">
        <v>1</v>
      </c>
      <c r="H125" s="118">
        <v>650.78</v>
      </c>
      <c r="I125" s="118">
        <v>345.68</v>
      </c>
      <c r="J125" s="118">
        <v>1432.82</v>
      </c>
      <c r="K125" t="s">
        <v>1247</v>
      </c>
      <c r="L125" s="146" t="s">
        <v>1373</v>
      </c>
    </row>
    <row r="126" spans="1:12" x14ac:dyDescent="0.25">
      <c r="A126" t="s">
        <v>368</v>
      </c>
      <c r="B126" t="s">
        <v>367</v>
      </c>
      <c r="C126" t="s">
        <v>130</v>
      </c>
      <c r="D126" t="s">
        <v>1250</v>
      </c>
      <c r="E126" t="s">
        <v>790</v>
      </c>
      <c r="F126" t="s">
        <v>8</v>
      </c>
      <c r="G126" s="145">
        <v>1.216397512217684E-2</v>
      </c>
      <c r="H126" s="118">
        <v>3</v>
      </c>
      <c r="I126" s="118">
        <v>3</v>
      </c>
      <c r="J126" s="118">
        <v>5</v>
      </c>
      <c r="L126" s="146" t="s">
        <v>1374</v>
      </c>
    </row>
    <row r="127" spans="1:12" x14ac:dyDescent="0.25">
      <c r="A127" t="s">
        <v>368</v>
      </c>
      <c r="B127" t="s">
        <v>367</v>
      </c>
      <c r="C127" t="s">
        <v>130</v>
      </c>
      <c r="D127" t="s">
        <v>1250</v>
      </c>
      <c r="E127" t="s">
        <v>364</v>
      </c>
      <c r="F127" t="s">
        <v>30</v>
      </c>
      <c r="G127" s="145">
        <v>7.9321012136114866E-3</v>
      </c>
      <c r="H127" s="118"/>
      <c r="I127" s="118"/>
      <c r="J127" s="118">
        <v>4</v>
      </c>
      <c r="K127" t="s">
        <v>1251</v>
      </c>
      <c r="L127" s="146" t="s">
        <v>1375</v>
      </c>
    </row>
    <row r="128" spans="1:12" x14ac:dyDescent="0.25">
      <c r="A128" t="s">
        <v>368</v>
      </c>
      <c r="B128" t="s">
        <v>367</v>
      </c>
      <c r="C128" t="s">
        <v>130</v>
      </c>
      <c r="D128" t="s">
        <v>1250</v>
      </c>
      <c r="E128" t="s">
        <v>824</v>
      </c>
      <c r="F128" t="s">
        <v>30</v>
      </c>
      <c r="G128" s="145">
        <v>7.4040044300236682E-3</v>
      </c>
      <c r="H128" s="118">
        <v>1.5</v>
      </c>
      <c r="I128" s="118">
        <v>1.5</v>
      </c>
      <c r="J128" s="118">
        <v>4.5</v>
      </c>
      <c r="L128" s="146" t="s">
        <v>1376</v>
      </c>
    </row>
    <row r="129" spans="1:12" x14ac:dyDescent="0.25">
      <c r="A129" t="s">
        <v>368</v>
      </c>
      <c r="B129" t="s">
        <v>367</v>
      </c>
      <c r="C129" t="s">
        <v>130</v>
      </c>
      <c r="D129" t="s">
        <v>1250</v>
      </c>
      <c r="E129" t="s">
        <v>820</v>
      </c>
      <c r="F129" t="s">
        <v>30</v>
      </c>
      <c r="G129" s="145">
        <v>4.5628580968349819E-2</v>
      </c>
      <c r="H129" s="118">
        <v>25.5</v>
      </c>
      <c r="I129" s="118"/>
      <c r="J129" s="118">
        <v>6.5</v>
      </c>
      <c r="K129" t="s">
        <v>1249</v>
      </c>
      <c r="L129" s="146" t="s">
        <v>1377</v>
      </c>
    </row>
    <row r="130" spans="1:12" x14ac:dyDescent="0.25">
      <c r="A130" t="s">
        <v>368</v>
      </c>
      <c r="B130" t="s">
        <v>367</v>
      </c>
      <c r="C130" t="s">
        <v>130</v>
      </c>
      <c r="D130" t="s">
        <v>1250</v>
      </c>
      <c r="E130" t="s">
        <v>836</v>
      </c>
      <c r="F130" t="s">
        <v>15</v>
      </c>
      <c r="G130" s="145">
        <v>0.13881177123820101</v>
      </c>
      <c r="H130" s="118"/>
      <c r="I130" s="118"/>
      <c r="J130" s="118">
        <v>70</v>
      </c>
      <c r="K130" t="s">
        <v>1251</v>
      </c>
      <c r="L130" s="146" t="s">
        <v>1378</v>
      </c>
    </row>
    <row r="131" spans="1:12" x14ac:dyDescent="0.25">
      <c r="A131" t="s">
        <v>368</v>
      </c>
      <c r="B131" t="s">
        <v>367</v>
      </c>
      <c r="C131" t="s">
        <v>130</v>
      </c>
      <c r="D131" t="s">
        <v>1250</v>
      </c>
      <c r="E131" t="s">
        <v>846</v>
      </c>
      <c r="F131" t="s">
        <v>15</v>
      </c>
      <c r="G131" s="145">
        <v>2.5281302490461604E-3</v>
      </c>
      <c r="H131" s="118">
        <v>1</v>
      </c>
      <c r="I131" s="118"/>
      <c r="J131" s="118">
        <v>1</v>
      </c>
      <c r="L131" s="146" t="s">
        <v>1379</v>
      </c>
    </row>
    <row r="132" spans="1:12" x14ac:dyDescent="0.25">
      <c r="A132" t="s">
        <v>368</v>
      </c>
      <c r="B132" t="s">
        <v>367</v>
      </c>
      <c r="C132" t="s">
        <v>130</v>
      </c>
      <c r="D132" t="s">
        <v>1250</v>
      </c>
      <c r="E132" t="s">
        <v>876</v>
      </c>
      <c r="F132" t="s">
        <v>23</v>
      </c>
      <c r="G132" s="145">
        <v>1.6576166335997237E-2</v>
      </c>
      <c r="H132" s="118"/>
      <c r="I132" s="118">
        <v>5</v>
      </c>
      <c r="J132" s="118">
        <v>2.13</v>
      </c>
      <c r="K132" t="s">
        <v>1249</v>
      </c>
      <c r="L132" s="146" t="s">
        <v>1380</v>
      </c>
    </row>
    <row r="133" spans="1:12" x14ac:dyDescent="0.25">
      <c r="A133" t="s">
        <v>368</v>
      </c>
      <c r="B133" t="s">
        <v>367</v>
      </c>
      <c r="C133" t="s">
        <v>130</v>
      </c>
      <c r="D133" t="s">
        <v>1250</v>
      </c>
      <c r="E133" t="s">
        <v>47</v>
      </c>
      <c r="F133" t="s">
        <v>6</v>
      </c>
      <c r="G133" s="145">
        <v>7.8225980253052774E-2</v>
      </c>
      <c r="H133" s="118">
        <v>24.5</v>
      </c>
      <c r="I133" s="118">
        <v>16.579999999999998</v>
      </c>
      <c r="J133" s="118">
        <v>32</v>
      </c>
      <c r="L133" s="146" t="s">
        <v>1381</v>
      </c>
    </row>
    <row r="134" spans="1:12" x14ac:dyDescent="0.25">
      <c r="A134" t="s">
        <v>368</v>
      </c>
      <c r="B134" t="s">
        <v>367</v>
      </c>
      <c r="C134" t="s">
        <v>130</v>
      </c>
      <c r="D134" t="s">
        <v>1250</v>
      </c>
      <c r="E134" t="s">
        <v>889</v>
      </c>
      <c r="F134" t="s">
        <v>6</v>
      </c>
      <c r="G134" s="145">
        <v>0.13272521811525992</v>
      </c>
      <c r="H134" s="118">
        <v>36.979999999999997</v>
      </c>
      <c r="I134" s="118">
        <v>24.5</v>
      </c>
      <c r="J134" s="118">
        <v>72</v>
      </c>
      <c r="L134" s="146" t="s">
        <v>1382</v>
      </c>
    </row>
    <row r="135" spans="1:12" x14ac:dyDescent="0.25">
      <c r="A135" t="s">
        <v>368</v>
      </c>
      <c r="B135" t="s">
        <v>367</v>
      </c>
      <c r="C135" t="s">
        <v>130</v>
      </c>
      <c r="D135" t="s">
        <v>1250</v>
      </c>
      <c r="E135" t="s">
        <v>939</v>
      </c>
      <c r="F135" t="s">
        <v>15</v>
      </c>
      <c r="G135" s="145">
        <v>2.7659116752205046E-2</v>
      </c>
      <c r="H135" s="118">
        <v>9</v>
      </c>
      <c r="I135" s="118">
        <v>25</v>
      </c>
      <c r="J135" s="118">
        <v>9</v>
      </c>
      <c r="K135" t="s">
        <v>1249</v>
      </c>
      <c r="L135" s="146" t="s">
        <v>1383</v>
      </c>
    </row>
    <row r="136" spans="1:12" x14ac:dyDescent="0.25">
      <c r="A136" t="s">
        <v>368</v>
      </c>
      <c r="B136" t="s">
        <v>367</v>
      </c>
      <c r="C136" t="s">
        <v>130</v>
      </c>
      <c r="D136" t="s">
        <v>1250</v>
      </c>
      <c r="E136" t="s">
        <v>943</v>
      </c>
      <c r="F136" t="s">
        <v>15</v>
      </c>
      <c r="G136" s="145">
        <v>1.9830253034028716E-2</v>
      </c>
      <c r="H136" s="118"/>
      <c r="I136" s="118"/>
      <c r="J136" s="118">
        <v>10</v>
      </c>
      <c r="K136" t="s">
        <v>1251</v>
      </c>
      <c r="L136" s="146" t="s">
        <v>1384</v>
      </c>
    </row>
    <row r="137" spans="1:12" x14ac:dyDescent="0.25">
      <c r="A137" t="s">
        <v>368</v>
      </c>
      <c r="B137" t="s">
        <v>367</v>
      </c>
      <c r="C137" t="s">
        <v>130</v>
      </c>
      <c r="D137" t="s">
        <v>1250</v>
      </c>
      <c r="E137" t="s">
        <v>603</v>
      </c>
      <c r="F137" t="s">
        <v>6</v>
      </c>
      <c r="G137" s="145">
        <v>5.9885548060426713E-4</v>
      </c>
      <c r="H137" s="118">
        <v>0.08</v>
      </c>
      <c r="I137" s="118"/>
      <c r="J137" s="118">
        <v>0.48</v>
      </c>
      <c r="K137" t="s">
        <v>1249</v>
      </c>
      <c r="L137" s="146" t="s">
        <v>1385</v>
      </c>
    </row>
    <row r="138" spans="1:12" x14ac:dyDescent="0.25">
      <c r="A138" t="s">
        <v>368</v>
      </c>
      <c r="B138" t="s">
        <v>367</v>
      </c>
      <c r="C138" t="s">
        <v>130</v>
      </c>
      <c r="D138" t="s">
        <v>1250</v>
      </c>
      <c r="E138" t="s">
        <v>976</v>
      </c>
      <c r="F138" t="s">
        <v>15</v>
      </c>
      <c r="G138" s="145">
        <v>2.9745379551043075E-2</v>
      </c>
      <c r="H138" s="118"/>
      <c r="I138" s="118"/>
      <c r="J138" s="118">
        <v>15</v>
      </c>
      <c r="K138" t="s">
        <v>1251</v>
      </c>
      <c r="L138" s="146" t="s">
        <v>1386</v>
      </c>
    </row>
    <row r="139" spans="1:12" x14ac:dyDescent="0.25">
      <c r="A139" t="s">
        <v>368</v>
      </c>
      <c r="B139" t="s">
        <v>367</v>
      </c>
      <c r="C139" t="s">
        <v>130</v>
      </c>
      <c r="D139" t="s">
        <v>1250</v>
      </c>
      <c r="E139" t="s">
        <v>602</v>
      </c>
      <c r="F139" t="s">
        <v>6</v>
      </c>
      <c r="G139" s="145">
        <v>6.1671178884659301E-4</v>
      </c>
      <c r="H139" s="118">
        <v>0.04</v>
      </c>
      <c r="I139" s="118"/>
      <c r="J139" s="118">
        <v>0.56000000000000005</v>
      </c>
      <c r="K139" t="s">
        <v>1249</v>
      </c>
      <c r="L139" s="146" t="s">
        <v>1387</v>
      </c>
    </row>
    <row r="140" spans="1:12" x14ac:dyDescent="0.25">
      <c r="A140" t="s">
        <v>368</v>
      </c>
      <c r="B140" t="s">
        <v>367</v>
      </c>
      <c r="C140" t="s">
        <v>130</v>
      </c>
      <c r="D140" t="s">
        <v>1250</v>
      </c>
      <c r="E140" t="s">
        <v>360</v>
      </c>
      <c r="F140" t="s">
        <v>15</v>
      </c>
      <c r="G140" s="145">
        <v>1.9830253034028716E-3</v>
      </c>
      <c r="H140" s="118"/>
      <c r="I140" s="118"/>
      <c r="J140" s="118">
        <v>1</v>
      </c>
      <c r="K140" t="s">
        <v>1251</v>
      </c>
      <c r="L140" s="146" t="s">
        <v>1388</v>
      </c>
    </row>
    <row r="141" spans="1:12" x14ac:dyDescent="0.25">
      <c r="A141" t="s">
        <v>368</v>
      </c>
      <c r="B141" t="s">
        <v>367</v>
      </c>
      <c r="C141" t="s">
        <v>130</v>
      </c>
      <c r="D141" t="s">
        <v>1250</v>
      </c>
      <c r="E141" t="s">
        <v>606</v>
      </c>
      <c r="F141" t="s">
        <v>15</v>
      </c>
      <c r="G141" s="145">
        <v>0.1745062266994527</v>
      </c>
      <c r="H141" s="118">
        <v>31</v>
      </c>
      <c r="I141" s="118">
        <v>55</v>
      </c>
      <c r="J141" s="118">
        <v>88</v>
      </c>
      <c r="K141" t="s">
        <v>1249</v>
      </c>
      <c r="L141" s="146" t="s">
        <v>1389</v>
      </c>
    </row>
    <row r="142" spans="1:12" x14ac:dyDescent="0.25">
      <c r="A142" t="s">
        <v>368</v>
      </c>
      <c r="B142" t="s">
        <v>367</v>
      </c>
      <c r="C142" t="s">
        <v>130</v>
      </c>
      <c r="D142" t="s">
        <v>1246</v>
      </c>
      <c r="E142" t="s">
        <v>1080</v>
      </c>
      <c r="F142" t="s">
        <v>130</v>
      </c>
      <c r="G142" s="145">
        <v>1</v>
      </c>
      <c r="H142" s="118">
        <v>325.39</v>
      </c>
      <c r="I142" s="118">
        <v>172.84</v>
      </c>
      <c r="J142" s="118">
        <v>504.28</v>
      </c>
      <c r="K142" t="s">
        <v>1247</v>
      </c>
      <c r="L142" s="146" t="s">
        <v>1390</v>
      </c>
    </row>
    <row r="143" spans="1:12" x14ac:dyDescent="0.25">
      <c r="A143" t="s">
        <v>368</v>
      </c>
      <c r="B143" t="s">
        <v>367</v>
      </c>
      <c r="C143" t="s">
        <v>130</v>
      </c>
      <c r="D143" t="s">
        <v>1248</v>
      </c>
      <c r="E143" t="s">
        <v>1188</v>
      </c>
      <c r="F143" t="s">
        <v>15</v>
      </c>
      <c r="G143" s="145">
        <v>6.2231473545946811E-2</v>
      </c>
      <c r="H143" s="118"/>
      <c r="I143" s="118">
        <v>15</v>
      </c>
      <c r="J143" s="118">
        <v>19</v>
      </c>
      <c r="L143" s="146" t="s">
        <v>1391</v>
      </c>
    </row>
    <row r="144" spans="1:12" x14ac:dyDescent="0.25">
      <c r="A144" t="s">
        <v>368</v>
      </c>
      <c r="B144" t="s">
        <v>367</v>
      </c>
      <c r="C144" t="s">
        <v>130</v>
      </c>
      <c r="D144" t="s">
        <v>1248</v>
      </c>
      <c r="E144" t="s">
        <v>1182</v>
      </c>
      <c r="F144" t="s">
        <v>356</v>
      </c>
      <c r="G144" s="145">
        <v>3.9660506068057433E-3</v>
      </c>
      <c r="H144" s="118"/>
      <c r="I144" s="118"/>
      <c r="J144" s="118">
        <v>2</v>
      </c>
      <c r="K144" t="s">
        <v>1251</v>
      </c>
      <c r="L144" s="146" t="s">
        <v>1392</v>
      </c>
    </row>
    <row r="145" spans="1:12" x14ac:dyDescent="0.25">
      <c r="A145" t="s">
        <v>368</v>
      </c>
      <c r="B145" t="s">
        <v>367</v>
      </c>
      <c r="C145" t="s">
        <v>130</v>
      </c>
      <c r="D145" t="s">
        <v>1248</v>
      </c>
      <c r="E145" t="s">
        <v>1184</v>
      </c>
      <c r="F145" t="s">
        <v>15</v>
      </c>
      <c r="G145" s="145">
        <v>6.0477731497937566E-3</v>
      </c>
      <c r="H145" s="118">
        <v>2</v>
      </c>
      <c r="I145" s="118"/>
      <c r="J145" s="118">
        <v>3</v>
      </c>
      <c r="L145" s="146" t="s">
        <v>1393</v>
      </c>
    </row>
    <row r="146" spans="1:12" x14ac:dyDescent="0.25">
      <c r="A146" t="s">
        <v>368</v>
      </c>
      <c r="B146" t="s">
        <v>367</v>
      </c>
      <c r="C146" t="s">
        <v>130</v>
      </c>
      <c r="D146" t="s">
        <v>1248</v>
      </c>
      <c r="E146" t="s">
        <v>1200</v>
      </c>
      <c r="F146" t="s">
        <v>15</v>
      </c>
      <c r="G146" s="145">
        <v>5.5638096242316875E-3</v>
      </c>
      <c r="H146" s="118">
        <v>2</v>
      </c>
      <c r="I146" s="118">
        <v>1</v>
      </c>
      <c r="J146" s="118">
        <v>2.4</v>
      </c>
      <c r="L146" s="146" t="s">
        <v>1394</v>
      </c>
    </row>
    <row r="147" spans="1:12" x14ac:dyDescent="0.25">
      <c r="A147" t="s">
        <v>368</v>
      </c>
      <c r="B147" t="s">
        <v>367</v>
      </c>
      <c r="C147" t="s">
        <v>130</v>
      </c>
      <c r="D147" t="s">
        <v>1248</v>
      </c>
      <c r="E147" t="s">
        <v>1203</v>
      </c>
      <c r="F147" t="s">
        <v>6</v>
      </c>
      <c r="G147" s="145">
        <v>7.8225980253052774E-2</v>
      </c>
      <c r="H147" s="118">
        <v>24.5</v>
      </c>
      <c r="I147" s="118">
        <v>16.579999999999998</v>
      </c>
      <c r="J147" s="118">
        <v>32</v>
      </c>
      <c r="L147" s="146" t="s">
        <v>1395</v>
      </c>
    </row>
    <row r="148" spans="1:12" x14ac:dyDescent="0.25">
      <c r="A148" t="s">
        <v>368</v>
      </c>
      <c r="B148" t="s">
        <v>367</v>
      </c>
      <c r="C148" t="s">
        <v>130</v>
      </c>
      <c r="D148" t="s">
        <v>1248</v>
      </c>
      <c r="E148" t="s">
        <v>1217</v>
      </c>
      <c r="F148" t="s">
        <v>78</v>
      </c>
      <c r="G148" s="145">
        <v>3.4569489027759318E-3</v>
      </c>
      <c r="H148" s="118">
        <v>0.95920000000000005</v>
      </c>
      <c r="I148" s="118"/>
      <c r="J148" s="118">
        <v>2</v>
      </c>
      <c r="L148" s="146" t="s">
        <v>1396</v>
      </c>
    </row>
    <row r="149" spans="1:12" x14ac:dyDescent="0.25">
      <c r="A149" t="s">
        <v>368</v>
      </c>
      <c r="B149" t="s">
        <v>367</v>
      </c>
      <c r="C149" t="s">
        <v>130</v>
      </c>
      <c r="D149" t="s">
        <v>1248</v>
      </c>
      <c r="E149" t="s">
        <v>1219</v>
      </c>
      <c r="F149" t="s">
        <v>78</v>
      </c>
      <c r="G149" s="145">
        <v>5.7059055964700123E-2</v>
      </c>
      <c r="H149" s="118">
        <v>11</v>
      </c>
      <c r="I149" s="118"/>
      <c r="J149" s="118">
        <v>40.5</v>
      </c>
      <c r="L149" s="146" t="s">
        <v>1397</v>
      </c>
    </row>
    <row r="150" spans="1:12" x14ac:dyDescent="0.25">
      <c r="A150" t="s">
        <v>355</v>
      </c>
      <c r="B150" t="s">
        <v>354</v>
      </c>
      <c r="C150" t="s">
        <v>58</v>
      </c>
      <c r="D150" t="s">
        <v>1250</v>
      </c>
      <c r="E150" t="s">
        <v>953</v>
      </c>
      <c r="F150" t="s">
        <v>15</v>
      </c>
      <c r="G150" s="145">
        <v>0.3546099290780142</v>
      </c>
      <c r="H150" s="118"/>
      <c r="I150" s="118">
        <v>5</v>
      </c>
      <c r="J150" s="118"/>
      <c r="K150" t="s">
        <v>1251</v>
      </c>
      <c r="L150" s="146" t="s">
        <v>1398</v>
      </c>
    </row>
    <row r="151" spans="1:12" x14ac:dyDescent="0.25">
      <c r="A151" t="s">
        <v>355</v>
      </c>
      <c r="B151" t="s">
        <v>354</v>
      </c>
      <c r="C151" t="s">
        <v>58</v>
      </c>
      <c r="D151" t="s">
        <v>1246</v>
      </c>
      <c r="E151" t="s">
        <v>353</v>
      </c>
      <c r="F151" t="s">
        <v>58</v>
      </c>
      <c r="G151" s="145">
        <v>1</v>
      </c>
      <c r="H151" s="118"/>
      <c r="I151" s="118">
        <v>14.1</v>
      </c>
      <c r="J151" s="118"/>
      <c r="K151" t="s">
        <v>1251</v>
      </c>
      <c r="L151" s="146" t="s">
        <v>1399</v>
      </c>
    </row>
    <row r="152" spans="1:12" x14ac:dyDescent="0.25">
      <c r="A152" t="s">
        <v>351</v>
      </c>
      <c r="B152" t="s">
        <v>350</v>
      </c>
      <c r="C152" t="s">
        <v>6</v>
      </c>
      <c r="D152" t="s">
        <v>1250</v>
      </c>
      <c r="E152" t="s">
        <v>790</v>
      </c>
      <c r="F152" t="s">
        <v>174</v>
      </c>
      <c r="G152" s="145">
        <v>2.9520295202952029</v>
      </c>
      <c r="H152" s="118">
        <v>13</v>
      </c>
      <c r="I152" s="118">
        <v>8</v>
      </c>
      <c r="J152" s="118">
        <v>8</v>
      </c>
      <c r="K152" t="s">
        <v>1249</v>
      </c>
      <c r="L152" s="146" t="s">
        <v>1400</v>
      </c>
    </row>
    <row r="153" spans="1:12" x14ac:dyDescent="0.25">
      <c r="A153" t="s">
        <v>351</v>
      </c>
      <c r="B153" t="s">
        <v>350</v>
      </c>
      <c r="C153" t="s">
        <v>6</v>
      </c>
      <c r="D153" t="s">
        <v>1250</v>
      </c>
      <c r="E153" t="s">
        <v>603</v>
      </c>
      <c r="F153" t="s">
        <v>6</v>
      </c>
      <c r="G153" s="145">
        <v>0.52029520295202947</v>
      </c>
      <c r="H153" s="118">
        <v>1.68</v>
      </c>
      <c r="I153" s="118">
        <v>1.41</v>
      </c>
      <c r="J153" s="118">
        <v>0.48</v>
      </c>
      <c r="K153" t="s">
        <v>1249</v>
      </c>
      <c r="L153" s="146" t="s">
        <v>1401</v>
      </c>
    </row>
    <row r="154" spans="1:12" x14ac:dyDescent="0.25">
      <c r="A154" t="s">
        <v>351</v>
      </c>
      <c r="B154" t="s">
        <v>350</v>
      </c>
      <c r="C154" t="s">
        <v>6</v>
      </c>
      <c r="D154" t="s">
        <v>1250</v>
      </c>
      <c r="E154" t="s">
        <v>602</v>
      </c>
      <c r="F154" t="s">
        <v>6</v>
      </c>
      <c r="G154" s="145">
        <v>0.605463902172654</v>
      </c>
      <c r="H154" s="118">
        <v>1.68</v>
      </c>
      <c r="I154" s="118">
        <v>1.24</v>
      </c>
      <c r="J154" s="118"/>
      <c r="L154" s="146" t="s">
        <v>1402</v>
      </c>
    </row>
    <row r="155" spans="1:12" x14ac:dyDescent="0.25">
      <c r="A155" t="s">
        <v>351</v>
      </c>
      <c r="B155" t="s">
        <v>350</v>
      </c>
      <c r="C155" t="s">
        <v>6</v>
      </c>
      <c r="D155" t="s">
        <v>1246</v>
      </c>
      <c r="E155" t="s">
        <v>349</v>
      </c>
      <c r="F155" t="s">
        <v>6</v>
      </c>
      <c r="G155" s="145">
        <v>1</v>
      </c>
      <c r="H155" s="118">
        <v>2.23</v>
      </c>
      <c r="I155" s="118">
        <v>2.71</v>
      </c>
      <c r="J155" s="118">
        <v>12.24</v>
      </c>
      <c r="K155" t="s">
        <v>1247</v>
      </c>
      <c r="L155" s="146" t="s">
        <v>1403</v>
      </c>
    </row>
    <row r="156" spans="1:12" x14ac:dyDescent="0.25">
      <c r="A156" t="s">
        <v>347</v>
      </c>
      <c r="B156" t="s">
        <v>346</v>
      </c>
      <c r="C156" t="s">
        <v>6</v>
      </c>
      <c r="D156" t="s">
        <v>1250</v>
      </c>
      <c r="E156" t="s">
        <v>47</v>
      </c>
      <c r="F156" t="s">
        <v>6</v>
      </c>
      <c r="G156" s="145">
        <v>1</v>
      </c>
      <c r="H156" s="118">
        <v>22</v>
      </c>
      <c r="I156" s="118">
        <v>10</v>
      </c>
      <c r="J156" s="118">
        <v>45</v>
      </c>
      <c r="L156" s="146" t="s">
        <v>1404</v>
      </c>
    </row>
    <row r="157" spans="1:12" x14ac:dyDescent="0.25">
      <c r="A157" t="s">
        <v>347</v>
      </c>
      <c r="B157" t="s">
        <v>346</v>
      </c>
      <c r="C157" t="s">
        <v>6</v>
      </c>
      <c r="D157" t="s">
        <v>1246</v>
      </c>
      <c r="E157" t="s">
        <v>344</v>
      </c>
      <c r="F157" t="s">
        <v>6</v>
      </c>
      <c r="G157" s="145">
        <v>1</v>
      </c>
      <c r="H157" s="118">
        <v>22</v>
      </c>
      <c r="I157" s="118">
        <v>10</v>
      </c>
      <c r="J157" s="118">
        <v>45</v>
      </c>
      <c r="K157" t="s">
        <v>1247</v>
      </c>
      <c r="L157" s="146" t="s">
        <v>1405</v>
      </c>
    </row>
    <row r="158" spans="1:12" x14ac:dyDescent="0.25">
      <c r="A158" t="s">
        <v>347</v>
      </c>
      <c r="B158" t="s">
        <v>346</v>
      </c>
      <c r="C158" t="s">
        <v>6</v>
      </c>
      <c r="D158" t="s">
        <v>1248</v>
      </c>
      <c r="E158" t="s">
        <v>1200</v>
      </c>
      <c r="F158" t="s">
        <v>15</v>
      </c>
      <c r="G158" s="145">
        <v>7.8451919191919198E-2</v>
      </c>
      <c r="H158" s="118">
        <v>2</v>
      </c>
      <c r="I158" s="118">
        <v>1</v>
      </c>
      <c r="J158" s="118">
        <v>2.0001000000000002</v>
      </c>
      <c r="L158" s="146" t="s">
        <v>1406</v>
      </c>
    </row>
    <row r="159" spans="1:12" x14ac:dyDescent="0.25">
      <c r="A159" t="s">
        <v>347</v>
      </c>
      <c r="B159" t="s">
        <v>346</v>
      </c>
      <c r="C159" t="s">
        <v>6</v>
      </c>
      <c r="D159" t="s">
        <v>1248</v>
      </c>
      <c r="E159" t="s">
        <v>1203</v>
      </c>
      <c r="F159" t="s">
        <v>6</v>
      </c>
      <c r="G159" s="145">
        <v>1</v>
      </c>
      <c r="H159" s="118">
        <v>22</v>
      </c>
      <c r="I159" s="118">
        <v>10</v>
      </c>
      <c r="J159" s="118">
        <v>45</v>
      </c>
      <c r="L159" s="146" t="s">
        <v>1407</v>
      </c>
    </row>
    <row r="160" spans="1:12" x14ac:dyDescent="0.25">
      <c r="A160" t="s">
        <v>343</v>
      </c>
      <c r="B160" t="s">
        <v>342</v>
      </c>
      <c r="C160" t="s">
        <v>6</v>
      </c>
      <c r="D160" t="s">
        <v>1250</v>
      </c>
      <c r="E160" t="s">
        <v>788</v>
      </c>
      <c r="F160" t="s">
        <v>8</v>
      </c>
      <c r="G160" s="145">
        <v>8.8888888888888892E-2</v>
      </c>
      <c r="H160" s="118"/>
      <c r="I160" s="118">
        <v>2</v>
      </c>
      <c r="J160" s="118"/>
      <c r="K160" t="s">
        <v>1251</v>
      </c>
      <c r="L160" s="146" t="s">
        <v>1408</v>
      </c>
    </row>
    <row r="161" spans="1:12" x14ac:dyDescent="0.25">
      <c r="A161" t="s">
        <v>343</v>
      </c>
      <c r="B161" t="s">
        <v>342</v>
      </c>
      <c r="C161" t="s">
        <v>6</v>
      </c>
      <c r="D161" t="s">
        <v>1250</v>
      </c>
      <c r="E161" t="s">
        <v>47</v>
      </c>
      <c r="F161" t="s">
        <v>6</v>
      </c>
      <c r="G161" s="145">
        <v>0.98683133468377227</v>
      </c>
      <c r="H161" s="118">
        <v>14.4</v>
      </c>
      <c r="I161" s="118"/>
      <c r="J161" s="118">
        <v>9.0121199999999995</v>
      </c>
      <c r="L161" s="146" t="s">
        <v>1409</v>
      </c>
    </row>
    <row r="162" spans="1:12" x14ac:dyDescent="0.25">
      <c r="A162" t="s">
        <v>343</v>
      </c>
      <c r="B162" t="s">
        <v>342</v>
      </c>
      <c r="C162" t="s">
        <v>6</v>
      </c>
      <c r="D162" t="s">
        <v>1250</v>
      </c>
      <c r="E162" t="s">
        <v>603</v>
      </c>
      <c r="F162" t="s">
        <v>6</v>
      </c>
      <c r="G162" s="145">
        <v>6.5777777777777782E-2</v>
      </c>
      <c r="H162" s="118"/>
      <c r="I162" s="118">
        <v>1.48</v>
      </c>
      <c r="J162" s="118"/>
      <c r="K162" t="s">
        <v>1251</v>
      </c>
      <c r="L162" s="146" t="s">
        <v>1410</v>
      </c>
    </row>
    <row r="163" spans="1:12" x14ac:dyDescent="0.25">
      <c r="A163" t="s">
        <v>343</v>
      </c>
      <c r="B163" t="s">
        <v>342</v>
      </c>
      <c r="C163" t="s">
        <v>6</v>
      </c>
      <c r="D163" t="s">
        <v>1246</v>
      </c>
      <c r="E163" t="s">
        <v>334</v>
      </c>
      <c r="F163" t="s">
        <v>6</v>
      </c>
      <c r="G163" s="145">
        <v>1</v>
      </c>
      <c r="H163" s="118">
        <v>14.81</v>
      </c>
      <c r="I163" s="118">
        <v>22.5</v>
      </c>
      <c r="J163" s="118">
        <v>9</v>
      </c>
      <c r="K163" t="s">
        <v>1247</v>
      </c>
      <c r="L163" s="146" t="s">
        <v>1411</v>
      </c>
    </row>
    <row r="164" spans="1:12" x14ac:dyDescent="0.25">
      <c r="A164" t="s">
        <v>343</v>
      </c>
      <c r="B164" t="s">
        <v>342</v>
      </c>
      <c r="C164" t="s">
        <v>6</v>
      </c>
      <c r="D164" t="s">
        <v>1248</v>
      </c>
      <c r="E164" t="s">
        <v>1203</v>
      </c>
      <c r="F164" t="s">
        <v>6</v>
      </c>
      <c r="G164" s="145">
        <v>1.4729893360342112</v>
      </c>
      <c r="H164" s="118">
        <v>28.8</v>
      </c>
      <c r="I164" s="118"/>
      <c r="J164" s="118">
        <v>9.0121199999999995</v>
      </c>
      <c r="L164" s="146" t="s">
        <v>1412</v>
      </c>
    </row>
    <row r="165" spans="1:12" x14ac:dyDescent="0.25">
      <c r="A165" t="s">
        <v>341</v>
      </c>
      <c r="B165" t="s">
        <v>340</v>
      </c>
      <c r="C165" t="s">
        <v>6</v>
      </c>
      <c r="D165" t="s">
        <v>1250</v>
      </c>
      <c r="E165" t="s">
        <v>743</v>
      </c>
      <c r="F165" t="s">
        <v>15</v>
      </c>
      <c r="G165" s="145">
        <v>1.8867924528301886E-2</v>
      </c>
      <c r="H165" s="118"/>
      <c r="I165" s="118"/>
      <c r="J165" s="118">
        <v>1</v>
      </c>
      <c r="K165" t="s">
        <v>1251</v>
      </c>
      <c r="L165" s="146" t="s">
        <v>1413</v>
      </c>
    </row>
    <row r="166" spans="1:12" x14ac:dyDescent="0.25">
      <c r="A166" t="s">
        <v>341</v>
      </c>
      <c r="B166" t="s">
        <v>340</v>
      </c>
      <c r="C166" t="s">
        <v>6</v>
      </c>
      <c r="D166" t="s">
        <v>1250</v>
      </c>
      <c r="E166" t="s">
        <v>790</v>
      </c>
      <c r="F166" t="s">
        <v>8</v>
      </c>
      <c r="G166" s="145">
        <v>0.18874334921686362</v>
      </c>
      <c r="H166" s="118">
        <v>3</v>
      </c>
      <c r="I166" s="118"/>
      <c r="J166" s="118">
        <v>2</v>
      </c>
      <c r="K166" t="s">
        <v>1249</v>
      </c>
      <c r="L166" s="146" t="s">
        <v>1414</v>
      </c>
    </row>
    <row r="167" spans="1:12" x14ac:dyDescent="0.25">
      <c r="A167" t="s">
        <v>341</v>
      </c>
      <c r="B167" t="s">
        <v>340</v>
      </c>
      <c r="C167" t="s">
        <v>6</v>
      </c>
      <c r="D167" t="s">
        <v>1250</v>
      </c>
      <c r="E167" t="s">
        <v>856</v>
      </c>
      <c r="F167" t="s">
        <v>15</v>
      </c>
      <c r="G167" s="145">
        <v>0.55662514156285392</v>
      </c>
      <c r="H167" s="118">
        <v>1</v>
      </c>
      <c r="I167" s="118"/>
      <c r="J167" s="118">
        <v>53</v>
      </c>
      <c r="K167" t="s">
        <v>1249</v>
      </c>
      <c r="L167" s="146" t="s">
        <v>1415</v>
      </c>
    </row>
    <row r="168" spans="1:12" x14ac:dyDescent="0.25">
      <c r="A168" t="s">
        <v>341</v>
      </c>
      <c r="B168" t="s">
        <v>340</v>
      </c>
      <c r="C168" t="s">
        <v>6</v>
      </c>
      <c r="D168" t="s">
        <v>1250</v>
      </c>
      <c r="E168" t="s">
        <v>47</v>
      </c>
      <c r="F168" t="s">
        <v>6</v>
      </c>
      <c r="G168" s="145">
        <v>0.50301886792452832</v>
      </c>
      <c r="H168" s="118">
        <v>8.83</v>
      </c>
      <c r="I168" s="118"/>
      <c r="J168" s="118">
        <v>0.32</v>
      </c>
      <c r="K168" t="s">
        <v>1249</v>
      </c>
      <c r="L168" s="146" t="s">
        <v>1416</v>
      </c>
    </row>
    <row r="169" spans="1:12" x14ac:dyDescent="0.25">
      <c r="A169" t="s">
        <v>341</v>
      </c>
      <c r="B169" t="s">
        <v>340</v>
      </c>
      <c r="C169" t="s">
        <v>6</v>
      </c>
      <c r="D169" t="s">
        <v>1250</v>
      </c>
      <c r="E169" t="s">
        <v>603</v>
      </c>
      <c r="F169" t="s">
        <v>6</v>
      </c>
      <c r="G169" s="145">
        <v>4.5300113250283131E-2</v>
      </c>
      <c r="H169" s="118">
        <v>0.4</v>
      </c>
      <c r="I169" s="118"/>
      <c r="J169" s="118"/>
      <c r="K169" t="s">
        <v>1251</v>
      </c>
      <c r="L169" s="146" t="s">
        <v>1417</v>
      </c>
    </row>
    <row r="170" spans="1:12" x14ac:dyDescent="0.25">
      <c r="A170" t="s">
        <v>341</v>
      </c>
      <c r="B170" t="s">
        <v>340</v>
      </c>
      <c r="C170" t="s">
        <v>6</v>
      </c>
      <c r="D170" t="s">
        <v>1250</v>
      </c>
      <c r="E170" t="s">
        <v>971</v>
      </c>
      <c r="F170" t="s">
        <v>6</v>
      </c>
      <c r="G170" s="145">
        <v>0.16987542468856173</v>
      </c>
      <c r="H170" s="118">
        <v>1.5</v>
      </c>
      <c r="I170" s="118"/>
      <c r="J170" s="118"/>
      <c r="K170" t="s">
        <v>1251</v>
      </c>
      <c r="L170" s="146" t="s">
        <v>1418</v>
      </c>
    </row>
    <row r="171" spans="1:12" x14ac:dyDescent="0.25">
      <c r="A171" t="s">
        <v>341</v>
      </c>
      <c r="B171" t="s">
        <v>340</v>
      </c>
      <c r="C171" t="s">
        <v>6</v>
      </c>
      <c r="D171" t="s">
        <v>1246</v>
      </c>
      <c r="E171" t="s">
        <v>1123</v>
      </c>
      <c r="F171" t="s">
        <v>6</v>
      </c>
      <c r="G171" s="145">
        <v>1</v>
      </c>
      <c r="H171" s="118">
        <v>8.83</v>
      </c>
      <c r="I171" s="118"/>
      <c r="J171" s="118">
        <v>53</v>
      </c>
      <c r="K171" t="s">
        <v>1247</v>
      </c>
      <c r="L171" s="146" t="s">
        <v>1419</v>
      </c>
    </row>
    <row r="172" spans="1:12" x14ac:dyDescent="0.25">
      <c r="A172" t="s">
        <v>341</v>
      </c>
      <c r="B172" t="s">
        <v>340</v>
      </c>
      <c r="C172" t="s">
        <v>6</v>
      </c>
      <c r="D172" t="s">
        <v>1248</v>
      </c>
      <c r="E172" t="s">
        <v>1200</v>
      </c>
      <c r="F172" t="s">
        <v>15</v>
      </c>
      <c r="G172" s="145">
        <v>0.10380551892134447</v>
      </c>
      <c r="H172" s="118">
        <v>1</v>
      </c>
      <c r="I172" s="118"/>
      <c r="J172" s="118">
        <v>5.0011200000000002</v>
      </c>
      <c r="L172" s="146" t="s">
        <v>1420</v>
      </c>
    </row>
    <row r="173" spans="1:12" x14ac:dyDescent="0.25">
      <c r="A173" t="s">
        <v>341</v>
      </c>
      <c r="B173" t="s">
        <v>340</v>
      </c>
      <c r="C173" t="s">
        <v>6</v>
      </c>
      <c r="D173" t="s">
        <v>1248</v>
      </c>
      <c r="E173" t="s">
        <v>1203</v>
      </c>
      <c r="F173" t="s">
        <v>6</v>
      </c>
      <c r="G173" s="145">
        <v>1.5622876557191394</v>
      </c>
      <c r="H173" s="118">
        <v>18.760000000000002</v>
      </c>
      <c r="I173" s="118"/>
      <c r="J173" s="118">
        <v>53</v>
      </c>
      <c r="L173" s="146" t="s">
        <v>1421</v>
      </c>
    </row>
    <row r="174" spans="1:12" x14ac:dyDescent="0.25">
      <c r="A174" t="s">
        <v>341</v>
      </c>
      <c r="B174" t="s">
        <v>340</v>
      </c>
      <c r="C174" t="s">
        <v>6</v>
      </c>
      <c r="D174" t="s">
        <v>1248</v>
      </c>
      <c r="E174" t="s">
        <v>1231</v>
      </c>
      <c r="F174" t="s">
        <v>6</v>
      </c>
      <c r="G174" s="145">
        <v>0.62287655719139301</v>
      </c>
      <c r="H174" s="118">
        <v>5.5</v>
      </c>
      <c r="I174" s="118"/>
      <c r="J174" s="118"/>
      <c r="K174" t="s">
        <v>1251</v>
      </c>
      <c r="L174" s="146" t="s">
        <v>1422</v>
      </c>
    </row>
    <row r="175" spans="1:12" x14ac:dyDescent="0.25">
      <c r="A175" t="s">
        <v>337</v>
      </c>
      <c r="B175" t="s">
        <v>336</v>
      </c>
      <c r="C175" t="s">
        <v>6</v>
      </c>
      <c r="D175" t="s">
        <v>1250</v>
      </c>
      <c r="E175" t="s">
        <v>788</v>
      </c>
      <c r="F175" t="s">
        <v>8</v>
      </c>
      <c r="G175" s="145">
        <v>2</v>
      </c>
      <c r="H175" s="118"/>
      <c r="I175" s="118"/>
      <c r="J175" s="118">
        <v>14</v>
      </c>
      <c r="K175" t="s">
        <v>1251</v>
      </c>
      <c r="L175" s="146" t="s">
        <v>1423</v>
      </c>
    </row>
    <row r="176" spans="1:12" x14ac:dyDescent="0.25">
      <c r="A176" t="s">
        <v>337</v>
      </c>
      <c r="B176" t="s">
        <v>336</v>
      </c>
      <c r="C176" t="s">
        <v>6</v>
      </c>
      <c r="D176" t="s">
        <v>1250</v>
      </c>
      <c r="E176" t="s">
        <v>47</v>
      </c>
      <c r="F176" t="s">
        <v>6</v>
      </c>
      <c r="G176" s="145">
        <v>1</v>
      </c>
      <c r="H176" s="118">
        <v>2</v>
      </c>
      <c r="I176" s="118">
        <v>8.61</v>
      </c>
      <c r="J176" s="118">
        <v>7</v>
      </c>
      <c r="K176" t="s">
        <v>1249</v>
      </c>
      <c r="L176" s="146" t="s">
        <v>1424</v>
      </c>
    </row>
    <row r="177" spans="1:12" x14ac:dyDescent="0.25">
      <c r="A177" t="s">
        <v>337</v>
      </c>
      <c r="B177" t="s">
        <v>336</v>
      </c>
      <c r="C177" t="s">
        <v>6</v>
      </c>
      <c r="D177" t="s">
        <v>1250</v>
      </c>
      <c r="E177" t="s">
        <v>603</v>
      </c>
      <c r="F177" t="s">
        <v>6</v>
      </c>
      <c r="G177" s="145">
        <v>0.20571428571428571</v>
      </c>
      <c r="H177" s="118"/>
      <c r="I177" s="118"/>
      <c r="J177" s="118">
        <v>1.44</v>
      </c>
      <c r="K177" t="s">
        <v>1251</v>
      </c>
      <c r="L177" s="146" t="s">
        <v>1425</v>
      </c>
    </row>
    <row r="178" spans="1:12" x14ac:dyDescent="0.25">
      <c r="A178" t="s">
        <v>337</v>
      </c>
      <c r="B178" t="s">
        <v>336</v>
      </c>
      <c r="C178" t="s">
        <v>6</v>
      </c>
      <c r="D178" t="s">
        <v>1250</v>
      </c>
      <c r="E178" t="s">
        <v>971</v>
      </c>
      <c r="F178" t="s">
        <v>6</v>
      </c>
      <c r="G178" s="145">
        <v>0.53846153846153844</v>
      </c>
      <c r="H178" s="118">
        <v>3.5</v>
      </c>
      <c r="I178" s="118"/>
      <c r="J178" s="118"/>
      <c r="K178" t="s">
        <v>1251</v>
      </c>
      <c r="L178" s="146" t="s">
        <v>1426</v>
      </c>
    </row>
    <row r="179" spans="1:12" x14ac:dyDescent="0.25">
      <c r="A179" t="s">
        <v>337</v>
      </c>
      <c r="B179" t="s">
        <v>336</v>
      </c>
      <c r="C179" t="s">
        <v>6</v>
      </c>
      <c r="D179" t="s">
        <v>1250</v>
      </c>
      <c r="E179" t="s">
        <v>602</v>
      </c>
      <c r="F179" t="s">
        <v>6</v>
      </c>
      <c r="G179" s="145">
        <v>0.20571428571428571</v>
      </c>
      <c r="H179" s="118"/>
      <c r="I179" s="118"/>
      <c r="J179" s="118">
        <v>1.44</v>
      </c>
      <c r="K179" t="s">
        <v>1251</v>
      </c>
      <c r="L179" s="146" t="s">
        <v>1427</v>
      </c>
    </row>
    <row r="180" spans="1:12" x14ac:dyDescent="0.25">
      <c r="A180" t="s">
        <v>337</v>
      </c>
      <c r="B180" t="s">
        <v>336</v>
      </c>
      <c r="C180" t="s">
        <v>6</v>
      </c>
      <c r="D180" t="s">
        <v>1246</v>
      </c>
      <c r="E180" t="s">
        <v>335</v>
      </c>
      <c r="F180" t="s">
        <v>6</v>
      </c>
      <c r="G180" s="145">
        <v>1</v>
      </c>
      <c r="H180" s="118">
        <v>6.5</v>
      </c>
      <c r="I180" s="118">
        <v>8.61</v>
      </c>
      <c r="J180" s="118">
        <v>7</v>
      </c>
      <c r="K180" t="s">
        <v>1247</v>
      </c>
      <c r="L180" s="146" t="s">
        <v>1428</v>
      </c>
    </row>
    <row r="181" spans="1:12" x14ac:dyDescent="0.25">
      <c r="A181" t="s">
        <v>337</v>
      </c>
      <c r="B181" t="s">
        <v>336</v>
      </c>
      <c r="C181" t="s">
        <v>6</v>
      </c>
      <c r="D181" t="s">
        <v>1248</v>
      </c>
      <c r="E181" t="s">
        <v>1200</v>
      </c>
      <c r="F181" t="s">
        <v>15</v>
      </c>
      <c r="G181" s="145">
        <v>0.31393185741088181</v>
      </c>
      <c r="H181" s="118">
        <v>1.9997199999999999</v>
      </c>
      <c r="I181" s="118">
        <v>3</v>
      </c>
      <c r="J181" s="118">
        <v>2</v>
      </c>
      <c r="L181" s="146" t="s">
        <v>1429</v>
      </c>
    </row>
    <row r="182" spans="1:12" x14ac:dyDescent="0.25">
      <c r="A182" t="s">
        <v>337</v>
      </c>
      <c r="B182" t="s">
        <v>336</v>
      </c>
      <c r="C182" t="s">
        <v>6</v>
      </c>
      <c r="D182" t="s">
        <v>1248</v>
      </c>
      <c r="E182" t="s">
        <v>1203</v>
      </c>
      <c r="F182" t="s">
        <v>6</v>
      </c>
      <c r="G182" s="145">
        <v>0.98351648351648358</v>
      </c>
      <c r="H182" s="118">
        <v>3.5</v>
      </c>
      <c r="I182" s="118"/>
      <c r="J182" s="118">
        <v>10</v>
      </c>
      <c r="L182" s="146" t="s">
        <v>1430</v>
      </c>
    </row>
    <row r="183" spans="1:12" x14ac:dyDescent="0.25">
      <c r="A183" t="s">
        <v>337</v>
      </c>
      <c r="B183" t="s">
        <v>336</v>
      </c>
      <c r="C183" t="s">
        <v>6</v>
      </c>
      <c r="D183" t="s">
        <v>1248</v>
      </c>
      <c r="E183" t="s">
        <v>1231</v>
      </c>
      <c r="F183" t="s">
        <v>6</v>
      </c>
      <c r="G183" s="145">
        <v>1</v>
      </c>
      <c r="H183" s="118">
        <v>6.5</v>
      </c>
      <c r="I183" s="118"/>
      <c r="J183" s="118"/>
      <c r="K183" t="s">
        <v>1251</v>
      </c>
      <c r="L183" s="146" t="s">
        <v>1431</v>
      </c>
    </row>
    <row r="184" spans="1:12" x14ac:dyDescent="0.25">
      <c r="A184" t="s">
        <v>333</v>
      </c>
      <c r="B184" t="s">
        <v>332</v>
      </c>
      <c r="C184" t="s">
        <v>6</v>
      </c>
      <c r="D184" t="s">
        <v>1250</v>
      </c>
      <c r="E184" t="s">
        <v>745</v>
      </c>
      <c r="F184" t="s">
        <v>15</v>
      </c>
      <c r="G184" s="145">
        <v>6.6533599467731214E-2</v>
      </c>
      <c r="H184" s="118"/>
      <c r="I184" s="118">
        <v>1</v>
      </c>
      <c r="J184" s="118"/>
      <c r="K184" t="s">
        <v>1251</v>
      </c>
      <c r="L184" s="146" t="s">
        <v>1432</v>
      </c>
    </row>
    <row r="185" spans="1:12" x14ac:dyDescent="0.25">
      <c r="A185" t="s">
        <v>333</v>
      </c>
      <c r="B185" t="s">
        <v>332</v>
      </c>
      <c r="C185" t="s">
        <v>6</v>
      </c>
      <c r="D185" t="s">
        <v>1250</v>
      </c>
      <c r="E185" t="s">
        <v>790</v>
      </c>
      <c r="F185" t="s">
        <v>8</v>
      </c>
      <c r="G185" s="145">
        <v>1.1437908496732025</v>
      </c>
      <c r="H185" s="118">
        <v>14</v>
      </c>
      <c r="I185" s="118">
        <v>4</v>
      </c>
      <c r="J185" s="118">
        <v>18</v>
      </c>
      <c r="K185" t="s">
        <v>1249</v>
      </c>
      <c r="L185" s="146" t="s">
        <v>1433</v>
      </c>
    </row>
    <row r="186" spans="1:12" x14ac:dyDescent="0.25">
      <c r="A186" t="s">
        <v>333</v>
      </c>
      <c r="B186" t="s">
        <v>332</v>
      </c>
      <c r="C186" t="s">
        <v>6</v>
      </c>
      <c r="D186" t="s">
        <v>1250</v>
      </c>
      <c r="E186" t="s">
        <v>47</v>
      </c>
      <c r="F186" t="s">
        <v>6</v>
      </c>
      <c r="G186" s="145">
        <v>0.7886954848472989</v>
      </c>
      <c r="H186" s="118">
        <v>8.17</v>
      </c>
      <c r="I186" s="118">
        <v>10.5</v>
      </c>
      <c r="J186" s="118">
        <v>1</v>
      </c>
      <c r="L186" s="146" t="s">
        <v>1434</v>
      </c>
    </row>
    <row r="187" spans="1:12" x14ac:dyDescent="0.25">
      <c r="A187" t="s">
        <v>333</v>
      </c>
      <c r="B187" t="s">
        <v>332</v>
      </c>
      <c r="C187" t="s">
        <v>6</v>
      </c>
      <c r="D187" t="s">
        <v>1250</v>
      </c>
      <c r="E187" t="s">
        <v>603</v>
      </c>
      <c r="F187" t="s">
        <v>6</v>
      </c>
      <c r="G187" s="145">
        <v>0.12418300653594772</v>
      </c>
      <c r="H187" s="118">
        <v>1.52</v>
      </c>
      <c r="I187" s="118">
        <v>0.16</v>
      </c>
      <c r="J187" s="118">
        <v>4.72</v>
      </c>
      <c r="K187" t="s">
        <v>1249</v>
      </c>
      <c r="L187" s="146" t="s">
        <v>1435</v>
      </c>
    </row>
    <row r="188" spans="1:12" x14ac:dyDescent="0.25">
      <c r="A188" t="s">
        <v>333</v>
      </c>
      <c r="B188" t="s">
        <v>332</v>
      </c>
      <c r="C188" t="s">
        <v>6</v>
      </c>
      <c r="D188" t="s">
        <v>1250</v>
      </c>
      <c r="E188" t="s">
        <v>971</v>
      </c>
      <c r="F188" t="s">
        <v>6</v>
      </c>
      <c r="G188" s="145">
        <v>0.47038276388399675</v>
      </c>
      <c r="H188" s="118">
        <v>5</v>
      </c>
      <c r="I188" s="118">
        <v>8</v>
      </c>
      <c r="J188" s="118"/>
      <c r="L188" s="146" t="s">
        <v>1436</v>
      </c>
    </row>
    <row r="189" spans="1:12" x14ac:dyDescent="0.25">
      <c r="A189" t="s">
        <v>333</v>
      </c>
      <c r="B189" t="s">
        <v>332</v>
      </c>
      <c r="C189" t="s">
        <v>6</v>
      </c>
      <c r="D189" t="s">
        <v>1250</v>
      </c>
      <c r="E189" t="s">
        <v>602</v>
      </c>
      <c r="F189" t="s">
        <v>6</v>
      </c>
      <c r="G189" s="145">
        <v>2.4188235294117644</v>
      </c>
      <c r="H189" s="118">
        <v>1.44</v>
      </c>
      <c r="I189" s="118"/>
      <c r="J189" s="118">
        <v>4.72</v>
      </c>
      <c r="K189" t="s">
        <v>1249</v>
      </c>
      <c r="L189" s="146" t="s">
        <v>1437</v>
      </c>
    </row>
    <row r="190" spans="1:12" x14ac:dyDescent="0.25">
      <c r="A190" t="s">
        <v>333</v>
      </c>
      <c r="B190" t="s">
        <v>332</v>
      </c>
      <c r="C190" t="s">
        <v>6</v>
      </c>
      <c r="D190" t="s">
        <v>1246</v>
      </c>
      <c r="E190" t="s">
        <v>330</v>
      </c>
      <c r="F190" t="s">
        <v>6</v>
      </c>
      <c r="G190" s="145">
        <v>1</v>
      </c>
      <c r="H190" s="118">
        <v>12.24</v>
      </c>
      <c r="I190" s="118">
        <v>15.03</v>
      </c>
      <c r="J190" s="118">
        <v>1</v>
      </c>
      <c r="K190" t="s">
        <v>1247</v>
      </c>
      <c r="L190" s="146" t="s">
        <v>1438</v>
      </c>
    </row>
    <row r="191" spans="1:12" x14ac:dyDescent="0.25">
      <c r="A191" t="s">
        <v>333</v>
      </c>
      <c r="B191" t="s">
        <v>332</v>
      </c>
      <c r="C191" t="s">
        <v>6</v>
      </c>
      <c r="D191" t="s">
        <v>1248</v>
      </c>
      <c r="E191" t="s">
        <v>1176</v>
      </c>
      <c r="F191" t="s">
        <v>15</v>
      </c>
      <c r="G191" s="145">
        <v>7.0031505616218546</v>
      </c>
      <c r="H191" s="118">
        <v>90</v>
      </c>
      <c r="I191" s="118">
        <v>100</v>
      </c>
      <c r="J191" s="118"/>
      <c r="L191" s="146" t="s">
        <v>1439</v>
      </c>
    </row>
    <row r="192" spans="1:12" x14ac:dyDescent="0.25">
      <c r="A192" t="s">
        <v>333</v>
      </c>
      <c r="B192" t="s">
        <v>332</v>
      </c>
      <c r="C192" t="s">
        <v>6</v>
      </c>
      <c r="D192" t="s">
        <v>1248</v>
      </c>
      <c r="E192" t="s">
        <v>1198</v>
      </c>
      <c r="F192" t="s">
        <v>15</v>
      </c>
      <c r="G192" s="145">
        <v>7.0031505616218546</v>
      </c>
      <c r="H192" s="118">
        <v>90</v>
      </c>
      <c r="I192" s="118">
        <v>100</v>
      </c>
      <c r="J192" s="118"/>
      <c r="L192" s="146" t="s">
        <v>1440</v>
      </c>
    </row>
    <row r="193" spans="1:12" x14ac:dyDescent="0.25">
      <c r="A193" t="s">
        <v>333</v>
      </c>
      <c r="B193" t="s">
        <v>332</v>
      </c>
      <c r="C193" t="s">
        <v>6</v>
      </c>
      <c r="D193" t="s">
        <v>1248</v>
      </c>
      <c r="E193" t="s">
        <v>1200</v>
      </c>
      <c r="F193" t="s">
        <v>15</v>
      </c>
      <c r="G193" s="145">
        <v>0.24509803921568626</v>
      </c>
      <c r="H193" s="118">
        <v>3</v>
      </c>
      <c r="I193" s="118">
        <v>1</v>
      </c>
      <c r="J193" s="118">
        <v>1.9994400000000001</v>
      </c>
      <c r="K193" t="s">
        <v>1249</v>
      </c>
      <c r="L193" s="146" t="s">
        <v>1441</v>
      </c>
    </row>
    <row r="194" spans="1:12" x14ac:dyDescent="0.25">
      <c r="A194" t="s">
        <v>333</v>
      </c>
      <c r="B194" t="s">
        <v>332</v>
      </c>
      <c r="C194" t="s">
        <v>6</v>
      </c>
      <c r="D194" t="s">
        <v>1248</v>
      </c>
      <c r="E194" t="s">
        <v>1203</v>
      </c>
      <c r="F194" t="s">
        <v>6</v>
      </c>
      <c r="G194" s="145">
        <v>1</v>
      </c>
      <c r="H194" s="118">
        <v>12.24</v>
      </c>
      <c r="I194" s="118">
        <v>15.03</v>
      </c>
      <c r="J194" s="118">
        <v>1</v>
      </c>
      <c r="L194" s="146" t="s">
        <v>1442</v>
      </c>
    </row>
    <row r="195" spans="1:12" x14ac:dyDescent="0.25">
      <c r="A195" t="s">
        <v>327</v>
      </c>
      <c r="B195" t="s">
        <v>326</v>
      </c>
      <c r="C195" t="s">
        <v>6</v>
      </c>
      <c r="D195" t="s">
        <v>1250</v>
      </c>
      <c r="E195" t="s">
        <v>749</v>
      </c>
      <c r="F195" t="s">
        <v>15</v>
      </c>
      <c r="G195" s="145">
        <v>2.6752273943285176E-2</v>
      </c>
      <c r="H195" s="118">
        <v>1</v>
      </c>
      <c r="I195" s="118"/>
      <c r="J195" s="118"/>
      <c r="K195" t="s">
        <v>1251</v>
      </c>
      <c r="L195" s="146" t="s">
        <v>1443</v>
      </c>
    </row>
    <row r="196" spans="1:12" x14ac:dyDescent="0.25">
      <c r="A196" t="s">
        <v>327</v>
      </c>
      <c r="B196" t="s">
        <v>326</v>
      </c>
      <c r="C196" t="s">
        <v>6</v>
      </c>
      <c r="D196" t="s">
        <v>1250</v>
      </c>
      <c r="E196" t="s">
        <v>752</v>
      </c>
      <c r="F196" t="s">
        <v>15</v>
      </c>
      <c r="G196" s="145">
        <v>0.1070090957731407</v>
      </c>
      <c r="H196" s="118">
        <v>4</v>
      </c>
      <c r="I196" s="118"/>
      <c r="J196" s="118"/>
      <c r="K196" t="s">
        <v>1251</v>
      </c>
      <c r="L196" s="146" t="s">
        <v>1444</v>
      </c>
    </row>
    <row r="197" spans="1:12" x14ac:dyDescent="0.25">
      <c r="A197" t="s">
        <v>327</v>
      </c>
      <c r="B197" t="s">
        <v>326</v>
      </c>
      <c r="C197" t="s">
        <v>6</v>
      </c>
      <c r="D197" t="s">
        <v>1250</v>
      </c>
      <c r="E197" t="s">
        <v>790</v>
      </c>
      <c r="F197" t="s">
        <v>8</v>
      </c>
      <c r="G197" s="145">
        <v>0.46292698037227897</v>
      </c>
      <c r="H197" s="118">
        <v>11</v>
      </c>
      <c r="I197" s="118">
        <v>12</v>
      </c>
      <c r="J197" s="118"/>
      <c r="L197" s="146" t="s">
        <v>1445</v>
      </c>
    </row>
    <row r="198" spans="1:12" x14ac:dyDescent="0.25">
      <c r="A198" t="s">
        <v>327</v>
      </c>
      <c r="B198" t="s">
        <v>326</v>
      </c>
      <c r="C198" t="s">
        <v>6</v>
      </c>
      <c r="D198" t="s">
        <v>1250</v>
      </c>
      <c r="E198" t="s">
        <v>856</v>
      </c>
      <c r="F198" t="s">
        <v>15</v>
      </c>
      <c r="G198" s="145">
        <v>5.3504547886570351E-2</v>
      </c>
      <c r="H198" s="118">
        <v>2</v>
      </c>
      <c r="I198" s="118"/>
      <c r="J198" s="118"/>
      <c r="K198" t="s">
        <v>1251</v>
      </c>
      <c r="L198" s="146" t="s">
        <v>1446</v>
      </c>
    </row>
    <row r="199" spans="1:12" x14ac:dyDescent="0.25">
      <c r="A199" t="s">
        <v>327</v>
      </c>
      <c r="B199" t="s">
        <v>326</v>
      </c>
      <c r="C199" t="s">
        <v>6</v>
      </c>
      <c r="D199" t="s">
        <v>1250</v>
      </c>
      <c r="E199" t="s">
        <v>47</v>
      </c>
      <c r="F199" t="s">
        <v>6</v>
      </c>
      <c r="G199" s="145">
        <v>1</v>
      </c>
      <c r="H199" s="118">
        <v>37.380000000000003</v>
      </c>
      <c r="I199" s="118">
        <v>19</v>
      </c>
      <c r="J199" s="118"/>
      <c r="L199" s="146" t="s">
        <v>1447</v>
      </c>
    </row>
    <row r="200" spans="1:12" x14ac:dyDescent="0.25">
      <c r="A200" t="s">
        <v>327</v>
      </c>
      <c r="B200" t="s">
        <v>326</v>
      </c>
      <c r="C200" t="s">
        <v>6</v>
      </c>
      <c r="D200" t="s">
        <v>1250</v>
      </c>
      <c r="E200" t="s">
        <v>610</v>
      </c>
      <c r="F200" t="s">
        <v>15</v>
      </c>
      <c r="G200" s="145">
        <v>2.6752273943285176E-2</v>
      </c>
      <c r="H200" s="118">
        <v>1</v>
      </c>
      <c r="I200" s="118"/>
      <c r="J200" s="118"/>
      <c r="K200" t="s">
        <v>1251</v>
      </c>
      <c r="L200" s="146" t="s">
        <v>1448</v>
      </c>
    </row>
    <row r="201" spans="1:12" x14ac:dyDescent="0.25">
      <c r="A201" t="s">
        <v>327</v>
      </c>
      <c r="B201" t="s">
        <v>326</v>
      </c>
      <c r="C201" t="s">
        <v>6</v>
      </c>
      <c r="D201" t="s">
        <v>1250</v>
      </c>
      <c r="E201" t="s">
        <v>953</v>
      </c>
      <c r="F201" t="s">
        <v>15</v>
      </c>
      <c r="G201" s="145">
        <v>2.6752273943285176E-2</v>
      </c>
      <c r="H201" s="118">
        <v>1</v>
      </c>
      <c r="I201" s="118"/>
      <c r="J201" s="118"/>
      <c r="K201" t="s">
        <v>1251</v>
      </c>
      <c r="L201" s="146" t="s">
        <v>1449</v>
      </c>
    </row>
    <row r="202" spans="1:12" x14ac:dyDescent="0.25">
      <c r="A202" t="s">
        <v>327</v>
      </c>
      <c r="B202" t="s">
        <v>326</v>
      </c>
      <c r="C202" t="s">
        <v>6</v>
      </c>
      <c r="D202" t="s">
        <v>1250</v>
      </c>
      <c r="E202" t="s">
        <v>603</v>
      </c>
      <c r="F202" t="s">
        <v>6</v>
      </c>
      <c r="G202" s="145">
        <v>2.6542761397876716E-2</v>
      </c>
      <c r="H202" s="118">
        <v>1.04</v>
      </c>
      <c r="I202" s="118">
        <v>0.48</v>
      </c>
      <c r="J202" s="118"/>
      <c r="L202" s="146" t="s">
        <v>1450</v>
      </c>
    </row>
    <row r="203" spans="1:12" x14ac:dyDescent="0.25">
      <c r="A203" t="s">
        <v>327</v>
      </c>
      <c r="B203" t="s">
        <v>326</v>
      </c>
      <c r="C203" t="s">
        <v>6</v>
      </c>
      <c r="D203" t="s">
        <v>1250</v>
      </c>
      <c r="E203" t="s">
        <v>602</v>
      </c>
      <c r="F203" t="s">
        <v>6</v>
      </c>
      <c r="G203" s="145">
        <v>1.8034411872377573E-2</v>
      </c>
      <c r="H203" s="118">
        <v>0.64</v>
      </c>
      <c r="I203" s="118">
        <v>0.36</v>
      </c>
      <c r="J203" s="118"/>
      <c r="L203" s="146" t="s">
        <v>1451</v>
      </c>
    </row>
    <row r="204" spans="1:12" x14ac:dyDescent="0.25">
      <c r="A204" t="s">
        <v>327</v>
      </c>
      <c r="B204" t="s">
        <v>326</v>
      </c>
      <c r="C204" t="s">
        <v>6</v>
      </c>
      <c r="D204" t="s">
        <v>1250</v>
      </c>
      <c r="E204" t="s">
        <v>999</v>
      </c>
      <c r="F204" t="s">
        <v>15</v>
      </c>
      <c r="G204" s="145">
        <v>0.18726591760299624</v>
      </c>
      <c r="H204" s="118">
        <v>7</v>
      </c>
      <c r="I204" s="118"/>
      <c r="J204" s="118"/>
      <c r="K204" t="s">
        <v>1251</v>
      </c>
      <c r="L204" s="146" t="s">
        <v>1452</v>
      </c>
    </row>
    <row r="205" spans="1:12" x14ac:dyDescent="0.25">
      <c r="A205" t="s">
        <v>327</v>
      </c>
      <c r="B205" t="s">
        <v>326</v>
      </c>
      <c r="C205" t="s">
        <v>6</v>
      </c>
      <c r="D205" t="s">
        <v>1250</v>
      </c>
      <c r="E205" t="s">
        <v>1001</v>
      </c>
      <c r="F205" t="s">
        <v>15</v>
      </c>
      <c r="G205" s="145">
        <v>2.6752273943285176E-2</v>
      </c>
      <c r="H205" s="118">
        <v>1</v>
      </c>
      <c r="I205" s="118"/>
      <c r="J205" s="118"/>
      <c r="K205" t="s">
        <v>1251</v>
      </c>
      <c r="L205" s="146" t="s">
        <v>1453</v>
      </c>
    </row>
    <row r="206" spans="1:12" x14ac:dyDescent="0.25">
      <c r="A206" t="s">
        <v>327</v>
      </c>
      <c r="B206" t="s">
        <v>326</v>
      </c>
      <c r="C206" t="s">
        <v>6</v>
      </c>
      <c r="D206" t="s">
        <v>1246</v>
      </c>
      <c r="E206" t="s">
        <v>1129</v>
      </c>
      <c r="F206" t="s">
        <v>6</v>
      </c>
      <c r="G206" s="145">
        <v>1</v>
      </c>
      <c r="H206" s="118">
        <v>37.380000000000003</v>
      </c>
      <c r="I206" s="118">
        <v>19</v>
      </c>
      <c r="J206" s="118"/>
      <c r="K206" t="s">
        <v>1247</v>
      </c>
      <c r="L206" s="146" t="s">
        <v>1454</v>
      </c>
    </row>
    <row r="207" spans="1:12" x14ac:dyDescent="0.25">
      <c r="A207" t="s">
        <v>327</v>
      </c>
      <c r="B207" t="s">
        <v>326</v>
      </c>
      <c r="C207" t="s">
        <v>6</v>
      </c>
      <c r="D207" t="s">
        <v>1248</v>
      </c>
      <c r="E207" t="s">
        <v>1176</v>
      </c>
      <c r="F207" t="s">
        <v>15</v>
      </c>
      <c r="G207" s="145">
        <v>2.407704654895666</v>
      </c>
      <c r="H207" s="118">
        <v>90</v>
      </c>
      <c r="I207" s="118"/>
      <c r="J207" s="118"/>
      <c r="K207" t="s">
        <v>1251</v>
      </c>
      <c r="L207" s="146" t="s">
        <v>1455</v>
      </c>
    </row>
    <row r="208" spans="1:12" x14ac:dyDescent="0.25">
      <c r="A208" t="s">
        <v>327</v>
      </c>
      <c r="B208" t="s">
        <v>326</v>
      </c>
      <c r="C208" t="s">
        <v>6</v>
      </c>
      <c r="D208" t="s">
        <v>1248</v>
      </c>
      <c r="E208" t="s">
        <v>1196</v>
      </c>
      <c r="F208" t="s">
        <v>15</v>
      </c>
      <c r="G208" s="145">
        <v>2.407704654895666</v>
      </c>
      <c r="H208" s="118">
        <v>90</v>
      </c>
      <c r="I208" s="118"/>
      <c r="J208" s="118"/>
      <c r="K208" t="s">
        <v>1251</v>
      </c>
      <c r="L208" s="146" t="s">
        <v>1456</v>
      </c>
    </row>
    <row r="209" spans="1:12" x14ac:dyDescent="0.25">
      <c r="A209" t="s">
        <v>327</v>
      </c>
      <c r="B209" t="s">
        <v>326</v>
      </c>
      <c r="C209" t="s">
        <v>6</v>
      </c>
      <c r="D209" t="s">
        <v>1248</v>
      </c>
      <c r="E209" t="s">
        <v>1203</v>
      </c>
      <c r="F209" t="s">
        <v>6</v>
      </c>
      <c r="G209" s="145">
        <v>1.073836276083467</v>
      </c>
      <c r="H209" s="118">
        <v>42.9</v>
      </c>
      <c r="I209" s="118">
        <v>19</v>
      </c>
      <c r="J209" s="118"/>
      <c r="L209" s="146" t="s">
        <v>1457</v>
      </c>
    </row>
    <row r="210" spans="1:12" x14ac:dyDescent="0.25">
      <c r="A210" t="s">
        <v>327</v>
      </c>
      <c r="B210" t="s">
        <v>326</v>
      </c>
      <c r="C210" t="s">
        <v>6</v>
      </c>
      <c r="D210" t="s">
        <v>1248</v>
      </c>
      <c r="E210" t="s">
        <v>1231</v>
      </c>
      <c r="F210" t="s">
        <v>6</v>
      </c>
      <c r="G210" s="145">
        <v>6.6880684858212941E-2</v>
      </c>
      <c r="H210" s="118">
        <v>2.5</v>
      </c>
      <c r="I210" s="118"/>
      <c r="J210" s="118"/>
      <c r="K210" t="s">
        <v>1251</v>
      </c>
      <c r="L210" s="146" t="s">
        <v>1458</v>
      </c>
    </row>
    <row r="211" spans="1:12" x14ac:dyDescent="0.25">
      <c r="A211" t="s">
        <v>319</v>
      </c>
      <c r="B211" t="s">
        <v>318</v>
      </c>
      <c r="C211" t="s">
        <v>6</v>
      </c>
      <c r="D211" t="s">
        <v>1250</v>
      </c>
      <c r="E211" t="s">
        <v>747</v>
      </c>
      <c r="F211" t="s">
        <v>15</v>
      </c>
      <c r="G211" s="145">
        <v>2.697599136768276E-2</v>
      </c>
      <c r="H211" s="118">
        <v>1</v>
      </c>
      <c r="I211" s="118"/>
      <c r="J211" s="118"/>
      <c r="K211" t="s">
        <v>1251</v>
      </c>
      <c r="L211" s="146" t="s">
        <v>1459</v>
      </c>
    </row>
    <row r="212" spans="1:12" x14ac:dyDescent="0.25">
      <c r="A212" t="s">
        <v>319</v>
      </c>
      <c r="B212" t="s">
        <v>318</v>
      </c>
      <c r="C212" t="s">
        <v>6</v>
      </c>
      <c r="D212" t="s">
        <v>1250</v>
      </c>
      <c r="E212" t="s">
        <v>790</v>
      </c>
      <c r="F212" t="s">
        <v>8</v>
      </c>
      <c r="G212" s="145">
        <v>7.8616352201257858E-2</v>
      </c>
      <c r="H212" s="118">
        <v>1</v>
      </c>
      <c r="I212" s="118">
        <v>1</v>
      </c>
      <c r="J212" s="118">
        <v>4</v>
      </c>
      <c r="K212" t="s">
        <v>1249</v>
      </c>
      <c r="L212" s="146" t="s">
        <v>1460</v>
      </c>
    </row>
    <row r="213" spans="1:12" x14ac:dyDescent="0.25">
      <c r="A213" t="s">
        <v>319</v>
      </c>
      <c r="B213" t="s">
        <v>318</v>
      </c>
      <c r="C213" t="s">
        <v>6</v>
      </c>
      <c r="D213" t="s">
        <v>1250</v>
      </c>
      <c r="E213" t="s">
        <v>854</v>
      </c>
      <c r="F213" t="s">
        <v>15</v>
      </c>
      <c r="G213" s="145">
        <v>5.3951982735365521E-2</v>
      </c>
      <c r="H213" s="118">
        <v>2</v>
      </c>
      <c r="I213" s="118"/>
      <c r="J213" s="118"/>
      <c r="K213" t="s">
        <v>1251</v>
      </c>
      <c r="L213" s="146" t="s">
        <v>1461</v>
      </c>
    </row>
    <row r="214" spans="1:12" x14ac:dyDescent="0.25">
      <c r="A214" t="s">
        <v>319</v>
      </c>
      <c r="B214" t="s">
        <v>318</v>
      </c>
      <c r="C214" t="s">
        <v>6</v>
      </c>
      <c r="D214" t="s">
        <v>1250</v>
      </c>
      <c r="E214" t="s">
        <v>47</v>
      </c>
      <c r="F214" t="s">
        <v>6</v>
      </c>
      <c r="G214" s="145">
        <v>0.82165207870655499</v>
      </c>
      <c r="H214" s="118">
        <v>26.62</v>
      </c>
      <c r="I214" s="118">
        <v>9.5</v>
      </c>
      <c r="J214" s="118">
        <v>43</v>
      </c>
      <c r="L214" s="146" t="s">
        <v>1462</v>
      </c>
    </row>
    <row r="215" spans="1:12" x14ac:dyDescent="0.25">
      <c r="A215" t="s">
        <v>319</v>
      </c>
      <c r="B215" t="s">
        <v>318</v>
      </c>
      <c r="C215" t="s">
        <v>6</v>
      </c>
      <c r="D215" t="s">
        <v>1250</v>
      </c>
      <c r="E215" t="s">
        <v>1029</v>
      </c>
      <c r="F215" t="s">
        <v>15</v>
      </c>
      <c r="G215" s="145">
        <v>2.697599136768276E-2</v>
      </c>
      <c r="H215" s="118">
        <v>1</v>
      </c>
      <c r="I215" s="118"/>
      <c r="J215" s="118"/>
      <c r="K215" t="s">
        <v>1251</v>
      </c>
      <c r="L215" s="146" t="s">
        <v>1463</v>
      </c>
    </row>
    <row r="216" spans="1:12" x14ac:dyDescent="0.25">
      <c r="A216" t="s">
        <v>319</v>
      </c>
      <c r="B216" t="s">
        <v>318</v>
      </c>
      <c r="C216" t="s">
        <v>6</v>
      </c>
      <c r="D216" t="s">
        <v>1250</v>
      </c>
      <c r="E216" t="s">
        <v>603</v>
      </c>
      <c r="F216" t="s">
        <v>6</v>
      </c>
      <c r="G216" s="145">
        <v>8.3720930232558128E-3</v>
      </c>
      <c r="H216" s="118"/>
      <c r="I216" s="118"/>
      <c r="J216" s="118">
        <v>0.36</v>
      </c>
      <c r="K216" t="s">
        <v>1251</v>
      </c>
      <c r="L216" s="146" t="s">
        <v>1464</v>
      </c>
    </row>
    <row r="217" spans="1:12" x14ac:dyDescent="0.25">
      <c r="A217" t="s">
        <v>319</v>
      </c>
      <c r="B217" t="s">
        <v>318</v>
      </c>
      <c r="C217" t="s">
        <v>6</v>
      </c>
      <c r="D217" t="s">
        <v>1250</v>
      </c>
      <c r="E217" t="s">
        <v>602</v>
      </c>
      <c r="F217" t="s">
        <v>6</v>
      </c>
      <c r="G217" s="145">
        <v>5.5813953488372094E-3</v>
      </c>
      <c r="H217" s="118"/>
      <c r="I217" s="118"/>
      <c r="J217" s="118">
        <v>0.24</v>
      </c>
      <c r="K217" t="s">
        <v>1251</v>
      </c>
      <c r="L217" s="146" t="s">
        <v>1465</v>
      </c>
    </row>
    <row r="218" spans="1:12" x14ac:dyDescent="0.25">
      <c r="A218" t="s">
        <v>319</v>
      </c>
      <c r="B218" t="s">
        <v>318</v>
      </c>
      <c r="C218" t="s">
        <v>6</v>
      </c>
      <c r="D218" t="s">
        <v>1246</v>
      </c>
      <c r="E218" t="s">
        <v>316</v>
      </c>
      <c r="F218" t="s">
        <v>6</v>
      </c>
      <c r="G218" s="145">
        <v>1</v>
      </c>
      <c r="H218" s="118">
        <v>37.07</v>
      </c>
      <c r="I218" s="118">
        <v>12.72</v>
      </c>
      <c r="J218" s="118">
        <v>43</v>
      </c>
      <c r="K218" t="s">
        <v>1247</v>
      </c>
      <c r="L218" s="146" t="s">
        <v>1466</v>
      </c>
    </row>
    <row r="219" spans="1:12" x14ac:dyDescent="0.25">
      <c r="A219" t="s">
        <v>319</v>
      </c>
      <c r="B219" t="s">
        <v>318</v>
      </c>
      <c r="C219" t="s">
        <v>6</v>
      </c>
      <c r="D219" t="s">
        <v>1248</v>
      </c>
      <c r="E219" t="s">
        <v>1184</v>
      </c>
      <c r="F219" t="s">
        <v>15</v>
      </c>
      <c r="G219" s="145">
        <v>2.697599136768276E-2</v>
      </c>
      <c r="H219" s="118">
        <v>1</v>
      </c>
      <c r="I219" s="118"/>
      <c r="J219" s="118"/>
      <c r="K219" t="s">
        <v>1251</v>
      </c>
      <c r="L219" s="146" t="s">
        <v>1467</v>
      </c>
    </row>
    <row r="220" spans="1:12" x14ac:dyDescent="0.25">
      <c r="A220" t="s">
        <v>319</v>
      </c>
      <c r="B220" t="s">
        <v>318</v>
      </c>
      <c r="C220" t="s">
        <v>6</v>
      </c>
      <c r="D220" t="s">
        <v>1248</v>
      </c>
      <c r="E220" t="s">
        <v>1200</v>
      </c>
      <c r="F220" t="s">
        <v>15</v>
      </c>
      <c r="G220" s="145">
        <v>7.5197196916858958E-2</v>
      </c>
      <c r="H220" s="118">
        <v>2</v>
      </c>
      <c r="I220" s="118">
        <v>1</v>
      </c>
      <c r="J220" s="118">
        <v>4</v>
      </c>
      <c r="L220" s="146" t="s">
        <v>1468</v>
      </c>
    </row>
    <row r="221" spans="1:12" x14ac:dyDescent="0.25">
      <c r="A221" t="s">
        <v>319</v>
      </c>
      <c r="B221" t="s">
        <v>318</v>
      </c>
      <c r="C221" t="s">
        <v>6</v>
      </c>
      <c r="D221" t="s">
        <v>1248</v>
      </c>
      <c r="E221" t="s">
        <v>1203</v>
      </c>
      <c r="F221" t="s">
        <v>6</v>
      </c>
      <c r="G221" s="145">
        <v>0.93156720783969571</v>
      </c>
      <c r="H221" s="118"/>
      <c r="I221" s="118">
        <v>9.5</v>
      </c>
      <c r="J221" s="118">
        <v>48</v>
      </c>
      <c r="L221" s="146" t="s">
        <v>1469</v>
      </c>
    </row>
    <row r="222" spans="1:12" x14ac:dyDescent="0.25">
      <c r="A222" t="s">
        <v>314</v>
      </c>
      <c r="B222" t="s">
        <v>313</v>
      </c>
      <c r="C222" t="s">
        <v>6</v>
      </c>
      <c r="D222" t="s">
        <v>1250</v>
      </c>
      <c r="E222" t="s">
        <v>790</v>
      </c>
      <c r="F222" t="s">
        <v>8</v>
      </c>
      <c r="G222" s="145">
        <v>0.20378108870571524</v>
      </c>
      <c r="H222" s="118">
        <v>1</v>
      </c>
      <c r="I222" s="118">
        <v>9.9600000000000009</v>
      </c>
      <c r="J222" s="118"/>
      <c r="K222" t="s">
        <v>1249</v>
      </c>
      <c r="L222" s="146" t="s">
        <v>1470</v>
      </c>
    </row>
    <row r="223" spans="1:12" x14ac:dyDescent="0.25">
      <c r="A223" t="s">
        <v>314</v>
      </c>
      <c r="B223" t="s">
        <v>313</v>
      </c>
      <c r="C223" t="s">
        <v>6</v>
      </c>
      <c r="D223" t="s">
        <v>1250</v>
      </c>
      <c r="E223" t="s">
        <v>798</v>
      </c>
      <c r="F223" t="s">
        <v>15</v>
      </c>
      <c r="G223" s="145">
        <v>0.16647876738068396</v>
      </c>
      <c r="H223" s="118"/>
      <c r="I223" s="118">
        <v>4.43</v>
      </c>
      <c r="J223" s="118"/>
      <c r="K223" t="s">
        <v>1251</v>
      </c>
      <c r="L223" s="146" t="s">
        <v>1471</v>
      </c>
    </row>
    <row r="224" spans="1:12" x14ac:dyDescent="0.25">
      <c r="A224" t="s">
        <v>314</v>
      </c>
      <c r="B224" t="s">
        <v>313</v>
      </c>
      <c r="C224" t="s">
        <v>6</v>
      </c>
      <c r="D224" t="s">
        <v>1250</v>
      </c>
      <c r="E224" t="s">
        <v>156</v>
      </c>
      <c r="F224" t="s">
        <v>30</v>
      </c>
      <c r="G224" s="145">
        <v>1.3904547162720781E-2</v>
      </c>
      <c r="H224" s="118"/>
      <c r="I224" s="118">
        <v>0.37</v>
      </c>
      <c r="J224" s="118"/>
      <c r="K224" t="s">
        <v>1251</v>
      </c>
      <c r="L224" s="146" t="s">
        <v>1472</v>
      </c>
    </row>
    <row r="225" spans="1:12" x14ac:dyDescent="0.25">
      <c r="A225" t="s">
        <v>314</v>
      </c>
      <c r="B225" t="s">
        <v>313</v>
      </c>
      <c r="C225" t="s">
        <v>6</v>
      </c>
      <c r="D225" t="s">
        <v>1250</v>
      </c>
      <c r="E225" t="s">
        <v>47</v>
      </c>
      <c r="F225" t="s">
        <v>6</v>
      </c>
      <c r="G225" s="145">
        <v>0.60989445385816121</v>
      </c>
      <c r="H225" s="118">
        <v>26.5</v>
      </c>
      <c r="I225" s="118">
        <v>9</v>
      </c>
      <c r="J225" s="118"/>
      <c r="L225" s="146" t="s">
        <v>1473</v>
      </c>
    </row>
    <row r="226" spans="1:12" x14ac:dyDescent="0.25">
      <c r="A226" t="s">
        <v>314</v>
      </c>
      <c r="B226" t="s">
        <v>313</v>
      </c>
      <c r="C226" t="s">
        <v>6</v>
      </c>
      <c r="D226" t="s">
        <v>1250</v>
      </c>
      <c r="E226" t="s">
        <v>155</v>
      </c>
      <c r="F226" t="s">
        <v>144</v>
      </c>
      <c r="G226" s="145">
        <v>1.3904547162720781E-2</v>
      </c>
      <c r="H226" s="118"/>
      <c r="I226" s="118">
        <v>0.37</v>
      </c>
      <c r="J226" s="118"/>
      <c r="K226" t="s">
        <v>1251</v>
      </c>
      <c r="L226" s="146" t="s">
        <v>1474</v>
      </c>
    </row>
    <row r="227" spans="1:12" x14ac:dyDescent="0.25">
      <c r="A227" t="s">
        <v>314</v>
      </c>
      <c r="B227" t="s">
        <v>313</v>
      </c>
      <c r="C227" t="s">
        <v>6</v>
      </c>
      <c r="D227" t="s">
        <v>1250</v>
      </c>
      <c r="E227" t="s">
        <v>921</v>
      </c>
      <c r="F227" t="s">
        <v>15</v>
      </c>
      <c r="G227" s="145">
        <v>1.3904547162720781E-2</v>
      </c>
      <c r="H227" s="118"/>
      <c r="I227" s="118">
        <v>0.37</v>
      </c>
      <c r="J227" s="118"/>
      <c r="K227" t="s">
        <v>1251</v>
      </c>
      <c r="L227" s="146" t="s">
        <v>1475</v>
      </c>
    </row>
    <row r="228" spans="1:12" x14ac:dyDescent="0.25">
      <c r="A228" t="s">
        <v>314</v>
      </c>
      <c r="B228" t="s">
        <v>313</v>
      </c>
      <c r="C228" t="s">
        <v>6</v>
      </c>
      <c r="D228" t="s">
        <v>1250</v>
      </c>
      <c r="E228" t="s">
        <v>923</v>
      </c>
      <c r="F228" t="s">
        <v>15</v>
      </c>
      <c r="G228" s="145">
        <v>1.3904547162720781E-2</v>
      </c>
      <c r="H228" s="118"/>
      <c r="I228" s="118">
        <v>0.37</v>
      </c>
      <c r="J228" s="118"/>
      <c r="K228" t="s">
        <v>1251</v>
      </c>
      <c r="L228" s="146" t="s">
        <v>1476</v>
      </c>
    </row>
    <row r="229" spans="1:12" x14ac:dyDescent="0.25">
      <c r="A229" t="s">
        <v>314</v>
      </c>
      <c r="B229" t="s">
        <v>313</v>
      </c>
      <c r="C229" t="s">
        <v>6</v>
      </c>
      <c r="D229" t="s">
        <v>1250</v>
      </c>
      <c r="E229" t="s">
        <v>145</v>
      </c>
      <c r="F229" t="s">
        <v>144</v>
      </c>
      <c r="G229" s="145">
        <v>1.1273957158962795E-2</v>
      </c>
      <c r="H229" s="118"/>
      <c r="I229" s="118">
        <v>0.3</v>
      </c>
      <c r="J229" s="118"/>
      <c r="K229" t="s">
        <v>1251</v>
      </c>
      <c r="L229" s="146" t="s">
        <v>1477</v>
      </c>
    </row>
    <row r="230" spans="1:12" x14ac:dyDescent="0.25">
      <c r="A230" t="s">
        <v>314</v>
      </c>
      <c r="B230" t="s">
        <v>313</v>
      </c>
      <c r="C230" t="s">
        <v>6</v>
      </c>
      <c r="D230" t="s">
        <v>1250</v>
      </c>
      <c r="E230" t="s">
        <v>603</v>
      </c>
      <c r="F230" t="s">
        <v>6</v>
      </c>
      <c r="G230" s="145">
        <v>4.6238601339223098E-2</v>
      </c>
      <c r="H230" s="118">
        <v>0.08</v>
      </c>
      <c r="I230" s="118">
        <v>2.39</v>
      </c>
      <c r="J230" s="118"/>
      <c r="K230" t="s">
        <v>1249</v>
      </c>
      <c r="L230" s="146" t="s">
        <v>1478</v>
      </c>
    </row>
    <row r="231" spans="1:12" x14ac:dyDescent="0.25">
      <c r="A231" t="s">
        <v>314</v>
      </c>
      <c r="B231" t="s">
        <v>313</v>
      </c>
      <c r="C231" t="s">
        <v>6</v>
      </c>
      <c r="D231" t="s">
        <v>1246</v>
      </c>
      <c r="E231" t="s">
        <v>311</v>
      </c>
      <c r="F231" t="s">
        <v>6</v>
      </c>
      <c r="G231" s="145">
        <v>1</v>
      </c>
      <c r="H231" s="118">
        <v>30.06</v>
      </c>
      <c r="I231" s="118">
        <v>26.61</v>
      </c>
      <c r="J231" s="118"/>
      <c r="K231" t="s">
        <v>1247</v>
      </c>
      <c r="L231" s="146" t="s">
        <v>1479</v>
      </c>
    </row>
    <row r="232" spans="1:12" x14ac:dyDescent="0.25">
      <c r="A232" t="s">
        <v>314</v>
      </c>
      <c r="B232" t="s">
        <v>313</v>
      </c>
      <c r="C232" t="s">
        <v>6</v>
      </c>
      <c r="D232" t="s">
        <v>1248</v>
      </c>
      <c r="E232" t="s">
        <v>1184</v>
      </c>
      <c r="F232" t="s">
        <v>15</v>
      </c>
      <c r="G232" s="145">
        <v>6.6533599467731214E-2</v>
      </c>
      <c r="H232" s="118">
        <v>2</v>
      </c>
      <c r="I232" s="118"/>
      <c r="J232" s="118"/>
      <c r="K232" t="s">
        <v>1251</v>
      </c>
      <c r="L232" s="146" t="s">
        <v>1480</v>
      </c>
    </row>
    <row r="233" spans="1:12" x14ac:dyDescent="0.25">
      <c r="A233" t="s">
        <v>314</v>
      </c>
      <c r="B233" t="s">
        <v>313</v>
      </c>
      <c r="C233" t="s">
        <v>6</v>
      </c>
      <c r="D233" t="s">
        <v>1248</v>
      </c>
      <c r="E233" t="s">
        <v>1200</v>
      </c>
      <c r="F233" t="s">
        <v>15</v>
      </c>
      <c r="G233" s="145">
        <v>5.2056728332136933E-2</v>
      </c>
      <c r="H233" s="118">
        <v>2</v>
      </c>
      <c r="I233" s="118">
        <v>1</v>
      </c>
      <c r="J233" s="118"/>
      <c r="L233" s="146" t="s">
        <v>1481</v>
      </c>
    </row>
    <row r="234" spans="1:12" x14ac:dyDescent="0.25">
      <c r="A234" t="s">
        <v>314</v>
      </c>
      <c r="B234" t="s">
        <v>313</v>
      </c>
      <c r="C234" t="s">
        <v>6</v>
      </c>
      <c r="D234" t="s">
        <v>1248</v>
      </c>
      <c r="E234" t="s">
        <v>1203</v>
      </c>
      <c r="F234" t="s">
        <v>6</v>
      </c>
      <c r="G234" s="145">
        <v>0.33821871476888388</v>
      </c>
      <c r="H234" s="118"/>
      <c r="I234" s="118">
        <v>9</v>
      </c>
      <c r="J234" s="118"/>
      <c r="K234" t="s">
        <v>1251</v>
      </c>
      <c r="L234" s="146" t="s">
        <v>1482</v>
      </c>
    </row>
    <row r="235" spans="1:12" x14ac:dyDescent="0.25">
      <c r="A235" t="s">
        <v>309</v>
      </c>
      <c r="B235" t="s">
        <v>308</v>
      </c>
      <c r="C235" t="s">
        <v>3</v>
      </c>
      <c r="D235" t="s">
        <v>1250</v>
      </c>
      <c r="E235" t="s">
        <v>749</v>
      </c>
      <c r="F235" t="s">
        <v>15</v>
      </c>
      <c r="G235" s="145">
        <v>1.5952949434467942E-2</v>
      </c>
      <c r="H235" s="118">
        <v>3</v>
      </c>
      <c r="I235" s="118"/>
      <c r="J235" s="118"/>
      <c r="K235" t="s">
        <v>1251</v>
      </c>
      <c r="L235" s="146" t="s">
        <v>1483</v>
      </c>
    </row>
    <row r="236" spans="1:12" x14ac:dyDescent="0.25">
      <c r="A236" t="s">
        <v>309</v>
      </c>
      <c r="B236" t="s">
        <v>308</v>
      </c>
      <c r="C236" t="s">
        <v>3</v>
      </c>
      <c r="D236" t="s">
        <v>1250</v>
      </c>
      <c r="E236" t="s">
        <v>790</v>
      </c>
      <c r="F236" t="s">
        <v>8</v>
      </c>
      <c r="G236" s="145">
        <v>8.5082396983829023E-2</v>
      </c>
      <c r="H236" s="118">
        <v>16</v>
      </c>
      <c r="I236" s="118"/>
      <c r="J236" s="118"/>
      <c r="K236" t="s">
        <v>1251</v>
      </c>
      <c r="L236" s="146" t="s">
        <v>1484</v>
      </c>
    </row>
    <row r="237" spans="1:12" x14ac:dyDescent="0.25">
      <c r="A237" t="s">
        <v>309</v>
      </c>
      <c r="B237" t="s">
        <v>308</v>
      </c>
      <c r="C237" t="s">
        <v>3</v>
      </c>
      <c r="D237" t="s">
        <v>1250</v>
      </c>
      <c r="E237" t="s">
        <v>967</v>
      </c>
      <c r="F237" t="s">
        <v>6</v>
      </c>
      <c r="G237" s="145">
        <v>6.3811797737871765E-3</v>
      </c>
      <c r="H237" s="118">
        <v>1.2</v>
      </c>
      <c r="I237" s="118"/>
      <c r="J237" s="118"/>
      <c r="K237" t="s">
        <v>1251</v>
      </c>
      <c r="L237" s="146" t="s">
        <v>1485</v>
      </c>
    </row>
    <row r="238" spans="1:12" x14ac:dyDescent="0.25">
      <c r="A238" t="s">
        <v>309</v>
      </c>
      <c r="B238" t="s">
        <v>308</v>
      </c>
      <c r="C238" t="s">
        <v>3</v>
      </c>
      <c r="D238" t="s">
        <v>1250</v>
      </c>
      <c r="E238" t="s">
        <v>602</v>
      </c>
      <c r="F238" t="s">
        <v>6</v>
      </c>
      <c r="G238" s="145">
        <v>4.2541198491914513E-3</v>
      </c>
      <c r="H238" s="118">
        <v>0.8</v>
      </c>
      <c r="I238" s="118"/>
      <c r="J238" s="118"/>
      <c r="K238" t="s">
        <v>1251</v>
      </c>
      <c r="L238" s="146" t="s">
        <v>1486</v>
      </c>
    </row>
    <row r="239" spans="1:12" x14ac:dyDescent="0.25">
      <c r="A239" t="s">
        <v>309</v>
      </c>
      <c r="B239" t="s">
        <v>308</v>
      </c>
      <c r="C239" t="s">
        <v>3</v>
      </c>
      <c r="D239" t="s">
        <v>1250</v>
      </c>
      <c r="E239" t="s">
        <v>997</v>
      </c>
      <c r="F239" t="s">
        <v>15</v>
      </c>
      <c r="G239" s="145">
        <v>2.658824905744657E-2</v>
      </c>
      <c r="H239" s="118">
        <v>5</v>
      </c>
      <c r="I239" s="118"/>
      <c r="J239" s="118"/>
      <c r="K239" t="s">
        <v>1251</v>
      </c>
      <c r="L239" s="146" t="s">
        <v>1487</v>
      </c>
    </row>
    <row r="240" spans="1:12" x14ac:dyDescent="0.25">
      <c r="A240" t="s">
        <v>309</v>
      </c>
      <c r="B240" t="s">
        <v>308</v>
      </c>
      <c r="C240" t="s">
        <v>3</v>
      </c>
      <c r="D240" t="s">
        <v>1246</v>
      </c>
      <c r="E240" t="s">
        <v>306</v>
      </c>
      <c r="F240" t="s">
        <v>3</v>
      </c>
      <c r="G240" s="145">
        <v>1</v>
      </c>
      <c r="H240" s="118">
        <v>188.053</v>
      </c>
      <c r="I240" s="118">
        <v>10.5</v>
      </c>
      <c r="J240" s="118"/>
      <c r="K240" t="s">
        <v>1247</v>
      </c>
      <c r="L240" s="146" t="s">
        <v>1488</v>
      </c>
    </row>
    <row r="241" spans="1:12" x14ac:dyDescent="0.25">
      <c r="A241" t="s">
        <v>309</v>
      </c>
      <c r="B241" t="s">
        <v>308</v>
      </c>
      <c r="C241" t="s">
        <v>3</v>
      </c>
      <c r="D241" t="s">
        <v>1248</v>
      </c>
      <c r="E241" t="s">
        <v>1176</v>
      </c>
      <c r="F241" t="s">
        <v>15</v>
      </c>
      <c r="G241" s="145">
        <v>1.8718127336442387</v>
      </c>
      <c r="H241" s="118">
        <v>352</v>
      </c>
      <c r="I241" s="118"/>
      <c r="J241" s="118"/>
      <c r="K241" t="s">
        <v>1251</v>
      </c>
      <c r="L241" s="146" t="s">
        <v>1489</v>
      </c>
    </row>
    <row r="242" spans="1:12" x14ac:dyDescent="0.25">
      <c r="A242" t="s">
        <v>309</v>
      </c>
      <c r="B242" t="s">
        <v>308</v>
      </c>
      <c r="C242" t="s">
        <v>3</v>
      </c>
      <c r="D242" t="s">
        <v>1248</v>
      </c>
      <c r="E242" t="s">
        <v>1198</v>
      </c>
      <c r="F242" t="s">
        <v>15</v>
      </c>
      <c r="G242" s="145">
        <v>1.8718127336442387</v>
      </c>
      <c r="H242" s="118">
        <v>352</v>
      </c>
      <c r="I242" s="118"/>
      <c r="J242" s="118"/>
      <c r="K242" t="s">
        <v>1251</v>
      </c>
      <c r="L242" s="146" t="s">
        <v>1490</v>
      </c>
    </row>
    <row r="243" spans="1:12" x14ac:dyDescent="0.25">
      <c r="A243" t="s">
        <v>305</v>
      </c>
      <c r="B243" t="s">
        <v>304</v>
      </c>
      <c r="C243" t="s">
        <v>88</v>
      </c>
      <c r="D243" t="s">
        <v>1248</v>
      </c>
      <c r="E243" t="s">
        <v>329</v>
      </c>
      <c r="F243" t="s">
        <v>88</v>
      </c>
      <c r="G243" s="145">
        <v>1</v>
      </c>
      <c r="H243" s="118">
        <v>1</v>
      </c>
      <c r="I243" s="118">
        <v>1</v>
      </c>
      <c r="J243" s="118">
        <v>1</v>
      </c>
      <c r="L243" s="146" t="s">
        <v>1491</v>
      </c>
    </row>
    <row r="244" spans="1:12" x14ac:dyDescent="0.25">
      <c r="A244" t="s">
        <v>302</v>
      </c>
      <c r="B244" t="s">
        <v>301</v>
      </c>
      <c r="C244" t="s">
        <v>6</v>
      </c>
      <c r="D244" t="s">
        <v>1250</v>
      </c>
      <c r="E244" t="s">
        <v>790</v>
      </c>
      <c r="F244" t="s">
        <v>8</v>
      </c>
      <c r="G244" s="145">
        <v>2.5062656641604009</v>
      </c>
      <c r="H244" s="118"/>
      <c r="I244" s="118">
        <v>20</v>
      </c>
      <c r="J244" s="118"/>
      <c r="K244" t="s">
        <v>1251</v>
      </c>
      <c r="L244" s="146" t="s">
        <v>1492</v>
      </c>
    </row>
    <row r="245" spans="1:12" x14ac:dyDescent="0.25">
      <c r="A245" t="s">
        <v>302</v>
      </c>
      <c r="B245" t="s">
        <v>301</v>
      </c>
      <c r="C245" t="s">
        <v>6</v>
      </c>
      <c r="D245" t="s">
        <v>1250</v>
      </c>
      <c r="E245" t="s">
        <v>603</v>
      </c>
      <c r="F245" t="s">
        <v>6</v>
      </c>
      <c r="G245" s="145">
        <v>0.35588972431077692</v>
      </c>
      <c r="H245" s="118"/>
      <c r="I245" s="118">
        <v>2.84</v>
      </c>
      <c r="J245" s="118"/>
      <c r="K245" t="s">
        <v>1251</v>
      </c>
      <c r="L245" s="146" t="s">
        <v>1493</v>
      </c>
    </row>
    <row r="246" spans="1:12" x14ac:dyDescent="0.25">
      <c r="A246" t="s">
        <v>302</v>
      </c>
      <c r="B246" t="s">
        <v>301</v>
      </c>
      <c r="C246" t="s">
        <v>6</v>
      </c>
      <c r="D246" t="s">
        <v>1250</v>
      </c>
      <c r="E246" t="s">
        <v>602</v>
      </c>
      <c r="F246" t="s">
        <v>6</v>
      </c>
      <c r="G246" s="145">
        <v>0.35588972431077692</v>
      </c>
      <c r="H246" s="118"/>
      <c r="I246" s="118">
        <v>2.84</v>
      </c>
      <c r="J246" s="118"/>
      <c r="K246" t="s">
        <v>1251</v>
      </c>
      <c r="L246" s="146" t="s">
        <v>1494</v>
      </c>
    </row>
    <row r="247" spans="1:12" x14ac:dyDescent="0.25">
      <c r="A247" t="s">
        <v>302</v>
      </c>
      <c r="B247" t="s">
        <v>301</v>
      </c>
      <c r="C247" t="s">
        <v>6</v>
      </c>
      <c r="D247" t="s">
        <v>1246</v>
      </c>
      <c r="E247" t="s">
        <v>300</v>
      </c>
      <c r="F247" t="s">
        <v>6</v>
      </c>
      <c r="G247" s="145">
        <v>1</v>
      </c>
      <c r="H247" s="118"/>
      <c r="I247" s="118">
        <v>7.98</v>
      </c>
      <c r="J247" s="118"/>
      <c r="K247" t="s">
        <v>1251</v>
      </c>
      <c r="L247" s="146" t="s">
        <v>1495</v>
      </c>
    </row>
    <row r="248" spans="1:12" x14ac:dyDescent="0.25">
      <c r="A248" t="s">
        <v>299</v>
      </c>
      <c r="B248" t="s">
        <v>298</v>
      </c>
      <c r="C248" t="s">
        <v>6</v>
      </c>
      <c r="D248" t="s">
        <v>1246</v>
      </c>
      <c r="E248" t="s">
        <v>297</v>
      </c>
      <c r="F248" t="s">
        <v>6</v>
      </c>
      <c r="G248" s="145">
        <v>1</v>
      </c>
      <c r="H248" s="118"/>
      <c r="I248" s="118">
        <v>0.6</v>
      </c>
      <c r="J248" s="118"/>
      <c r="K248" t="s">
        <v>1251</v>
      </c>
      <c r="L248" s="146" t="s">
        <v>1496</v>
      </c>
    </row>
    <row r="249" spans="1:12" x14ac:dyDescent="0.25">
      <c r="A249" t="s">
        <v>295</v>
      </c>
      <c r="B249" t="s">
        <v>294</v>
      </c>
      <c r="C249" t="s">
        <v>130</v>
      </c>
      <c r="D249" t="s">
        <v>1246</v>
      </c>
      <c r="E249" t="s">
        <v>1088</v>
      </c>
      <c r="F249" t="s">
        <v>130</v>
      </c>
      <c r="G249" s="145">
        <v>1</v>
      </c>
      <c r="H249" s="118">
        <v>120.59</v>
      </c>
      <c r="I249" s="118">
        <v>195.83</v>
      </c>
      <c r="J249" s="118">
        <v>208.98</v>
      </c>
      <c r="K249" t="s">
        <v>1247</v>
      </c>
      <c r="L249" s="146" t="s">
        <v>1497</v>
      </c>
    </row>
    <row r="250" spans="1:12" x14ac:dyDescent="0.25">
      <c r="A250" t="s">
        <v>292</v>
      </c>
      <c r="B250" t="s">
        <v>291</v>
      </c>
      <c r="C250" t="s">
        <v>130</v>
      </c>
      <c r="D250" t="s">
        <v>1246</v>
      </c>
      <c r="E250" t="s">
        <v>1086</v>
      </c>
      <c r="F250" t="s">
        <v>130</v>
      </c>
      <c r="G250" s="145">
        <v>1</v>
      </c>
      <c r="H250" s="118">
        <v>26.68</v>
      </c>
      <c r="I250" s="118"/>
      <c r="J250" s="118"/>
      <c r="K250" t="s">
        <v>1251</v>
      </c>
      <c r="L250" s="146" t="s">
        <v>1498</v>
      </c>
    </row>
    <row r="251" spans="1:12" x14ac:dyDescent="0.25">
      <c r="A251" t="s">
        <v>289</v>
      </c>
      <c r="B251" t="s">
        <v>288</v>
      </c>
      <c r="C251" t="s">
        <v>130</v>
      </c>
      <c r="D251" t="s">
        <v>1246</v>
      </c>
      <c r="E251" t="s">
        <v>1098</v>
      </c>
      <c r="F251" t="s">
        <v>130</v>
      </c>
      <c r="G251" s="145">
        <v>1</v>
      </c>
      <c r="H251" s="118">
        <v>324.92590000000001</v>
      </c>
      <c r="I251" s="118">
        <v>227.32</v>
      </c>
      <c r="J251" s="118">
        <v>766.81</v>
      </c>
      <c r="K251" t="s">
        <v>1247</v>
      </c>
      <c r="L251" s="146" t="s">
        <v>1499</v>
      </c>
    </row>
    <row r="252" spans="1:12" x14ac:dyDescent="0.25">
      <c r="A252" t="s">
        <v>289</v>
      </c>
      <c r="B252" t="s">
        <v>288</v>
      </c>
      <c r="C252" t="s">
        <v>130</v>
      </c>
      <c r="D252" t="s">
        <v>1248</v>
      </c>
      <c r="E252" t="s">
        <v>1186</v>
      </c>
      <c r="F252" t="s">
        <v>15</v>
      </c>
      <c r="G252" s="145">
        <v>0.3695231391870491</v>
      </c>
      <c r="H252" s="118"/>
      <c r="I252" s="118">
        <v>84</v>
      </c>
      <c r="J252" s="118"/>
      <c r="K252" t="s">
        <v>1251</v>
      </c>
      <c r="L252" s="146" t="s">
        <v>1500</v>
      </c>
    </row>
    <row r="253" spans="1:12" x14ac:dyDescent="0.25">
      <c r="A253" t="s">
        <v>289</v>
      </c>
      <c r="B253" t="s">
        <v>288</v>
      </c>
      <c r="C253" t="s">
        <v>130</v>
      </c>
      <c r="D253" t="s">
        <v>1248</v>
      </c>
      <c r="E253" t="s">
        <v>1198</v>
      </c>
      <c r="F253" t="s">
        <v>15</v>
      </c>
      <c r="G253" s="145">
        <v>0.3695231391870491</v>
      </c>
      <c r="H253" s="118"/>
      <c r="I253" s="118">
        <v>84</v>
      </c>
      <c r="J253" s="118"/>
      <c r="K253" t="s">
        <v>1251</v>
      </c>
      <c r="L253" s="146" t="s">
        <v>1501</v>
      </c>
    </row>
    <row r="254" spans="1:12" x14ac:dyDescent="0.25">
      <c r="A254" t="s">
        <v>506</v>
      </c>
      <c r="B254" t="s">
        <v>286</v>
      </c>
      <c r="C254" t="s">
        <v>130</v>
      </c>
      <c r="D254" t="s">
        <v>1246</v>
      </c>
      <c r="E254" t="s">
        <v>1096</v>
      </c>
      <c r="F254" t="s">
        <v>130</v>
      </c>
      <c r="G254" s="145">
        <v>1</v>
      </c>
      <c r="H254" s="118"/>
      <c r="I254" s="118">
        <v>13.6</v>
      </c>
      <c r="J254" s="118"/>
      <c r="K254" t="s">
        <v>1251</v>
      </c>
      <c r="L254" s="146" t="s">
        <v>1502</v>
      </c>
    </row>
    <row r="255" spans="1:12" x14ac:dyDescent="0.25">
      <c r="A255" t="s">
        <v>284</v>
      </c>
      <c r="B255" t="s">
        <v>283</v>
      </c>
      <c r="C255" t="s">
        <v>3</v>
      </c>
      <c r="D255" t="s">
        <v>1246</v>
      </c>
      <c r="E255" t="s">
        <v>1092</v>
      </c>
      <c r="F255" t="s">
        <v>3</v>
      </c>
      <c r="G255" s="145">
        <v>1</v>
      </c>
      <c r="H255" s="118">
        <v>167.28</v>
      </c>
      <c r="I255" s="118">
        <v>151.33000000000001</v>
      </c>
      <c r="J255" s="118">
        <v>773.48</v>
      </c>
      <c r="K255" t="s">
        <v>1247</v>
      </c>
      <c r="L255" s="146" t="s">
        <v>1503</v>
      </c>
    </row>
    <row r="256" spans="1:12" x14ac:dyDescent="0.25">
      <c r="A256" t="s">
        <v>282</v>
      </c>
      <c r="B256" t="s">
        <v>281</v>
      </c>
      <c r="C256" t="s">
        <v>130</v>
      </c>
      <c r="D256" t="s">
        <v>1246</v>
      </c>
      <c r="E256" t="s">
        <v>1094</v>
      </c>
      <c r="F256" t="s">
        <v>130</v>
      </c>
      <c r="G256" s="145">
        <v>1</v>
      </c>
      <c r="H256" s="118">
        <v>90.47</v>
      </c>
      <c r="I256" s="118"/>
      <c r="J256" s="118">
        <v>475.23</v>
      </c>
      <c r="K256" t="s">
        <v>1247</v>
      </c>
      <c r="L256" s="146" t="s">
        <v>1504</v>
      </c>
    </row>
    <row r="257" spans="1:12" x14ac:dyDescent="0.25">
      <c r="A257" t="s">
        <v>279</v>
      </c>
      <c r="B257" t="s">
        <v>278</v>
      </c>
      <c r="C257" t="s">
        <v>130</v>
      </c>
      <c r="D257" t="s">
        <v>1246</v>
      </c>
      <c r="E257" t="s">
        <v>277</v>
      </c>
      <c r="F257" t="s">
        <v>130</v>
      </c>
      <c r="G257" s="145">
        <v>1</v>
      </c>
      <c r="H257" s="118">
        <v>542.19000000000005</v>
      </c>
      <c r="I257" s="118">
        <v>196.51</v>
      </c>
      <c r="J257" s="118">
        <v>400.44</v>
      </c>
      <c r="K257" t="s">
        <v>1247</v>
      </c>
      <c r="L257" s="146" t="s">
        <v>1505</v>
      </c>
    </row>
    <row r="258" spans="1:12" x14ac:dyDescent="0.25">
      <c r="A258" t="s">
        <v>276</v>
      </c>
      <c r="B258" t="s">
        <v>275</v>
      </c>
      <c r="C258" t="s">
        <v>3</v>
      </c>
      <c r="D258" t="s">
        <v>1250</v>
      </c>
      <c r="E258" t="s">
        <v>703</v>
      </c>
      <c r="F258" t="s">
        <v>144</v>
      </c>
      <c r="G258" s="145">
        <v>9.5238095238095233E-2</v>
      </c>
      <c r="H258" s="118"/>
      <c r="I258" s="118">
        <v>1</v>
      </c>
      <c r="J258" s="118"/>
      <c r="K258" t="s">
        <v>1251</v>
      </c>
      <c r="L258" s="146" t="s">
        <v>1506</v>
      </c>
    </row>
    <row r="259" spans="1:12" x14ac:dyDescent="0.25">
      <c r="A259" t="s">
        <v>276</v>
      </c>
      <c r="B259" t="s">
        <v>275</v>
      </c>
      <c r="C259" t="s">
        <v>3</v>
      </c>
      <c r="D259" t="s">
        <v>1250</v>
      </c>
      <c r="E259" t="s">
        <v>810</v>
      </c>
      <c r="F259" t="s">
        <v>30</v>
      </c>
      <c r="G259" s="145">
        <v>6.6096109086318466E-2</v>
      </c>
      <c r="H259" s="118">
        <v>5</v>
      </c>
      <c r="I259" s="118">
        <v>1</v>
      </c>
      <c r="J259" s="118"/>
      <c r="L259" s="146" t="s">
        <v>1507</v>
      </c>
    </row>
    <row r="260" spans="1:12" x14ac:dyDescent="0.25">
      <c r="A260" t="s">
        <v>276</v>
      </c>
      <c r="B260" t="s">
        <v>275</v>
      </c>
      <c r="C260" t="s">
        <v>3</v>
      </c>
      <c r="D260" t="s">
        <v>1250</v>
      </c>
      <c r="E260" t="s">
        <v>816</v>
      </c>
      <c r="F260" t="s">
        <v>30</v>
      </c>
      <c r="G260" s="145">
        <v>0.33702874562678747</v>
      </c>
      <c r="H260" s="118">
        <v>1</v>
      </c>
      <c r="I260" s="118">
        <v>7</v>
      </c>
      <c r="J260" s="118"/>
      <c r="K260" t="s">
        <v>1249</v>
      </c>
      <c r="L260" s="146" t="s">
        <v>1508</v>
      </c>
    </row>
    <row r="261" spans="1:12" x14ac:dyDescent="0.25">
      <c r="A261" t="s">
        <v>276</v>
      </c>
      <c r="B261" t="s">
        <v>275</v>
      </c>
      <c r="C261" t="s">
        <v>3</v>
      </c>
      <c r="D261" t="s">
        <v>1250</v>
      </c>
      <c r="E261" t="s">
        <v>824</v>
      </c>
      <c r="F261" t="s">
        <v>30</v>
      </c>
      <c r="G261" s="145">
        <v>0.17057273505804912</v>
      </c>
      <c r="H261" s="118">
        <v>7.5</v>
      </c>
      <c r="I261" s="118">
        <v>3</v>
      </c>
      <c r="J261" s="118"/>
      <c r="K261" t="s">
        <v>1249</v>
      </c>
      <c r="L261" s="146" t="s">
        <v>1509</v>
      </c>
    </row>
    <row r="262" spans="1:12" x14ac:dyDescent="0.25">
      <c r="A262" t="s">
        <v>276</v>
      </c>
      <c r="B262" t="s">
        <v>275</v>
      </c>
      <c r="C262" t="s">
        <v>3</v>
      </c>
      <c r="D262" t="s">
        <v>1250</v>
      </c>
      <c r="E262" t="s">
        <v>820</v>
      </c>
      <c r="F262" t="s">
        <v>30</v>
      </c>
      <c r="G262" s="145">
        <v>0.30234364103482947</v>
      </c>
      <c r="H262" s="118">
        <v>4.5</v>
      </c>
      <c r="I262" s="118">
        <v>6</v>
      </c>
      <c r="J262" s="118"/>
      <c r="K262" t="s">
        <v>1249</v>
      </c>
      <c r="L262" s="146" t="s">
        <v>1510</v>
      </c>
    </row>
    <row r="263" spans="1:12" x14ac:dyDescent="0.25">
      <c r="A263" t="s">
        <v>276</v>
      </c>
      <c r="B263" t="s">
        <v>275</v>
      </c>
      <c r="C263" t="s">
        <v>3</v>
      </c>
      <c r="D263" t="s">
        <v>1250</v>
      </c>
      <c r="E263" t="s">
        <v>606</v>
      </c>
      <c r="F263" t="s">
        <v>15</v>
      </c>
      <c r="G263" s="145">
        <v>4.2857142857142856</v>
      </c>
      <c r="H263" s="118"/>
      <c r="I263" s="118">
        <v>45</v>
      </c>
      <c r="J263" s="118"/>
      <c r="K263" t="s">
        <v>1251</v>
      </c>
      <c r="L263" s="146" t="s">
        <v>1511</v>
      </c>
    </row>
    <row r="264" spans="1:12" x14ac:dyDescent="0.25">
      <c r="A264" t="s">
        <v>276</v>
      </c>
      <c r="B264" t="s">
        <v>275</v>
      </c>
      <c r="C264" t="s">
        <v>3</v>
      </c>
      <c r="D264" t="s">
        <v>1246</v>
      </c>
      <c r="E264" t="s">
        <v>1090</v>
      </c>
      <c r="F264" t="s">
        <v>3</v>
      </c>
      <c r="G264" s="145">
        <v>1</v>
      </c>
      <c r="H264" s="118">
        <v>135.30289999999999</v>
      </c>
      <c r="I264" s="118">
        <v>10.5</v>
      </c>
      <c r="J264" s="118">
        <v>113.59</v>
      </c>
      <c r="K264" t="s">
        <v>1247</v>
      </c>
      <c r="L264" s="146" t="s">
        <v>1512</v>
      </c>
    </row>
    <row r="265" spans="1:12" x14ac:dyDescent="0.25">
      <c r="A265" t="s">
        <v>276</v>
      </c>
      <c r="B265" t="s">
        <v>275</v>
      </c>
      <c r="C265" t="s">
        <v>3</v>
      </c>
      <c r="D265" t="s">
        <v>1248</v>
      </c>
      <c r="E265" t="s">
        <v>1186</v>
      </c>
      <c r="F265" t="s">
        <v>15</v>
      </c>
      <c r="G265" s="145">
        <v>8</v>
      </c>
      <c r="H265" s="118"/>
      <c r="I265" s="118">
        <v>84</v>
      </c>
      <c r="J265" s="118"/>
      <c r="K265" t="s">
        <v>1251</v>
      </c>
      <c r="L265" s="146" t="s">
        <v>1513</v>
      </c>
    </row>
    <row r="266" spans="1:12" x14ac:dyDescent="0.25">
      <c r="A266" t="s">
        <v>276</v>
      </c>
      <c r="B266" t="s">
        <v>275</v>
      </c>
      <c r="C266" t="s">
        <v>3</v>
      </c>
      <c r="D266" t="s">
        <v>1248</v>
      </c>
      <c r="E266" t="s">
        <v>1198</v>
      </c>
      <c r="F266" t="s">
        <v>15</v>
      </c>
      <c r="G266" s="145">
        <v>8</v>
      </c>
      <c r="H266" s="118"/>
      <c r="I266" s="118">
        <v>84</v>
      </c>
      <c r="J266" s="118"/>
      <c r="K266" t="s">
        <v>1251</v>
      </c>
      <c r="L266" s="146" t="s">
        <v>1514</v>
      </c>
    </row>
    <row r="267" spans="1:12" x14ac:dyDescent="0.25">
      <c r="A267" t="s">
        <v>271</v>
      </c>
      <c r="B267" t="s">
        <v>270</v>
      </c>
      <c r="C267" t="s">
        <v>130</v>
      </c>
      <c r="D267" t="s">
        <v>1250</v>
      </c>
      <c r="E267" t="s">
        <v>720</v>
      </c>
      <c r="F267" t="s">
        <v>6</v>
      </c>
      <c r="G267" s="145">
        <v>3.9328437640159856E-2</v>
      </c>
      <c r="H267" s="118">
        <v>11.75</v>
      </c>
      <c r="I267" s="118">
        <v>8.8000000000000007</v>
      </c>
      <c r="J267" s="118">
        <v>6.76</v>
      </c>
      <c r="K267" t="s">
        <v>1249</v>
      </c>
      <c r="L267" s="146" t="s">
        <v>1515</v>
      </c>
    </row>
    <row r="268" spans="1:12" x14ac:dyDescent="0.25">
      <c r="A268" t="s">
        <v>271</v>
      </c>
      <c r="B268" t="s">
        <v>270</v>
      </c>
      <c r="C268" t="s">
        <v>130</v>
      </c>
      <c r="D268" t="s">
        <v>1250</v>
      </c>
      <c r="E268" t="s">
        <v>733</v>
      </c>
      <c r="F268" t="s">
        <v>15</v>
      </c>
      <c r="G268" s="145">
        <v>7.4346347305076419</v>
      </c>
      <c r="H268" s="118">
        <v>3107</v>
      </c>
      <c r="I268" s="118">
        <v>3153</v>
      </c>
      <c r="J268" s="118">
        <v>1075</v>
      </c>
      <c r="L268" s="146" t="s">
        <v>1516</v>
      </c>
    </row>
    <row r="269" spans="1:12" x14ac:dyDescent="0.25">
      <c r="A269" t="s">
        <v>271</v>
      </c>
      <c r="B269" t="s">
        <v>270</v>
      </c>
      <c r="C269" t="s">
        <v>130</v>
      </c>
      <c r="D269" t="s">
        <v>1250</v>
      </c>
      <c r="E269" t="s">
        <v>775</v>
      </c>
      <c r="F269" t="s">
        <v>222</v>
      </c>
      <c r="G269" s="145">
        <v>1.1630871200050985E-3</v>
      </c>
      <c r="H269" s="118"/>
      <c r="I269" s="118">
        <v>0.73</v>
      </c>
      <c r="J269" s="118"/>
      <c r="K269" t="s">
        <v>1251</v>
      </c>
      <c r="L269" s="146" t="s">
        <v>1517</v>
      </c>
    </row>
    <row r="270" spans="1:12" x14ac:dyDescent="0.25">
      <c r="A270" t="s">
        <v>271</v>
      </c>
      <c r="B270" t="s">
        <v>270</v>
      </c>
      <c r="C270" t="s">
        <v>130</v>
      </c>
      <c r="D270" t="s">
        <v>1250</v>
      </c>
      <c r="E270" t="s">
        <v>785</v>
      </c>
      <c r="F270" t="s">
        <v>174</v>
      </c>
      <c r="G270" s="145">
        <v>0.2065080025249599</v>
      </c>
      <c r="H270" s="118">
        <v>82</v>
      </c>
      <c r="I270" s="118">
        <v>84</v>
      </c>
      <c r="J270" s="118">
        <v>33</v>
      </c>
      <c r="L270" s="146" t="s">
        <v>1518</v>
      </c>
    </row>
    <row r="271" spans="1:12" x14ac:dyDescent="0.25">
      <c r="A271" t="s">
        <v>271</v>
      </c>
      <c r="B271" t="s">
        <v>270</v>
      </c>
      <c r="C271" t="s">
        <v>130</v>
      </c>
      <c r="D271" t="s">
        <v>1250</v>
      </c>
      <c r="E271" t="s">
        <v>856</v>
      </c>
      <c r="F271" t="s">
        <v>15</v>
      </c>
      <c r="G271" s="145">
        <v>4.6272649367324899E-2</v>
      </c>
      <c r="H271" s="118">
        <v>20</v>
      </c>
      <c r="I271" s="118"/>
      <c r="J271" s="118">
        <v>4</v>
      </c>
      <c r="L271" s="146" t="s">
        <v>1519</v>
      </c>
    </row>
    <row r="272" spans="1:12" x14ac:dyDescent="0.25">
      <c r="A272" t="s">
        <v>271</v>
      </c>
      <c r="B272" t="s">
        <v>270</v>
      </c>
      <c r="C272" t="s">
        <v>130</v>
      </c>
      <c r="D272" t="s">
        <v>1250</v>
      </c>
      <c r="E272" t="s">
        <v>951</v>
      </c>
      <c r="F272" t="s">
        <v>15</v>
      </c>
      <c r="G272" s="145">
        <v>7.9940893322752692E-3</v>
      </c>
      <c r="H272" s="118"/>
      <c r="I272" s="118">
        <v>2</v>
      </c>
      <c r="J272" s="118">
        <v>2</v>
      </c>
      <c r="K272" t="s">
        <v>1249</v>
      </c>
      <c r="L272" s="146" t="s">
        <v>1520</v>
      </c>
    </row>
    <row r="273" spans="1:12" x14ac:dyDescent="0.25">
      <c r="A273" t="s">
        <v>271</v>
      </c>
      <c r="B273" t="s">
        <v>270</v>
      </c>
      <c r="C273" t="s">
        <v>130</v>
      </c>
      <c r="D273" t="s">
        <v>1250</v>
      </c>
      <c r="E273" t="s">
        <v>997</v>
      </c>
      <c r="F273" t="s">
        <v>15</v>
      </c>
      <c r="G273" s="145">
        <v>2.6043351489452415E-2</v>
      </c>
      <c r="H273" s="118">
        <v>6</v>
      </c>
      <c r="I273" s="118"/>
      <c r="J273" s="118">
        <v>5</v>
      </c>
      <c r="L273" s="146" t="s">
        <v>1521</v>
      </c>
    </row>
    <row r="274" spans="1:12" x14ac:dyDescent="0.25">
      <c r="A274" t="s">
        <v>271</v>
      </c>
      <c r="B274" t="s">
        <v>270</v>
      </c>
      <c r="C274" t="s">
        <v>130</v>
      </c>
      <c r="D274" t="s">
        <v>1250</v>
      </c>
      <c r="E274" t="s">
        <v>1047</v>
      </c>
      <c r="F274" t="s">
        <v>15</v>
      </c>
      <c r="G274" s="145">
        <v>2.5603277219484095E-2</v>
      </c>
      <c r="H274" s="118"/>
      <c r="I274" s="118"/>
      <c r="J274" s="118">
        <v>4</v>
      </c>
      <c r="K274" t="s">
        <v>1251</v>
      </c>
      <c r="L274" s="146" t="s">
        <v>1522</v>
      </c>
    </row>
    <row r="275" spans="1:12" x14ac:dyDescent="0.25">
      <c r="A275" t="s">
        <v>271</v>
      </c>
      <c r="B275" t="s">
        <v>270</v>
      </c>
      <c r="C275" t="s">
        <v>130</v>
      </c>
      <c r="D275" t="s">
        <v>1246</v>
      </c>
      <c r="E275" t="s">
        <v>268</v>
      </c>
      <c r="F275" t="s">
        <v>130</v>
      </c>
      <c r="G275" s="145">
        <v>1</v>
      </c>
      <c r="H275" s="118">
        <v>298.76600000000002</v>
      </c>
      <c r="I275" s="118">
        <v>627.64</v>
      </c>
      <c r="J275" s="118">
        <v>156.22999999999999</v>
      </c>
      <c r="K275" t="s">
        <v>1247</v>
      </c>
      <c r="L275" s="146" t="s">
        <v>1523</v>
      </c>
    </row>
    <row r="276" spans="1:12" x14ac:dyDescent="0.25">
      <c r="A276" t="s">
        <v>271</v>
      </c>
      <c r="B276" t="s">
        <v>270</v>
      </c>
      <c r="C276" t="s">
        <v>130</v>
      </c>
      <c r="D276" t="s">
        <v>1248</v>
      </c>
      <c r="E276" t="s">
        <v>1176</v>
      </c>
      <c r="F276" t="s">
        <v>15</v>
      </c>
      <c r="G276" s="145">
        <v>1.2353581258401076</v>
      </c>
      <c r="H276" s="118">
        <v>492.05</v>
      </c>
      <c r="I276" s="118">
        <v>294</v>
      </c>
      <c r="J276" s="118">
        <v>193</v>
      </c>
      <c r="K276" t="s">
        <v>1249</v>
      </c>
      <c r="L276" s="146" t="s">
        <v>1524</v>
      </c>
    </row>
    <row r="277" spans="1:12" x14ac:dyDescent="0.25">
      <c r="A277" t="s">
        <v>271</v>
      </c>
      <c r="B277" t="s">
        <v>270</v>
      </c>
      <c r="C277" t="s">
        <v>130</v>
      </c>
      <c r="D277" t="s">
        <v>1248</v>
      </c>
      <c r="E277" t="s">
        <v>1198</v>
      </c>
      <c r="F277" t="s">
        <v>15</v>
      </c>
      <c r="G277" s="145">
        <v>1.2353581258401076</v>
      </c>
      <c r="H277" s="118">
        <v>492</v>
      </c>
      <c r="I277" s="118">
        <v>294</v>
      </c>
      <c r="J277" s="118">
        <v>193</v>
      </c>
      <c r="K277" t="s">
        <v>1249</v>
      </c>
      <c r="L277" s="146" t="s">
        <v>1525</v>
      </c>
    </row>
    <row r="278" spans="1:12" x14ac:dyDescent="0.25">
      <c r="A278" t="s">
        <v>267</v>
      </c>
      <c r="B278" t="s">
        <v>266</v>
      </c>
      <c r="C278" t="s">
        <v>130</v>
      </c>
      <c r="D278" t="s">
        <v>1250</v>
      </c>
      <c r="E278" t="s">
        <v>720</v>
      </c>
      <c r="F278" t="s">
        <v>6</v>
      </c>
      <c r="G278" s="145">
        <v>3.5562912246382264E-2</v>
      </c>
      <c r="H278" s="118">
        <v>14.18</v>
      </c>
      <c r="I278" s="118">
        <v>16</v>
      </c>
      <c r="J278" s="118">
        <v>14.8</v>
      </c>
      <c r="K278" t="s">
        <v>1249</v>
      </c>
      <c r="L278" s="146" t="s">
        <v>1526</v>
      </c>
    </row>
    <row r="279" spans="1:12" x14ac:dyDescent="0.25">
      <c r="A279" t="s">
        <v>267</v>
      </c>
      <c r="B279" t="s">
        <v>266</v>
      </c>
      <c r="C279" t="s">
        <v>130</v>
      </c>
      <c r="D279" t="s">
        <v>1250</v>
      </c>
      <c r="E279" t="s">
        <v>731</v>
      </c>
      <c r="F279" t="s">
        <v>15</v>
      </c>
      <c r="G279" s="145">
        <v>10.019058135462666</v>
      </c>
      <c r="H279" s="118">
        <v>4071</v>
      </c>
      <c r="I279" s="118">
        <v>1925</v>
      </c>
      <c r="J279" s="118">
        <v>5755</v>
      </c>
      <c r="L279" s="146" t="s">
        <v>1527</v>
      </c>
    </row>
    <row r="280" spans="1:12" x14ac:dyDescent="0.25">
      <c r="A280" t="s">
        <v>267</v>
      </c>
      <c r="B280" t="s">
        <v>266</v>
      </c>
      <c r="C280" t="s">
        <v>130</v>
      </c>
      <c r="D280" t="s">
        <v>1250</v>
      </c>
      <c r="E280" t="s">
        <v>749</v>
      </c>
      <c r="F280" t="s">
        <v>15</v>
      </c>
      <c r="G280" s="145">
        <v>3.3540580521597562E-3</v>
      </c>
      <c r="H280" s="118">
        <v>2</v>
      </c>
      <c r="I280" s="118"/>
      <c r="J280" s="118">
        <v>1</v>
      </c>
      <c r="L280" s="146" t="s">
        <v>1528</v>
      </c>
    </row>
    <row r="281" spans="1:12" x14ac:dyDescent="0.25">
      <c r="A281" t="s">
        <v>267</v>
      </c>
      <c r="B281" t="s">
        <v>266</v>
      </c>
      <c r="C281" t="s">
        <v>130</v>
      </c>
      <c r="D281" t="s">
        <v>1250</v>
      </c>
      <c r="E281" t="s">
        <v>775</v>
      </c>
      <c r="F281" t="s">
        <v>222</v>
      </c>
      <c r="G281" s="145">
        <v>3.8334296066796195E-3</v>
      </c>
      <c r="H281" s="118"/>
      <c r="I281" s="118">
        <v>0.73</v>
      </c>
      <c r="J281" s="118"/>
      <c r="K281" t="s">
        <v>1251</v>
      </c>
      <c r="L281" s="146" t="s">
        <v>1529</v>
      </c>
    </row>
    <row r="282" spans="1:12" x14ac:dyDescent="0.25">
      <c r="A282" t="s">
        <v>267</v>
      </c>
      <c r="B282" t="s">
        <v>266</v>
      </c>
      <c r="C282" t="s">
        <v>130</v>
      </c>
      <c r="D282" t="s">
        <v>1250</v>
      </c>
      <c r="E282" t="s">
        <v>785</v>
      </c>
      <c r="F282" t="s">
        <v>174</v>
      </c>
      <c r="G282" s="145">
        <v>0.17245461546050253</v>
      </c>
      <c r="H282" s="118">
        <v>72</v>
      </c>
      <c r="I282" s="118">
        <v>39</v>
      </c>
      <c r="J282" s="118">
        <v>78</v>
      </c>
      <c r="L282" s="146" t="s">
        <v>1530</v>
      </c>
    </row>
    <row r="283" spans="1:12" x14ac:dyDescent="0.25">
      <c r="A283" t="s">
        <v>267</v>
      </c>
      <c r="B283" t="s">
        <v>266</v>
      </c>
      <c r="C283" t="s">
        <v>130</v>
      </c>
      <c r="D283" t="s">
        <v>1250</v>
      </c>
      <c r="E283" t="s">
        <v>856</v>
      </c>
      <c r="F283" t="s">
        <v>15</v>
      </c>
      <c r="G283" s="145">
        <v>1.5516308869882622E-2</v>
      </c>
      <c r="H283" s="118">
        <v>9</v>
      </c>
      <c r="I283" s="118"/>
      <c r="J283" s="118">
        <v>5</v>
      </c>
      <c r="L283" s="146" t="s">
        <v>1531</v>
      </c>
    </row>
    <row r="284" spans="1:12" x14ac:dyDescent="0.25">
      <c r="A284" t="s">
        <v>267</v>
      </c>
      <c r="B284" t="s">
        <v>266</v>
      </c>
      <c r="C284" t="s">
        <v>130</v>
      </c>
      <c r="D284" t="s">
        <v>1250</v>
      </c>
      <c r="E284" t="s">
        <v>951</v>
      </c>
      <c r="F284" t="s">
        <v>15</v>
      </c>
      <c r="G284" s="145">
        <v>2.4389474816540548E-2</v>
      </c>
      <c r="H284" s="118"/>
      <c r="I284" s="118">
        <v>8</v>
      </c>
      <c r="J284" s="118">
        <v>4</v>
      </c>
      <c r="K284" t="s">
        <v>1249</v>
      </c>
      <c r="L284" s="146" t="s">
        <v>1532</v>
      </c>
    </row>
    <row r="285" spans="1:12" x14ac:dyDescent="0.25">
      <c r="A285" t="s">
        <v>267</v>
      </c>
      <c r="B285" t="s">
        <v>266</v>
      </c>
      <c r="C285" t="s">
        <v>130</v>
      </c>
      <c r="D285" t="s">
        <v>1250</v>
      </c>
      <c r="E285" t="s">
        <v>997</v>
      </c>
      <c r="F285" t="s">
        <v>15</v>
      </c>
      <c r="G285" s="145">
        <v>1.7616385531126218E-2</v>
      </c>
      <c r="H285" s="118">
        <v>10</v>
      </c>
      <c r="I285" s="118"/>
      <c r="J285" s="118">
        <v>6</v>
      </c>
      <c r="L285" s="146" t="s">
        <v>1533</v>
      </c>
    </row>
    <row r="286" spans="1:12" x14ac:dyDescent="0.25">
      <c r="A286" t="s">
        <v>267</v>
      </c>
      <c r="B286" t="s">
        <v>266</v>
      </c>
      <c r="C286" t="s">
        <v>130</v>
      </c>
      <c r="D286" t="s">
        <v>1250</v>
      </c>
      <c r="E286" t="s">
        <v>1044</v>
      </c>
      <c r="F286" t="s">
        <v>15</v>
      </c>
      <c r="G286" s="145">
        <v>1.6921905406548775E-2</v>
      </c>
      <c r="H286" s="118"/>
      <c r="I286" s="118"/>
      <c r="J286" s="118">
        <v>10</v>
      </c>
      <c r="K286" t="s">
        <v>1251</v>
      </c>
      <c r="L286" s="146" t="s">
        <v>1534</v>
      </c>
    </row>
    <row r="287" spans="1:12" x14ac:dyDescent="0.25">
      <c r="A287" t="s">
        <v>267</v>
      </c>
      <c r="B287" t="s">
        <v>266</v>
      </c>
      <c r="C287" t="s">
        <v>130</v>
      </c>
      <c r="D287" t="s">
        <v>1246</v>
      </c>
      <c r="E287" t="s">
        <v>1142</v>
      </c>
      <c r="F287" t="s">
        <v>130</v>
      </c>
      <c r="G287" s="145">
        <v>1</v>
      </c>
      <c r="H287" s="118">
        <v>398.73</v>
      </c>
      <c r="I287" s="118">
        <v>190.43</v>
      </c>
      <c r="J287" s="118">
        <v>590.95000000000005</v>
      </c>
      <c r="K287" t="s">
        <v>1247</v>
      </c>
      <c r="L287" s="146" t="s">
        <v>1535</v>
      </c>
    </row>
    <row r="288" spans="1:12" x14ac:dyDescent="0.25">
      <c r="A288" t="s">
        <v>267</v>
      </c>
      <c r="B288" t="s">
        <v>266</v>
      </c>
      <c r="C288" t="s">
        <v>130</v>
      </c>
      <c r="D288" t="s">
        <v>1248</v>
      </c>
      <c r="E288" t="s">
        <v>1176</v>
      </c>
      <c r="F288" t="s">
        <v>15</v>
      </c>
      <c r="G288" s="145">
        <v>0.36720534732210847</v>
      </c>
      <c r="H288" s="118">
        <v>500</v>
      </c>
      <c r="I288" s="118">
        <v>60</v>
      </c>
      <c r="J288" s="118">
        <v>217</v>
      </c>
      <c r="K288" t="s">
        <v>1249</v>
      </c>
      <c r="L288" s="146" t="s">
        <v>1536</v>
      </c>
    </row>
    <row r="289" spans="1:12" x14ac:dyDescent="0.25">
      <c r="A289" t="s">
        <v>267</v>
      </c>
      <c r="B289" t="s">
        <v>266</v>
      </c>
      <c r="C289" t="s">
        <v>130</v>
      </c>
      <c r="D289" t="s">
        <v>1248</v>
      </c>
      <c r="E289" t="s">
        <v>1198</v>
      </c>
      <c r="F289" t="s">
        <v>15</v>
      </c>
      <c r="G289" s="145">
        <v>0.36720534732210847</v>
      </c>
      <c r="H289" s="118">
        <v>500</v>
      </c>
      <c r="I289" s="118">
        <v>60</v>
      </c>
      <c r="J289" s="118">
        <v>217</v>
      </c>
      <c r="K289" t="s">
        <v>1249</v>
      </c>
      <c r="L289" s="146" t="s">
        <v>1537</v>
      </c>
    </row>
    <row r="290" spans="1:12" x14ac:dyDescent="0.25">
      <c r="A290" t="s">
        <v>263</v>
      </c>
      <c r="B290" t="s">
        <v>262</v>
      </c>
      <c r="C290" t="s">
        <v>130</v>
      </c>
      <c r="D290" t="s">
        <v>1250</v>
      </c>
      <c r="E290" t="s">
        <v>720</v>
      </c>
      <c r="F290" t="s">
        <v>6</v>
      </c>
      <c r="G290" s="145">
        <v>3.4739004349927501E-2</v>
      </c>
      <c r="H290" s="118">
        <v>5.75</v>
      </c>
      <c r="I290" s="118">
        <v>0.8</v>
      </c>
      <c r="J290" s="118">
        <v>5.12</v>
      </c>
      <c r="K290" t="s">
        <v>1249</v>
      </c>
      <c r="L290" s="146" t="s">
        <v>1538</v>
      </c>
    </row>
    <row r="291" spans="1:12" x14ac:dyDescent="0.25">
      <c r="A291" t="s">
        <v>263</v>
      </c>
      <c r="B291" t="s">
        <v>262</v>
      </c>
      <c r="C291" t="s">
        <v>130</v>
      </c>
      <c r="D291" t="s">
        <v>1250</v>
      </c>
      <c r="E291" t="s">
        <v>729</v>
      </c>
      <c r="F291" t="s">
        <v>15</v>
      </c>
      <c r="G291" s="145">
        <v>11.021548496755683</v>
      </c>
      <c r="H291" s="118">
        <v>1768</v>
      </c>
      <c r="I291" s="118">
        <v>2185</v>
      </c>
      <c r="J291" s="118">
        <v>1131</v>
      </c>
      <c r="L291" s="146" t="s">
        <v>1539</v>
      </c>
    </row>
    <row r="292" spans="1:12" x14ac:dyDescent="0.25">
      <c r="A292" t="s">
        <v>263</v>
      </c>
      <c r="B292" t="s">
        <v>262</v>
      </c>
      <c r="C292" t="s">
        <v>130</v>
      </c>
      <c r="D292" t="s">
        <v>1250</v>
      </c>
      <c r="E292" t="s">
        <v>775</v>
      </c>
      <c r="F292" t="s">
        <v>222</v>
      </c>
      <c r="G292" s="145">
        <v>3.6125080274662848E-3</v>
      </c>
      <c r="H292" s="118"/>
      <c r="I292" s="118">
        <v>0.73128000000000004</v>
      </c>
      <c r="J292" s="118"/>
      <c r="K292" t="s">
        <v>1251</v>
      </c>
      <c r="L292" s="146" t="s">
        <v>1540</v>
      </c>
    </row>
    <row r="293" spans="1:12" x14ac:dyDescent="0.25">
      <c r="A293" t="s">
        <v>263</v>
      </c>
      <c r="B293" t="s">
        <v>262</v>
      </c>
      <c r="C293" t="s">
        <v>130</v>
      </c>
      <c r="D293" t="s">
        <v>1250</v>
      </c>
      <c r="E293" t="s">
        <v>785</v>
      </c>
      <c r="F293" t="s">
        <v>8</v>
      </c>
      <c r="G293" s="145">
        <v>0.24059003501532963</v>
      </c>
      <c r="H293" s="118">
        <v>36</v>
      </c>
      <c r="I293" s="118">
        <v>44</v>
      </c>
      <c r="J293" s="118">
        <v>28</v>
      </c>
      <c r="L293" s="146" t="s">
        <v>1541</v>
      </c>
    </row>
    <row r="294" spans="1:12" x14ac:dyDescent="0.25">
      <c r="A294" t="s">
        <v>263</v>
      </c>
      <c r="B294" t="s">
        <v>262</v>
      </c>
      <c r="C294" t="s">
        <v>130</v>
      </c>
      <c r="D294" t="s">
        <v>1250</v>
      </c>
      <c r="E294" t="s">
        <v>856</v>
      </c>
      <c r="F294" t="s">
        <v>15</v>
      </c>
      <c r="G294" s="145">
        <v>2.4432776258729534E-2</v>
      </c>
      <c r="H294" s="118">
        <v>3</v>
      </c>
      <c r="I294" s="118"/>
      <c r="J294" s="118">
        <v>3</v>
      </c>
      <c r="L294" s="146" t="s">
        <v>1542</v>
      </c>
    </row>
    <row r="295" spans="1:12" x14ac:dyDescent="0.25">
      <c r="A295" t="s">
        <v>263</v>
      </c>
      <c r="B295" t="s">
        <v>262</v>
      </c>
      <c r="C295" t="s">
        <v>130</v>
      </c>
      <c r="D295" t="s">
        <v>1250</v>
      </c>
      <c r="E295" t="s">
        <v>951</v>
      </c>
      <c r="F295" t="s">
        <v>15</v>
      </c>
      <c r="G295" s="145">
        <v>4.0987806127677016E-2</v>
      </c>
      <c r="H295" s="118"/>
      <c r="I295" s="118"/>
      <c r="J295" s="118">
        <v>4</v>
      </c>
      <c r="K295" t="s">
        <v>1251</v>
      </c>
      <c r="L295" s="146" t="s">
        <v>1543</v>
      </c>
    </row>
    <row r="296" spans="1:12" x14ac:dyDescent="0.25">
      <c r="A296" t="s">
        <v>263</v>
      </c>
      <c r="B296" t="s">
        <v>262</v>
      </c>
      <c r="C296" t="s">
        <v>130</v>
      </c>
      <c r="D296" t="s">
        <v>1250</v>
      </c>
      <c r="E296" t="s">
        <v>997</v>
      </c>
      <c r="F296" t="s">
        <v>15</v>
      </c>
      <c r="G296" s="145">
        <v>2.6535469037738943E-2</v>
      </c>
      <c r="H296" s="118">
        <v>2</v>
      </c>
      <c r="I296" s="118"/>
      <c r="J296" s="118">
        <v>4</v>
      </c>
      <c r="K296" t="s">
        <v>1249</v>
      </c>
      <c r="L296" s="146" t="s">
        <v>1544</v>
      </c>
    </row>
    <row r="297" spans="1:12" x14ac:dyDescent="0.25">
      <c r="A297" t="s">
        <v>263</v>
      </c>
      <c r="B297" t="s">
        <v>262</v>
      </c>
      <c r="C297" t="s">
        <v>130</v>
      </c>
      <c r="D297" t="s">
        <v>1246</v>
      </c>
      <c r="E297" t="s">
        <v>258</v>
      </c>
      <c r="F297" t="s">
        <v>130</v>
      </c>
      <c r="G297" s="145">
        <v>1</v>
      </c>
      <c r="H297" s="118">
        <v>165.52</v>
      </c>
      <c r="I297" s="118">
        <v>202.43</v>
      </c>
      <c r="J297" s="118">
        <v>97.59</v>
      </c>
      <c r="K297" t="s">
        <v>1247</v>
      </c>
      <c r="L297" s="146" t="s">
        <v>1545</v>
      </c>
    </row>
    <row r="298" spans="1:12" x14ac:dyDescent="0.25">
      <c r="A298" t="s">
        <v>263</v>
      </c>
      <c r="B298" t="s">
        <v>262</v>
      </c>
      <c r="C298" t="s">
        <v>130</v>
      </c>
      <c r="D298" t="s">
        <v>1248</v>
      </c>
      <c r="E298" t="s">
        <v>1176</v>
      </c>
      <c r="F298" t="s">
        <v>15</v>
      </c>
      <c r="G298" s="145">
        <v>0.80218373708919155</v>
      </c>
      <c r="H298" s="118"/>
      <c r="I298" s="118">
        <v>24</v>
      </c>
      <c r="J298" s="118">
        <v>145</v>
      </c>
      <c r="K298" t="s">
        <v>1249</v>
      </c>
      <c r="L298" s="146" t="s">
        <v>1546</v>
      </c>
    </row>
    <row r="299" spans="1:12" x14ac:dyDescent="0.25">
      <c r="A299" t="s">
        <v>263</v>
      </c>
      <c r="B299" t="s">
        <v>262</v>
      </c>
      <c r="C299" t="s">
        <v>130</v>
      </c>
      <c r="D299" t="s">
        <v>1248</v>
      </c>
      <c r="E299" t="s">
        <v>1198</v>
      </c>
      <c r="F299" t="s">
        <v>15</v>
      </c>
      <c r="G299" s="145">
        <v>0.80218373708919155</v>
      </c>
      <c r="H299" s="118"/>
      <c r="I299" s="118">
        <v>24</v>
      </c>
      <c r="J299" s="118">
        <v>145</v>
      </c>
      <c r="K299" t="s">
        <v>1249</v>
      </c>
      <c r="L299" s="146" t="s">
        <v>1547</v>
      </c>
    </row>
    <row r="300" spans="1:12" x14ac:dyDescent="0.25">
      <c r="A300" t="s">
        <v>257</v>
      </c>
      <c r="B300" t="s">
        <v>256</v>
      </c>
      <c r="C300" t="s">
        <v>58</v>
      </c>
      <c r="D300" t="s">
        <v>1250</v>
      </c>
      <c r="E300" t="s">
        <v>701</v>
      </c>
      <c r="F300" t="s">
        <v>144</v>
      </c>
      <c r="G300" s="145">
        <v>8.8261253309797009E-3</v>
      </c>
      <c r="H300" s="118">
        <v>1</v>
      </c>
      <c r="I300" s="118"/>
      <c r="J300" s="118"/>
      <c r="K300" t="s">
        <v>1251</v>
      </c>
      <c r="L300" s="146" t="s">
        <v>1548</v>
      </c>
    </row>
    <row r="301" spans="1:12" x14ac:dyDescent="0.25">
      <c r="A301" t="s">
        <v>257</v>
      </c>
      <c r="B301" t="s">
        <v>256</v>
      </c>
      <c r="C301" t="s">
        <v>58</v>
      </c>
      <c r="D301" t="s">
        <v>1250</v>
      </c>
      <c r="E301" t="s">
        <v>543</v>
      </c>
      <c r="F301" t="s">
        <v>144</v>
      </c>
      <c r="G301" s="145">
        <v>5.7803468208092483E-3</v>
      </c>
      <c r="H301" s="118"/>
      <c r="I301" s="118"/>
      <c r="J301" s="118">
        <v>1</v>
      </c>
      <c r="K301" t="s">
        <v>1251</v>
      </c>
      <c r="L301" s="146" t="s">
        <v>1549</v>
      </c>
    </row>
    <row r="302" spans="1:12" x14ac:dyDescent="0.25">
      <c r="A302" t="s">
        <v>257</v>
      </c>
      <c r="B302" t="s">
        <v>256</v>
      </c>
      <c r="C302" t="s">
        <v>58</v>
      </c>
      <c r="D302" t="s">
        <v>1250</v>
      </c>
      <c r="E302" t="s">
        <v>720</v>
      </c>
      <c r="F302" t="s">
        <v>6</v>
      </c>
      <c r="G302" s="145">
        <v>6.6705100276007734E-3</v>
      </c>
      <c r="H302" s="118">
        <v>1.04</v>
      </c>
      <c r="I302" s="118"/>
      <c r="J302" s="118">
        <v>0.72</v>
      </c>
      <c r="L302" s="146" t="s">
        <v>1550</v>
      </c>
    </row>
    <row r="303" spans="1:12" x14ac:dyDescent="0.25">
      <c r="A303" t="s">
        <v>257</v>
      </c>
      <c r="B303" t="s">
        <v>256</v>
      </c>
      <c r="C303" t="s">
        <v>58</v>
      </c>
      <c r="D303" t="s">
        <v>1250</v>
      </c>
      <c r="E303" t="s">
        <v>749</v>
      </c>
      <c r="F303" t="s">
        <v>15</v>
      </c>
      <c r="G303" s="145">
        <v>5.8425888607155793E-2</v>
      </c>
      <c r="H303" s="118">
        <v>8</v>
      </c>
      <c r="I303" s="118"/>
      <c r="J303" s="118">
        <v>8</v>
      </c>
      <c r="L303" s="146" t="s">
        <v>1551</v>
      </c>
    </row>
    <row r="304" spans="1:12" x14ac:dyDescent="0.25">
      <c r="A304" t="s">
        <v>257</v>
      </c>
      <c r="B304" t="s">
        <v>256</v>
      </c>
      <c r="C304" t="s">
        <v>58</v>
      </c>
      <c r="D304" t="s">
        <v>1250</v>
      </c>
      <c r="E304" t="s">
        <v>754</v>
      </c>
      <c r="F304" t="s">
        <v>15</v>
      </c>
      <c r="G304" s="145">
        <v>1.1560693641618497E-2</v>
      </c>
      <c r="H304" s="118"/>
      <c r="I304" s="118"/>
      <c r="J304" s="118">
        <v>2</v>
      </c>
      <c r="K304" t="s">
        <v>1251</v>
      </c>
      <c r="L304" s="146" t="s">
        <v>1552</v>
      </c>
    </row>
    <row r="305" spans="1:12" x14ac:dyDescent="0.25">
      <c r="A305" t="s">
        <v>257</v>
      </c>
      <c r="B305" t="s">
        <v>256</v>
      </c>
      <c r="C305" t="s">
        <v>58</v>
      </c>
      <c r="D305" t="s">
        <v>1250</v>
      </c>
      <c r="E305" t="s">
        <v>785</v>
      </c>
      <c r="F305" t="s">
        <v>174</v>
      </c>
      <c r="G305" s="145">
        <v>0.39391797843314141</v>
      </c>
      <c r="H305" s="118">
        <v>52</v>
      </c>
      <c r="I305" s="118">
        <v>26</v>
      </c>
      <c r="J305" s="118">
        <v>79</v>
      </c>
      <c r="L305" s="146" t="s">
        <v>1553</v>
      </c>
    </row>
    <row r="306" spans="1:12" x14ac:dyDescent="0.25">
      <c r="A306" t="s">
        <v>257</v>
      </c>
      <c r="B306" t="s">
        <v>256</v>
      </c>
      <c r="C306" t="s">
        <v>58</v>
      </c>
      <c r="D306" t="s">
        <v>1250</v>
      </c>
      <c r="E306" t="s">
        <v>806</v>
      </c>
      <c r="F306" t="s">
        <v>30</v>
      </c>
      <c r="G306" s="145">
        <v>8.8261253309797009E-3</v>
      </c>
      <c r="H306" s="118">
        <v>1</v>
      </c>
      <c r="I306" s="118"/>
      <c r="J306" s="118"/>
      <c r="K306" t="s">
        <v>1251</v>
      </c>
      <c r="L306" s="146" t="s">
        <v>1554</v>
      </c>
    </row>
    <row r="307" spans="1:12" x14ac:dyDescent="0.25">
      <c r="A307" t="s">
        <v>257</v>
      </c>
      <c r="B307" t="s">
        <v>256</v>
      </c>
      <c r="C307" t="s">
        <v>58</v>
      </c>
      <c r="D307" t="s">
        <v>1250</v>
      </c>
      <c r="E307" t="s">
        <v>810</v>
      </c>
      <c r="F307" t="s">
        <v>30</v>
      </c>
      <c r="G307" s="145">
        <v>3.971756398940865E-2</v>
      </c>
      <c r="H307" s="118">
        <v>4.5</v>
      </c>
      <c r="I307" s="118"/>
      <c r="J307" s="118"/>
      <c r="K307" t="s">
        <v>1251</v>
      </c>
      <c r="L307" s="146" t="s">
        <v>1555</v>
      </c>
    </row>
    <row r="308" spans="1:12" x14ac:dyDescent="0.25">
      <c r="A308" t="s">
        <v>257</v>
      </c>
      <c r="B308" t="s">
        <v>256</v>
      </c>
      <c r="C308" t="s">
        <v>58</v>
      </c>
      <c r="D308" t="s">
        <v>1250</v>
      </c>
      <c r="E308" t="s">
        <v>816</v>
      </c>
      <c r="F308" t="s">
        <v>30</v>
      </c>
      <c r="G308" s="145">
        <v>2.6478375992939101E-2</v>
      </c>
      <c r="H308" s="118">
        <v>3</v>
      </c>
      <c r="I308" s="118">
        <v>1</v>
      </c>
      <c r="J308" s="118">
        <v>6</v>
      </c>
      <c r="K308" t="s">
        <v>1249</v>
      </c>
      <c r="L308" s="146" t="s">
        <v>1556</v>
      </c>
    </row>
    <row r="309" spans="1:12" x14ac:dyDescent="0.25">
      <c r="A309" t="s">
        <v>257</v>
      </c>
      <c r="B309" t="s">
        <v>256</v>
      </c>
      <c r="C309" t="s">
        <v>58</v>
      </c>
      <c r="D309" t="s">
        <v>1250</v>
      </c>
      <c r="E309" t="s">
        <v>824</v>
      </c>
      <c r="F309" t="s">
        <v>30</v>
      </c>
      <c r="G309" s="145">
        <v>6.3708809289369367E-2</v>
      </c>
      <c r="H309" s="118">
        <v>6.25</v>
      </c>
      <c r="I309" s="118"/>
      <c r="J309" s="118">
        <v>12.5</v>
      </c>
      <c r="L309" s="146" t="s">
        <v>1557</v>
      </c>
    </row>
    <row r="310" spans="1:12" x14ac:dyDescent="0.25">
      <c r="A310" t="s">
        <v>257</v>
      </c>
      <c r="B310" t="s">
        <v>256</v>
      </c>
      <c r="C310" t="s">
        <v>58</v>
      </c>
      <c r="D310" t="s">
        <v>1250</v>
      </c>
      <c r="E310" t="s">
        <v>820</v>
      </c>
      <c r="F310" t="s">
        <v>30</v>
      </c>
      <c r="G310" s="145">
        <v>5.7803468208092484E-2</v>
      </c>
      <c r="H310" s="118">
        <v>7</v>
      </c>
      <c r="I310" s="118">
        <v>1</v>
      </c>
      <c r="J310" s="118">
        <v>10</v>
      </c>
      <c r="K310" t="s">
        <v>1249</v>
      </c>
      <c r="L310" s="146" t="s">
        <v>1558</v>
      </c>
    </row>
    <row r="311" spans="1:12" x14ac:dyDescent="0.25">
      <c r="A311" t="s">
        <v>257</v>
      </c>
      <c r="B311" t="s">
        <v>256</v>
      </c>
      <c r="C311" t="s">
        <v>58</v>
      </c>
      <c r="D311" t="s">
        <v>1250</v>
      </c>
      <c r="E311" t="s">
        <v>846</v>
      </c>
      <c r="F311" t="s">
        <v>15</v>
      </c>
      <c r="G311" s="145">
        <v>1.1716298741384325E-2</v>
      </c>
      <c r="H311" s="118">
        <v>2</v>
      </c>
      <c r="I311" s="118"/>
      <c r="J311" s="118">
        <v>1</v>
      </c>
      <c r="K311" t="s">
        <v>1249</v>
      </c>
      <c r="L311" s="146" t="s">
        <v>1559</v>
      </c>
    </row>
    <row r="312" spans="1:12" x14ac:dyDescent="0.25">
      <c r="A312" t="s">
        <v>257</v>
      </c>
      <c r="B312" t="s">
        <v>256</v>
      </c>
      <c r="C312" t="s">
        <v>58</v>
      </c>
      <c r="D312" t="s">
        <v>1250</v>
      </c>
      <c r="E312" t="s">
        <v>854</v>
      </c>
      <c r="F312" t="s">
        <v>15</v>
      </c>
      <c r="G312" s="145">
        <v>5.2956751985878202E-2</v>
      </c>
      <c r="H312" s="118">
        <v>6</v>
      </c>
      <c r="I312" s="118"/>
      <c r="J312" s="118"/>
      <c r="K312" t="s">
        <v>1251</v>
      </c>
      <c r="L312" s="146" t="s">
        <v>1560</v>
      </c>
    </row>
    <row r="313" spans="1:12" x14ac:dyDescent="0.25">
      <c r="A313" t="s">
        <v>257</v>
      </c>
      <c r="B313" t="s">
        <v>256</v>
      </c>
      <c r="C313" t="s">
        <v>58</v>
      </c>
      <c r="D313" t="s">
        <v>1250</v>
      </c>
      <c r="E313" t="s">
        <v>856</v>
      </c>
      <c r="F313" t="s">
        <v>15</v>
      </c>
      <c r="G313" s="145">
        <v>4.1985317000749971E-2</v>
      </c>
      <c r="H313" s="118">
        <v>1</v>
      </c>
      <c r="I313" s="118"/>
      <c r="J313" s="118">
        <v>13</v>
      </c>
      <c r="K313" t="s">
        <v>1249</v>
      </c>
      <c r="L313" s="146" t="s">
        <v>1561</v>
      </c>
    </row>
    <row r="314" spans="1:12" x14ac:dyDescent="0.25">
      <c r="A314" t="s">
        <v>257</v>
      </c>
      <c r="B314" t="s">
        <v>256</v>
      </c>
      <c r="C314" t="s">
        <v>58</v>
      </c>
      <c r="D314" t="s">
        <v>1250</v>
      </c>
      <c r="E314" t="s">
        <v>64</v>
      </c>
      <c r="F314" t="s">
        <v>15</v>
      </c>
      <c r="G314" s="145">
        <v>8.8261253309797009E-3</v>
      </c>
      <c r="H314" s="118">
        <v>1</v>
      </c>
      <c r="I314" s="118"/>
      <c r="J314" s="118"/>
      <c r="K314" t="s">
        <v>1251</v>
      </c>
      <c r="L314" s="146" t="s">
        <v>1562</v>
      </c>
    </row>
    <row r="315" spans="1:12" x14ac:dyDescent="0.25">
      <c r="A315" t="s">
        <v>257</v>
      </c>
      <c r="B315" t="s">
        <v>256</v>
      </c>
      <c r="C315" t="s">
        <v>58</v>
      </c>
      <c r="D315" t="s">
        <v>1250</v>
      </c>
      <c r="E315" t="s">
        <v>155</v>
      </c>
      <c r="F315" t="s">
        <v>144</v>
      </c>
      <c r="G315" s="145">
        <v>5.7803468208092483E-3</v>
      </c>
      <c r="H315" s="118"/>
      <c r="I315" s="118"/>
      <c r="J315" s="118">
        <v>1</v>
      </c>
      <c r="K315" t="s">
        <v>1251</v>
      </c>
      <c r="L315" s="146" t="s">
        <v>1563</v>
      </c>
    </row>
    <row r="316" spans="1:12" x14ac:dyDescent="0.25">
      <c r="A316" t="s">
        <v>257</v>
      </c>
      <c r="B316" t="s">
        <v>256</v>
      </c>
      <c r="C316" t="s">
        <v>58</v>
      </c>
      <c r="D316" t="s">
        <v>1250</v>
      </c>
      <c r="E316" t="s">
        <v>603</v>
      </c>
      <c r="F316" t="s">
        <v>6</v>
      </c>
      <c r="G316" s="145">
        <v>2.4033811572800767E-2</v>
      </c>
      <c r="H316" s="118">
        <v>2.2000000000000002</v>
      </c>
      <c r="I316" s="118">
        <v>2.12</v>
      </c>
      <c r="J316" s="118">
        <v>5.36</v>
      </c>
      <c r="L316" s="146" t="s">
        <v>1564</v>
      </c>
    </row>
    <row r="317" spans="1:12" x14ac:dyDescent="0.25">
      <c r="A317" t="s">
        <v>257</v>
      </c>
      <c r="B317" t="s">
        <v>256</v>
      </c>
      <c r="C317" t="s">
        <v>58</v>
      </c>
      <c r="D317" t="s">
        <v>1250</v>
      </c>
      <c r="E317" t="s">
        <v>602</v>
      </c>
      <c r="F317" t="s">
        <v>6</v>
      </c>
      <c r="G317" s="145">
        <v>2.1193515816498476E-2</v>
      </c>
      <c r="H317" s="118">
        <v>2.42</v>
      </c>
      <c r="I317" s="118">
        <v>1.64</v>
      </c>
      <c r="J317" s="118">
        <v>4.4000000000000004</v>
      </c>
      <c r="L317" s="146" t="s">
        <v>1565</v>
      </c>
    </row>
    <row r="318" spans="1:12" x14ac:dyDescent="0.25">
      <c r="A318" t="s">
        <v>257</v>
      </c>
      <c r="B318" t="s">
        <v>256</v>
      </c>
      <c r="C318" t="s">
        <v>58</v>
      </c>
      <c r="D318" t="s">
        <v>1250</v>
      </c>
      <c r="E318" t="s">
        <v>987</v>
      </c>
      <c r="F318" t="s">
        <v>15</v>
      </c>
      <c r="G318" s="145">
        <v>3.4682080924855488E-2</v>
      </c>
      <c r="H318" s="118"/>
      <c r="I318" s="118"/>
      <c r="J318" s="118">
        <v>6</v>
      </c>
      <c r="K318" t="s">
        <v>1251</v>
      </c>
      <c r="L318" s="146" t="s">
        <v>1566</v>
      </c>
    </row>
    <row r="319" spans="1:12" x14ac:dyDescent="0.25">
      <c r="A319" t="s">
        <v>257</v>
      </c>
      <c r="B319" t="s">
        <v>256</v>
      </c>
      <c r="C319" t="s">
        <v>58</v>
      </c>
      <c r="D319" t="s">
        <v>1250</v>
      </c>
      <c r="E319" t="s">
        <v>997</v>
      </c>
      <c r="F319" t="s">
        <v>15</v>
      </c>
      <c r="G319" s="145">
        <v>7.7756633623966245E-2</v>
      </c>
      <c r="H319" s="118">
        <v>15</v>
      </c>
      <c r="I319" s="118"/>
      <c r="J319" s="118">
        <v>4</v>
      </c>
      <c r="K319" t="s">
        <v>1249</v>
      </c>
      <c r="L319" s="146" t="s">
        <v>1567</v>
      </c>
    </row>
    <row r="320" spans="1:12" x14ac:dyDescent="0.25">
      <c r="A320" t="s">
        <v>257</v>
      </c>
      <c r="B320" t="s">
        <v>256</v>
      </c>
      <c r="C320" t="s">
        <v>58</v>
      </c>
      <c r="D320" t="s">
        <v>1250</v>
      </c>
      <c r="E320" t="s">
        <v>597</v>
      </c>
      <c r="F320" t="s">
        <v>15</v>
      </c>
      <c r="G320" s="145">
        <v>7.3032360758944741E-3</v>
      </c>
      <c r="H320" s="118">
        <v>1</v>
      </c>
      <c r="I320" s="118"/>
      <c r="J320" s="118">
        <v>1</v>
      </c>
      <c r="L320" s="146" t="s">
        <v>1568</v>
      </c>
    </row>
    <row r="321" spans="1:12" x14ac:dyDescent="0.25">
      <c r="A321" t="s">
        <v>257</v>
      </c>
      <c r="B321" t="s">
        <v>256</v>
      </c>
      <c r="C321" t="s">
        <v>58</v>
      </c>
      <c r="D321" t="s">
        <v>1250</v>
      </c>
      <c r="E321" t="s">
        <v>606</v>
      </c>
      <c r="F321" t="s">
        <v>15</v>
      </c>
      <c r="G321" s="145">
        <v>0.17652250661959401</v>
      </c>
      <c r="H321" s="118">
        <v>20</v>
      </c>
      <c r="I321" s="118">
        <v>4</v>
      </c>
      <c r="J321" s="118">
        <v>43</v>
      </c>
      <c r="K321" t="s">
        <v>1249</v>
      </c>
      <c r="L321" s="146" t="s">
        <v>1569</v>
      </c>
    </row>
    <row r="322" spans="1:12" x14ac:dyDescent="0.25">
      <c r="A322" t="s">
        <v>257</v>
      </c>
      <c r="B322" t="s">
        <v>256</v>
      </c>
      <c r="C322" t="s">
        <v>58</v>
      </c>
      <c r="D322" t="s">
        <v>1250</v>
      </c>
      <c r="E322" t="s">
        <v>1029</v>
      </c>
      <c r="F322" t="s">
        <v>15</v>
      </c>
      <c r="G322" s="145">
        <v>4.4875490411154594E-2</v>
      </c>
      <c r="H322" s="118">
        <v>1</v>
      </c>
      <c r="I322" s="118"/>
      <c r="J322" s="118">
        <v>14</v>
      </c>
      <c r="K322" t="s">
        <v>1249</v>
      </c>
      <c r="L322" s="146" t="s">
        <v>1570</v>
      </c>
    </row>
    <row r="323" spans="1:12" x14ac:dyDescent="0.25">
      <c r="A323" t="s">
        <v>257</v>
      </c>
      <c r="B323" t="s">
        <v>256</v>
      </c>
      <c r="C323" t="s">
        <v>58</v>
      </c>
      <c r="D323" t="s">
        <v>1250</v>
      </c>
      <c r="E323" t="s">
        <v>1056</v>
      </c>
      <c r="F323" t="s">
        <v>545</v>
      </c>
      <c r="G323" s="145">
        <v>1.1560693641618497E-2</v>
      </c>
      <c r="H323" s="118"/>
      <c r="I323" s="118"/>
      <c r="J323" s="118">
        <v>2</v>
      </c>
      <c r="K323" t="s">
        <v>1251</v>
      </c>
      <c r="L323" s="146" t="s">
        <v>1571</v>
      </c>
    </row>
    <row r="324" spans="1:12" x14ac:dyDescent="0.25">
      <c r="A324" t="s">
        <v>257</v>
      </c>
      <c r="B324" t="s">
        <v>256</v>
      </c>
      <c r="C324" t="s">
        <v>58</v>
      </c>
      <c r="D324" t="s">
        <v>1250</v>
      </c>
      <c r="E324" t="s">
        <v>1044</v>
      </c>
      <c r="F324" t="s">
        <v>62</v>
      </c>
      <c r="G324" s="145">
        <v>0.41969495342409663</v>
      </c>
      <c r="H324" s="118">
        <v>3</v>
      </c>
      <c r="I324" s="118">
        <v>41</v>
      </c>
      <c r="J324" s="118">
        <v>165</v>
      </c>
      <c r="K324" t="s">
        <v>1249</v>
      </c>
      <c r="L324" s="146" t="s">
        <v>1572</v>
      </c>
    </row>
    <row r="325" spans="1:12" x14ac:dyDescent="0.25">
      <c r="A325" t="s">
        <v>257</v>
      </c>
      <c r="B325" t="s">
        <v>256</v>
      </c>
      <c r="C325" t="s">
        <v>58</v>
      </c>
      <c r="D325" t="s">
        <v>1250</v>
      </c>
      <c r="E325" t="s">
        <v>246</v>
      </c>
      <c r="F325" t="s">
        <v>15</v>
      </c>
      <c r="G325" s="145">
        <v>0.14121800529567521</v>
      </c>
      <c r="H325" s="118">
        <v>16</v>
      </c>
      <c r="I325" s="118"/>
      <c r="J325" s="118"/>
      <c r="K325" t="s">
        <v>1251</v>
      </c>
      <c r="L325" s="146" t="s">
        <v>1573</v>
      </c>
    </row>
    <row r="326" spans="1:12" x14ac:dyDescent="0.25">
      <c r="A326" t="s">
        <v>257</v>
      </c>
      <c r="B326" t="s">
        <v>256</v>
      </c>
      <c r="C326" t="s">
        <v>58</v>
      </c>
      <c r="D326" t="s">
        <v>1246</v>
      </c>
      <c r="E326" t="s">
        <v>255</v>
      </c>
      <c r="F326" t="s">
        <v>58</v>
      </c>
      <c r="G326" s="145">
        <v>1</v>
      </c>
      <c r="H326" s="118">
        <v>113.3</v>
      </c>
      <c r="I326" s="118">
        <v>97.69</v>
      </c>
      <c r="J326" s="118">
        <v>173</v>
      </c>
      <c r="K326" t="s">
        <v>1247</v>
      </c>
      <c r="L326" s="146" t="s">
        <v>1574</v>
      </c>
    </row>
    <row r="327" spans="1:12" x14ac:dyDescent="0.25">
      <c r="A327" t="s">
        <v>257</v>
      </c>
      <c r="B327" t="s">
        <v>256</v>
      </c>
      <c r="C327" t="s">
        <v>58</v>
      </c>
      <c r="D327" t="s">
        <v>1248</v>
      </c>
      <c r="E327" t="s">
        <v>1176</v>
      </c>
      <c r="F327" t="s">
        <v>15</v>
      </c>
      <c r="G327" s="145">
        <v>4.4307149161518096</v>
      </c>
      <c r="H327" s="118">
        <v>502</v>
      </c>
      <c r="I327" s="118">
        <v>42</v>
      </c>
      <c r="J327" s="118">
        <v>778</v>
      </c>
      <c r="K327" t="s">
        <v>1249</v>
      </c>
      <c r="L327" s="146" t="s">
        <v>1575</v>
      </c>
    </row>
    <row r="328" spans="1:12" x14ac:dyDescent="0.25">
      <c r="A328" t="s">
        <v>257</v>
      </c>
      <c r="B328" t="s">
        <v>256</v>
      </c>
      <c r="C328" t="s">
        <v>58</v>
      </c>
      <c r="D328" t="s">
        <v>1248</v>
      </c>
      <c r="E328" t="s">
        <v>1198</v>
      </c>
      <c r="F328" t="s">
        <v>15</v>
      </c>
      <c r="G328" s="145">
        <v>4.4307149161518096</v>
      </c>
      <c r="H328" s="118">
        <v>502</v>
      </c>
      <c r="I328" s="118">
        <v>42</v>
      </c>
      <c r="J328" s="118">
        <v>778</v>
      </c>
      <c r="K328" t="s">
        <v>1249</v>
      </c>
      <c r="L328" s="146" t="s">
        <v>1576</v>
      </c>
    </row>
    <row r="329" spans="1:12" x14ac:dyDescent="0.25">
      <c r="A329" t="s">
        <v>257</v>
      </c>
      <c r="B329" t="s">
        <v>256</v>
      </c>
      <c r="C329" t="s">
        <v>58</v>
      </c>
      <c r="D329" t="s">
        <v>1248</v>
      </c>
      <c r="E329" t="s">
        <v>1180</v>
      </c>
      <c r="F329" t="s">
        <v>15</v>
      </c>
      <c r="G329" s="145">
        <v>5.4335260115606934</v>
      </c>
      <c r="H329" s="118"/>
      <c r="I329" s="118"/>
      <c r="J329" s="118">
        <v>940</v>
      </c>
      <c r="K329" t="s">
        <v>1251</v>
      </c>
      <c r="L329" s="146" t="s">
        <v>1577</v>
      </c>
    </row>
    <row r="330" spans="1:12" x14ac:dyDescent="0.25">
      <c r="A330" t="s">
        <v>254</v>
      </c>
      <c r="B330" t="s">
        <v>253</v>
      </c>
      <c r="C330" t="s">
        <v>3</v>
      </c>
      <c r="D330" t="s">
        <v>1250</v>
      </c>
      <c r="E330" t="s">
        <v>701</v>
      </c>
      <c r="F330" t="s">
        <v>144</v>
      </c>
      <c r="G330" s="145">
        <v>3.8535645472061657E-3</v>
      </c>
      <c r="H330" s="118">
        <v>1</v>
      </c>
      <c r="I330" s="118"/>
      <c r="J330" s="118"/>
      <c r="K330" t="s">
        <v>1251</v>
      </c>
      <c r="L330" s="146" t="s">
        <v>1578</v>
      </c>
    </row>
    <row r="331" spans="1:12" x14ac:dyDescent="0.25">
      <c r="A331" t="s">
        <v>254</v>
      </c>
      <c r="B331" t="s">
        <v>253</v>
      </c>
      <c r="C331" t="s">
        <v>3</v>
      </c>
      <c r="D331" t="s">
        <v>1250</v>
      </c>
      <c r="E331" t="s">
        <v>735</v>
      </c>
      <c r="F331" t="s">
        <v>15</v>
      </c>
      <c r="G331" s="145">
        <v>3.4682080924855488E-2</v>
      </c>
      <c r="H331" s="118">
        <v>9</v>
      </c>
      <c r="I331" s="118"/>
      <c r="J331" s="118"/>
      <c r="K331" t="s">
        <v>1251</v>
      </c>
      <c r="L331" s="146" t="s">
        <v>1579</v>
      </c>
    </row>
    <row r="332" spans="1:12" x14ac:dyDescent="0.25">
      <c r="A332" t="s">
        <v>254</v>
      </c>
      <c r="B332" t="s">
        <v>253</v>
      </c>
      <c r="C332" t="s">
        <v>3</v>
      </c>
      <c r="D332" t="s">
        <v>1250</v>
      </c>
      <c r="E332" t="s">
        <v>745</v>
      </c>
      <c r="F332" t="s">
        <v>15</v>
      </c>
      <c r="G332" s="145">
        <v>2.8542797881539468E-2</v>
      </c>
      <c r="H332" s="118">
        <v>3</v>
      </c>
      <c r="I332" s="118">
        <v>10</v>
      </c>
      <c r="J332" s="118"/>
      <c r="K332" t="s">
        <v>1249</v>
      </c>
      <c r="L332" s="146" t="s">
        <v>1580</v>
      </c>
    </row>
    <row r="333" spans="1:12" x14ac:dyDescent="0.25">
      <c r="A333" t="s">
        <v>254</v>
      </c>
      <c r="B333" t="s">
        <v>253</v>
      </c>
      <c r="C333" t="s">
        <v>3</v>
      </c>
      <c r="D333" t="s">
        <v>1250</v>
      </c>
      <c r="E333" t="s">
        <v>785</v>
      </c>
      <c r="F333" t="s">
        <v>8</v>
      </c>
      <c r="G333" s="145">
        <v>0.15149792716962998</v>
      </c>
      <c r="H333" s="118">
        <v>55</v>
      </c>
      <c r="I333" s="118">
        <v>20</v>
      </c>
      <c r="J333" s="118"/>
      <c r="L333" s="146" t="s">
        <v>1581</v>
      </c>
    </row>
    <row r="334" spans="1:12" x14ac:dyDescent="0.25">
      <c r="A334" t="s">
        <v>254</v>
      </c>
      <c r="B334" t="s">
        <v>253</v>
      </c>
      <c r="C334" t="s">
        <v>3</v>
      </c>
      <c r="D334" t="s">
        <v>1250</v>
      </c>
      <c r="E334" t="s">
        <v>796</v>
      </c>
      <c r="F334" t="s">
        <v>15</v>
      </c>
      <c r="G334" s="145">
        <v>1.8209960848584176E-2</v>
      </c>
      <c r="H334" s="118"/>
      <c r="I334" s="118">
        <v>4</v>
      </c>
      <c r="J334" s="118"/>
      <c r="K334" t="s">
        <v>1251</v>
      </c>
      <c r="L334" s="146" t="s">
        <v>1582</v>
      </c>
    </row>
    <row r="335" spans="1:12" x14ac:dyDescent="0.25">
      <c r="A335" t="s">
        <v>254</v>
      </c>
      <c r="B335" t="s">
        <v>253</v>
      </c>
      <c r="C335" t="s">
        <v>3</v>
      </c>
      <c r="D335" t="s">
        <v>1250</v>
      </c>
      <c r="E335" t="s">
        <v>798</v>
      </c>
      <c r="F335" t="s">
        <v>15</v>
      </c>
      <c r="G335" s="145">
        <v>2.1544067842103849E-2</v>
      </c>
      <c r="H335" s="118">
        <v>10</v>
      </c>
      <c r="I335" s="118">
        <v>1</v>
      </c>
      <c r="J335" s="118"/>
      <c r="K335" t="s">
        <v>1249</v>
      </c>
      <c r="L335" s="146" t="s">
        <v>1583</v>
      </c>
    </row>
    <row r="336" spans="1:12" x14ac:dyDescent="0.25">
      <c r="A336" t="s">
        <v>254</v>
      </c>
      <c r="B336" t="s">
        <v>253</v>
      </c>
      <c r="C336" t="s">
        <v>3</v>
      </c>
      <c r="D336" t="s">
        <v>1250</v>
      </c>
      <c r="E336" t="s">
        <v>806</v>
      </c>
      <c r="F336" t="s">
        <v>30</v>
      </c>
      <c r="G336" s="145">
        <v>1.9267822736030828E-3</v>
      </c>
      <c r="H336" s="118">
        <v>0.5</v>
      </c>
      <c r="I336" s="118"/>
      <c r="J336" s="118"/>
      <c r="K336" t="s">
        <v>1251</v>
      </c>
      <c r="L336" s="146" t="s">
        <v>1584</v>
      </c>
    </row>
    <row r="337" spans="1:12" x14ac:dyDescent="0.25">
      <c r="A337" t="s">
        <v>254</v>
      </c>
      <c r="B337" t="s">
        <v>253</v>
      </c>
      <c r="C337" t="s">
        <v>3</v>
      </c>
      <c r="D337" t="s">
        <v>1250</v>
      </c>
      <c r="E337" t="s">
        <v>810</v>
      </c>
      <c r="F337" t="s">
        <v>30</v>
      </c>
      <c r="G337" s="145">
        <v>9.0199830636838122E-3</v>
      </c>
      <c r="H337" s="118">
        <v>3.5</v>
      </c>
      <c r="I337" s="118">
        <v>1</v>
      </c>
      <c r="J337" s="118"/>
      <c r="L337" s="146" t="s">
        <v>1585</v>
      </c>
    </row>
    <row r="338" spans="1:12" x14ac:dyDescent="0.25">
      <c r="A338" t="s">
        <v>254</v>
      </c>
      <c r="B338" t="s">
        <v>253</v>
      </c>
      <c r="C338" t="s">
        <v>3</v>
      </c>
      <c r="D338" t="s">
        <v>1250</v>
      </c>
      <c r="E338" t="s">
        <v>824</v>
      </c>
      <c r="F338" t="s">
        <v>30</v>
      </c>
      <c r="G338" s="145">
        <v>1.0176052427845661E-2</v>
      </c>
      <c r="H338" s="118">
        <v>4.0999999999999996</v>
      </c>
      <c r="I338" s="118">
        <v>1</v>
      </c>
      <c r="J338" s="118"/>
      <c r="K338" t="s">
        <v>1249</v>
      </c>
      <c r="L338" s="146" t="s">
        <v>1586</v>
      </c>
    </row>
    <row r="339" spans="1:12" x14ac:dyDescent="0.25">
      <c r="A339" t="s">
        <v>254</v>
      </c>
      <c r="B339" t="s">
        <v>253</v>
      </c>
      <c r="C339" t="s">
        <v>3</v>
      </c>
      <c r="D339" t="s">
        <v>1250</v>
      </c>
      <c r="E339" t="s">
        <v>820</v>
      </c>
      <c r="F339" t="s">
        <v>30</v>
      </c>
      <c r="G339" s="145">
        <v>1.1428460905687665E-2</v>
      </c>
      <c r="H339" s="118">
        <v>4.75</v>
      </c>
      <c r="I339" s="118">
        <v>1</v>
      </c>
      <c r="J339" s="118"/>
      <c r="K339" t="s">
        <v>1249</v>
      </c>
      <c r="L339" s="146" t="s">
        <v>1587</v>
      </c>
    </row>
    <row r="340" spans="1:12" x14ac:dyDescent="0.25">
      <c r="A340" t="s">
        <v>254</v>
      </c>
      <c r="B340" t="s">
        <v>253</v>
      </c>
      <c r="C340" t="s">
        <v>3</v>
      </c>
      <c r="D340" t="s">
        <v>1250</v>
      </c>
      <c r="E340" t="s">
        <v>834</v>
      </c>
      <c r="F340" t="s">
        <v>15</v>
      </c>
      <c r="G340" s="145">
        <v>1.9267822736030827E-2</v>
      </c>
      <c r="H340" s="118">
        <v>5</v>
      </c>
      <c r="I340" s="118"/>
      <c r="J340" s="118"/>
      <c r="K340" t="s">
        <v>1251</v>
      </c>
      <c r="L340" s="146" t="s">
        <v>1588</v>
      </c>
    </row>
    <row r="341" spans="1:12" x14ac:dyDescent="0.25">
      <c r="A341" t="s">
        <v>254</v>
      </c>
      <c r="B341" t="s">
        <v>253</v>
      </c>
      <c r="C341" t="s">
        <v>3</v>
      </c>
      <c r="D341" t="s">
        <v>1250</v>
      </c>
      <c r="E341" t="s">
        <v>851</v>
      </c>
      <c r="F341" t="s">
        <v>15</v>
      </c>
      <c r="G341" s="145">
        <v>6.3385400137574682E-2</v>
      </c>
      <c r="H341" s="118">
        <v>1</v>
      </c>
      <c r="I341" s="118">
        <v>27</v>
      </c>
      <c r="J341" s="118"/>
      <c r="K341" t="s">
        <v>1249</v>
      </c>
      <c r="L341" s="146" t="s">
        <v>1589</v>
      </c>
    </row>
    <row r="342" spans="1:12" x14ac:dyDescent="0.25">
      <c r="A342" t="s">
        <v>254</v>
      </c>
      <c r="B342" t="s">
        <v>253</v>
      </c>
      <c r="C342" t="s">
        <v>3</v>
      </c>
      <c r="D342" t="s">
        <v>1250</v>
      </c>
      <c r="E342" t="s">
        <v>854</v>
      </c>
      <c r="F342" t="s">
        <v>15</v>
      </c>
      <c r="G342" s="145">
        <v>2.2063525395790342E-2</v>
      </c>
      <c r="H342" s="118">
        <v>2</v>
      </c>
      <c r="I342" s="118">
        <v>8</v>
      </c>
      <c r="J342" s="118"/>
      <c r="K342" t="s">
        <v>1249</v>
      </c>
      <c r="L342" s="146" t="s">
        <v>1590</v>
      </c>
    </row>
    <row r="343" spans="1:12" x14ac:dyDescent="0.25">
      <c r="A343" t="s">
        <v>254</v>
      </c>
      <c r="B343" t="s">
        <v>253</v>
      </c>
      <c r="C343" t="s">
        <v>3</v>
      </c>
      <c r="D343" t="s">
        <v>1250</v>
      </c>
      <c r="E343" t="s">
        <v>155</v>
      </c>
      <c r="F343" t="s">
        <v>15</v>
      </c>
      <c r="G343" s="145">
        <v>6.479272485749127E-3</v>
      </c>
      <c r="H343" s="118">
        <v>1</v>
      </c>
      <c r="I343" s="118">
        <v>2</v>
      </c>
      <c r="J343" s="118"/>
      <c r="L343" s="146" t="s">
        <v>1591</v>
      </c>
    </row>
    <row r="344" spans="1:12" x14ac:dyDescent="0.25">
      <c r="A344" t="s">
        <v>254</v>
      </c>
      <c r="B344" t="s">
        <v>253</v>
      </c>
      <c r="C344" t="s">
        <v>3</v>
      </c>
      <c r="D344" t="s">
        <v>1250</v>
      </c>
      <c r="E344" t="s">
        <v>906</v>
      </c>
      <c r="F344" t="s">
        <v>102</v>
      </c>
      <c r="G344" s="145">
        <v>3.8535645472061657E-3</v>
      </c>
      <c r="H344" s="118">
        <v>1</v>
      </c>
      <c r="I344" s="118"/>
      <c r="J344" s="118"/>
      <c r="K344" t="s">
        <v>1251</v>
      </c>
      <c r="L344" s="146" t="s">
        <v>1592</v>
      </c>
    </row>
    <row r="345" spans="1:12" x14ac:dyDescent="0.25">
      <c r="A345" t="s">
        <v>254</v>
      </c>
      <c r="B345" t="s">
        <v>253</v>
      </c>
      <c r="C345" t="s">
        <v>3</v>
      </c>
      <c r="D345" t="s">
        <v>1250</v>
      </c>
      <c r="E345" t="s">
        <v>930</v>
      </c>
      <c r="F345" t="s">
        <v>15</v>
      </c>
      <c r="G345" s="145">
        <v>4.552490212146044E-3</v>
      </c>
      <c r="H345" s="118"/>
      <c r="I345" s="118">
        <v>1</v>
      </c>
      <c r="J345" s="118"/>
      <c r="K345" t="s">
        <v>1251</v>
      </c>
      <c r="L345" s="146" t="s">
        <v>1593</v>
      </c>
    </row>
    <row r="346" spans="1:12" x14ac:dyDescent="0.25">
      <c r="A346" t="s">
        <v>254</v>
      </c>
      <c r="B346" t="s">
        <v>253</v>
      </c>
      <c r="C346" t="s">
        <v>3</v>
      </c>
      <c r="D346" t="s">
        <v>1250</v>
      </c>
      <c r="E346" t="s">
        <v>951</v>
      </c>
      <c r="F346" t="s">
        <v>15</v>
      </c>
      <c r="G346" s="145">
        <v>1.3657470636438131E-2</v>
      </c>
      <c r="H346" s="118"/>
      <c r="I346" s="118">
        <v>3</v>
      </c>
      <c r="J346" s="118"/>
      <c r="K346" t="s">
        <v>1251</v>
      </c>
      <c r="L346" s="146" t="s">
        <v>1594</v>
      </c>
    </row>
    <row r="347" spans="1:12" x14ac:dyDescent="0.25">
      <c r="A347" t="s">
        <v>254</v>
      </c>
      <c r="B347" t="s">
        <v>253</v>
      </c>
      <c r="C347" t="s">
        <v>3</v>
      </c>
      <c r="D347" t="s">
        <v>1250</v>
      </c>
      <c r="E347" t="s">
        <v>603</v>
      </c>
      <c r="F347" t="s">
        <v>6</v>
      </c>
      <c r="G347" s="145">
        <v>9.5281251792707494E-3</v>
      </c>
      <c r="H347" s="118">
        <v>4</v>
      </c>
      <c r="I347" s="118">
        <v>0.8</v>
      </c>
      <c r="J347" s="118"/>
      <c r="K347" t="s">
        <v>1249</v>
      </c>
      <c r="L347" s="146" t="s">
        <v>1595</v>
      </c>
    </row>
    <row r="348" spans="1:12" x14ac:dyDescent="0.25">
      <c r="A348" t="s">
        <v>254</v>
      </c>
      <c r="B348" t="s">
        <v>253</v>
      </c>
      <c r="C348" t="s">
        <v>3</v>
      </c>
      <c r="D348" t="s">
        <v>1250</v>
      </c>
      <c r="E348" t="s">
        <v>967</v>
      </c>
      <c r="F348" t="s">
        <v>6</v>
      </c>
      <c r="G348" s="145">
        <v>3.0828516377649326E-3</v>
      </c>
      <c r="H348" s="118">
        <v>0.8</v>
      </c>
      <c r="I348" s="118"/>
      <c r="J348" s="118"/>
      <c r="K348" t="s">
        <v>1251</v>
      </c>
      <c r="L348" s="146" t="s">
        <v>1596</v>
      </c>
    </row>
    <row r="349" spans="1:12" x14ac:dyDescent="0.25">
      <c r="A349" t="s">
        <v>254</v>
      </c>
      <c r="B349" t="s">
        <v>253</v>
      </c>
      <c r="C349" t="s">
        <v>3</v>
      </c>
      <c r="D349" t="s">
        <v>1250</v>
      </c>
      <c r="E349" t="s">
        <v>602</v>
      </c>
      <c r="F349" t="s">
        <v>6</v>
      </c>
      <c r="G349" s="145">
        <v>6.8487662751525076E-3</v>
      </c>
      <c r="H349" s="118">
        <v>3.46</v>
      </c>
      <c r="I349" s="118">
        <v>0.08</v>
      </c>
      <c r="J349" s="118"/>
      <c r="K349" t="s">
        <v>1249</v>
      </c>
      <c r="L349" s="146" t="s">
        <v>1597</v>
      </c>
    </row>
    <row r="350" spans="1:12" x14ac:dyDescent="0.25">
      <c r="A350" t="s">
        <v>254</v>
      </c>
      <c r="B350" t="s">
        <v>253</v>
      </c>
      <c r="C350" t="s">
        <v>3</v>
      </c>
      <c r="D350" t="s">
        <v>1250</v>
      </c>
      <c r="E350" t="s">
        <v>987</v>
      </c>
      <c r="F350" t="s">
        <v>15</v>
      </c>
      <c r="G350" s="145">
        <v>1.2958544971498254E-2</v>
      </c>
      <c r="H350" s="118">
        <v>2</v>
      </c>
      <c r="I350" s="118">
        <v>4</v>
      </c>
      <c r="J350" s="118"/>
      <c r="L350" s="146" t="s">
        <v>1598</v>
      </c>
    </row>
    <row r="351" spans="1:12" x14ac:dyDescent="0.25">
      <c r="A351" t="s">
        <v>254</v>
      </c>
      <c r="B351" t="s">
        <v>253</v>
      </c>
      <c r="C351" t="s">
        <v>3</v>
      </c>
      <c r="D351" t="s">
        <v>1250</v>
      </c>
      <c r="E351" t="s">
        <v>997</v>
      </c>
      <c r="F351" t="s">
        <v>15</v>
      </c>
      <c r="G351" s="145">
        <v>7.5824487555386427E-2</v>
      </c>
      <c r="H351" s="118">
        <v>11</v>
      </c>
      <c r="I351" s="118">
        <v>24</v>
      </c>
      <c r="J351" s="118"/>
      <c r="L351" s="146" t="s">
        <v>1599</v>
      </c>
    </row>
    <row r="352" spans="1:12" x14ac:dyDescent="0.25">
      <c r="A352" t="s">
        <v>254</v>
      </c>
      <c r="B352" t="s">
        <v>253</v>
      </c>
      <c r="C352" t="s">
        <v>3</v>
      </c>
      <c r="D352" t="s">
        <v>1250</v>
      </c>
      <c r="E352" t="s">
        <v>240</v>
      </c>
      <c r="F352" t="s">
        <v>15</v>
      </c>
      <c r="G352" s="145">
        <v>9.1049804242920879E-3</v>
      </c>
      <c r="H352" s="118"/>
      <c r="I352" s="118">
        <v>2</v>
      </c>
      <c r="J352" s="118"/>
      <c r="K352" t="s">
        <v>1251</v>
      </c>
      <c r="L352" s="146" t="s">
        <v>1600</v>
      </c>
    </row>
    <row r="353" spans="1:12" x14ac:dyDescent="0.25">
      <c r="A353" t="s">
        <v>254</v>
      </c>
      <c r="B353" t="s">
        <v>253</v>
      </c>
      <c r="C353" t="s">
        <v>3</v>
      </c>
      <c r="D353" t="s">
        <v>1250</v>
      </c>
      <c r="E353" t="s">
        <v>606</v>
      </c>
      <c r="F353" t="s">
        <v>15</v>
      </c>
      <c r="G353" s="145">
        <v>9.1597681966717887E-2</v>
      </c>
      <c r="H353" s="118">
        <v>31</v>
      </c>
      <c r="I353" s="118">
        <v>14</v>
      </c>
      <c r="J353" s="118"/>
      <c r="L353" s="146" t="s">
        <v>1601</v>
      </c>
    </row>
    <row r="354" spans="1:12" x14ac:dyDescent="0.25">
      <c r="A354" t="s">
        <v>254</v>
      </c>
      <c r="B354" t="s">
        <v>253</v>
      </c>
      <c r="C354" t="s">
        <v>3</v>
      </c>
      <c r="D354" t="s">
        <v>1250</v>
      </c>
      <c r="E354" t="s">
        <v>1029</v>
      </c>
      <c r="F354" t="s">
        <v>15</v>
      </c>
      <c r="G354" s="145">
        <v>5.9182372757898574E-2</v>
      </c>
      <c r="H354" s="118"/>
      <c r="I354" s="118">
        <v>13</v>
      </c>
      <c r="J354" s="118"/>
      <c r="K354" t="s">
        <v>1251</v>
      </c>
      <c r="L354" s="146" t="s">
        <v>1602</v>
      </c>
    </row>
    <row r="355" spans="1:12" x14ac:dyDescent="0.25">
      <c r="A355" t="s">
        <v>254</v>
      </c>
      <c r="B355" t="s">
        <v>253</v>
      </c>
      <c r="C355" t="s">
        <v>3</v>
      </c>
      <c r="D355" t="s">
        <v>1250</v>
      </c>
      <c r="E355" t="s">
        <v>1044</v>
      </c>
      <c r="F355" t="s">
        <v>62</v>
      </c>
      <c r="G355" s="145">
        <v>5.1654711774739626E-2</v>
      </c>
      <c r="H355" s="118">
        <v>2</v>
      </c>
      <c r="I355" s="118">
        <v>21</v>
      </c>
      <c r="J355" s="118"/>
      <c r="K355" t="s">
        <v>1249</v>
      </c>
      <c r="L355" s="146" t="s">
        <v>1603</v>
      </c>
    </row>
    <row r="356" spans="1:12" x14ac:dyDescent="0.25">
      <c r="A356" t="s">
        <v>254</v>
      </c>
      <c r="B356" t="s">
        <v>253</v>
      </c>
      <c r="C356" t="s">
        <v>3</v>
      </c>
      <c r="D356" t="s">
        <v>1250</v>
      </c>
      <c r="E356" t="s">
        <v>1047</v>
      </c>
      <c r="F356" t="s">
        <v>236</v>
      </c>
      <c r="G356" s="145">
        <v>0.12746972594008923</v>
      </c>
      <c r="H356" s="118"/>
      <c r="I356" s="118">
        <v>28</v>
      </c>
      <c r="J356" s="118"/>
      <c r="K356" t="s">
        <v>1251</v>
      </c>
      <c r="L356" s="146" t="s">
        <v>1604</v>
      </c>
    </row>
    <row r="357" spans="1:12" x14ac:dyDescent="0.25">
      <c r="A357" t="s">
        <v>254</v>
      </c>
      <c r="B357" t="s">
        <v>253</v>
      </c>
      <c r="C357" t="s">
        <v>3</v>
      </c>
      <c r="D357" t="s">
        <v>1250</v>
      </c>
      <c r="E357" t="s">
        <v>246</v>
      </c>
      <c r="F357" t="s">
        <v>15</v>
      </c>
      <c r="G357" s="145">
        <v>0.14258188824662812</v>
      </c>
      <c r="H357" s="118">
        <v>37</v>
      </c>
      <c r="I357" s="118"/>
      <c r="J357" s="118"/>
      <c r="K357" t="s">
        <v>1251</v>
      </c>
      <c r="L357" s="146" t="s">
        <v>1605</v>
      </c>
    </row>
    <row r="358" spans="1:12" x14ac:dyDescent="0.25">
      <c r="A358" t="s">
        <v>254</v>
      </c>
      <c r="B358" t="s">
        <v>253</v>
      </c>
      <c r="C358" t="s">
        <v>3</v>
      </c>
      <c r="D358" t="s">
        <v>1246</v>
      </c>
      <c r="E358" t="s">
        <v>235</v>
      </c>
      <c r="F358" t="s">
        <v>3</v>
      </c>
      <c r="G358" s="145">
        <v>1</v>
      </c>
      <c r="H358" s="118">
        <v>259.5</v>
      </c>
      <c r="I358" s="118">
        <v>219.66</v>
      </c>
      <c r="J358" s="118"/>
      <c r="K358" t="s">
        <v>1247</v>
      </c>
      <c r="L358" s="146" t="s">
        <v>1606</v>
      </c>
    </row>
    <row r="359" spans="1:12" x14ac:dyDescent="0.25">
      <c r="A359" t="s">
        <v>254</v>
      </c>
      <c r="B359" t="s">
        <v>253</v>
      </c>
      <c r="C359" t="s">
        <v>3</v>
      </c>
      <c r="D359" t="s">
        <v>1248</v>
      </c>
      <c r="E359" t="s">
        <v>1176</v>
      </c>
      <c r="F359" t="s">
        <v>15</v>
      </c>
      <c r="G359" s="145">
        <v>1.2485538606959048</v>
      </c>
      <c r="H359" s="118">
        <v>166</v>
      </c>
      <c r="I359" s="118">
        <v>408</v>
      </c>
      <c r="J359" s="118"/>
      <c r="L359" s="146" t="s">
        <v>1607</v>
      </c>
    </row>
    <row r="360" spans="1:12" x14ac:dyDescent="0.25">
      <c r="A360" t="s">
        <v>254</v>
      </c>
      <c r="B360" t="s">
        <v>253</v>
      </c>
      <c r="C360" t="s">
        <v>3</v>
      </c>
      <c r="D360" t="s">
        <v>1248</v>
      </c>
      <c r="E360" t="s">
        <v>1198</v>
      </c>
      <c r="F360" t="s">
        <v>15</v>
      </c>
      <c r="G360" s="145">
        <v>1.2485538606959048</v>
      </c>
      <c r="H360" s="118">
        <v>166</v>
      </c>
      <c r="I360" s="118">
        <v>408</v>
      </c>
      <c r="J360" s="118"/>
      <c r="L360" s="146" t="s">
        <v>1608</v>
      </c>
    </row>
    <row r="361" spans="1:12" x14ac:dyDescent="0.25">
      <c r="A361" t="s">
        <v>232</v>
      </c>
      <c r="B361" t="s">
        <v>231</v>
      </c>
      <c r="C361" t="s">
        <v>3</v>
      </c>
      <c r="D361" t="s">
        <v>1250</v>
      </c>
      <c r="E361" t="s">
        <v>720</v>
      </c>
      <c r="F361" t="s">
        <v>6</v>
      </c>
      <c r="G361" s="145">
        <v>1.2109536259804595E-2</v>
      </c>
      <c r="H361" s="118">
        <v>0.88</v>
      </c>
      <c r="I361" s="118"/>
      <c r="J361" s="118"/>
      <c r="K361" t="s">
        <v>1251</v>
      </c>
      <c r="L361" s="146" t="s">
        <v>1609</v>
      </c>
    </row>
    <row r="362" spans="1:12" x14ac:dyDescent="0.25">
      <c r="A362" t="s">
        <v>232</v>
      </c>
      <c r="B362" t="s">
        <v>231</v>
      </c>
      <c r="C362" t="s">
        <v>3</v>
      </c>
      <c r="D362" t="s">
        <v>1250</v>
      </c>
      <c r="E362" t="s">
        <v>785</v>
      </c>
      <c r="F362" t="s">
        <v>8</v>
      </c>
      <c r="G362" s="145">
        <v>0.30974322011187883</v>
      </c>
      <c r="H362" s="118">
        <v>13</v>
      </c>
      <c r="I362" s="118">
        <v>29</v>
      </c>
      <c r="J362" s="118"/>
      <c r="L362" s="146" t="s">
        <v>1610</v>
      </c>
    </row>
    <row r="363" spans="1:12" x14ac:dyDescent="0.25">
      <c r="A363" t="s">
        <v>232</v>
      </c>
      <c r="B363" t="s">
        <v>231</v>
      </c>
      <c r="C363" t="s">
        <v>3</v>
      </c>
      <c r="D363" t="s">
        <v>1250</v>
      </c>
      <c r="E363" t="s">
        <v>806</v>
      </c>
      <c r="F363" t="s">
        <v>30</v>
      </c>
      <c r="G363" s="145">
        <v>2.4797521059076805E-2</v>
      </c>
      <c r="H363" s="118">
        <v>2.5</v>
      </c>
      <c r="I363" s="118">
        <v>1</v>
      </c>
      <c r="J363" s="118"/>
      <c r="L363" s="146" t="s">
        <v>1611</v>
      </c>
    </row>
    <row r="364" spans="1:12" x14ac:dyDescent="0.25">
      <c r="A364" t="s">
        <v>232</v>
      </c>
      <c r="B364" t="s">
        <v>231</v>
      </c>
      <c r="C364" t="s">
        <v>3</v>
      </c>
      <c r="D364" t="s">
        <v>1250</v>
      </c>
      <c r="E364" t="s">
        <v>816</v>
      </c>
      <c r="F364" t="s">
        <v>30</v>
      </c>
      <c r="G364" s="145">
        <v>2.6229634871189414E-2</v>
      </c>
      <c r="H364" s="118">
        <v>0.5</v>
      </c>
      <c r="I364" s="118">
        <v>3</v>
      </c>
      <c r="J364" s="118"/>
      <c r="K364" t="s">
        <v>1249</v>
      </c>
      <c r="L364" s="146" t="s">
        <v>1612</v>
      </c>
    </row>
    <row r="365" spans="1:12" x14ac:dyDescent="0.25">
      <c r="A365" t="s">
        <v>232</v>
      </c>
      <c r="B365" t="s">
        <v>231</v>
      </c>
      <c r="C365" t="s">
        <v>3</v>
      </c>
      <c r="D365" t="s">
        <v>1250</v>
      </c>
      <c r="E365" t="s">
        <v>824</v>
      </c>
      <c r="F365" t="s">
        <v>30</v>
      </c>
      <c r="G365" s="145">
        <v>2.8237730223794021E-2</v>
      </c>
      <c r="H365" s="118">
        <v>3</v>
      </c>
      <c r="I365" s="118">
        <v>1</v>
      </c>
      <c r="J365" s="118"/>
      <c r="L365" s="146" t="s">
        <v>1613</v>
      </c>
    </row>
    <row r="366" spans="1:12" x14ac:dyDescent="0.25">
      <c r="A366" t="s">
        <v>232</v>
      </c>
      <c r="B366" t="s">
        <v>231</v>
      </c>
      <c r="C366" t="s">
        <v>3</v>
      </c>
      <c r="D366" t="s">
        <v>1250</v>
      </c>
      <c r="E366" t="s">
        <v>820</v>
      </c>
      <c r="F366" t="s">
        <v>30</v>
      </c>
      <c r="G366" s="145">
        <v>5.5043346635475436E-2</v>
      </c>
      <c r="H366" s="118">
        <v>4</v>
      </c>
      <c r="I366" s="118"/>
      <c r="J366" s="118"/>
      <c r="K366" t="s">
        <v>1251</v>
      </c>
      <c r="L366" s="146" t="s">
        <v>1614</v>
      </c>
    </row>
    <row r="367" spans="1:12" x14ac:dyDescent="0.25">
      <c r="A367" t="s">
        <v>232</v>
      </c>
      <c r="B367" t="s">
        <v>231</v>
      </c>
      <c r="C367" t="s">
        <v>3</v>
      </c>
      <c r="D367" t="s">
        <v>1250</v>
      </c>
      <c r="E367" t="s">
        <v>225</v>
      </c>
      <c r="F367" t="s">
        <v>15</v>
      </c>
      <c r="G367" s="145">
        <v>2.135731189435959E-2</v>
      </c>
      <c r="H367" s="118">
        <v>2</v>
      </c>
      <c r="I367" s="118">
        <v>1</v>
      </c>
      <c r="J367" s="118"/>
      <c r="L367" s="146" t="s">
        <v>1615</v>
      </c>
    </row>
    <row r="368" spans="1:12" x14ac:dyDescent="0.25">
      <c r="A368" t="s">
        <v>232</v>
      </c>
      <c r="B368" t="s">
        <v>231</v>
      </c>
      <c r="C368" t="s">
        <v>3</v>
      </c>
      <c r="D368" t="s">
        <v>1250</v>
      </c>
      <c r="E368" t="s">
        <v>856</v>
      </c>
      <c r="F368" t="s">
        <v>15</v>
      </c>
      <c r="G368" s="145">
        <v>8.2565019953213151E-2</v>
      </c>
      <c r="H368" s="118">
        <v>6</v>
      </c>
      <c r="I368" s="118"/>
      <c r="J368" s="118"/>
      <c r="K368" t="s">
        <v>1251</v>
      </c>
      <c r="L368" s="146" t="s">
        <v>1616</v>
      </c>
    </row>
    <row r="369" spans="1:12" x14ac:dyDescent="0.25">
      <c r="A369" t="s">
        <v>232</v>
      </c>
      <c r="B369" t="s">
        <v>231</v>
      </c>
      <c r="C369" t="s">
        <v>3</v>
      </c>
      <c r="D369" t="s">
        <v>1250</v>
      </c>
      <c r="E369" t="s">
        <v>926</v>
      </c>
      <c r="F369" t="s">
        <v>15</v>
      </c>
      <c r="G369" s="145">
        <v>1.5192950470981466E-2</v>
      </c>
      <c r="H369" s="118"/>
      <c r="I369" s="118">
        <v>1</v>
      </c>
      <c r="J369" s="118"/>
      <c r="K369" t="s">
        <v>1251</v>
      </c>
      <c r="L369" s="146" t="s">
        <v>1617</v>
      </c>
    </row>
    <row r="370" spans="1:12" x14ac:dyDescent="0.25">
      <c r="A370" t="s">
        <v>232</v>
      </c>
      <c r="B370" t="s">
        <v>231</v>
      </c>
      <c r="C370" t="s">
        <v>3</v>
      </c>
      <c r="D370" t="s">
        <v>1250</v>
      </c>
      <c r="E370" t="s">
        <v>962</v>
      </c>
      <c r="F370" t="s">
        <v>15</v>
      </c>
      <c r="G370" s="145">
        <v>1.5192950470981466E-2</v>
      </c>
      <c r="H370" s="118"/>
      <c r="I370" s="118">
        <v>1</v>
      </c>
      <c r="J370" s="118"/>
      <c r="K370" t="s">
        <v>1251</v>
      </c>
      <c r="L370" s="146" t="s">
        <v>1618</v>
      </c>
    </row>
    <row r="371" spans="1:12" x14ac:dyDescent="0.25">
      <c r="A371" t="s">
        <v>232</v>
      </c>
      <c r="B371" t="s">
        <v>231</v>
      </c>
      <c r="C371" t="s">
        <v>3</v>
      </c>
      <c r="D371" t="s">
        <v>1250</v>
      </c>
      <c r="E371" t="s">
        <v>603</v>
      </c>
      <c r="F371" t="s">
        <v>6</v>
      </c>
      <c r="G371" s="145">
        <v>8.6973421682002422E-3</v>
      </c>
      <c r="H371" s="118">
        <v>0.16</v>
      </c>
      <c r="I371" s="118">
        <v>1</v>
      </c>
      <c r="J371" s="118"/>
      <c r="K371" t="s">
        <v>1249</v>
      </c>
      <c r="L371" s="146" t="s">
        <v>1619</v>
      </c>
    </row>
    <row r="372" spans="1:12" x14ac:dyDescent="0.25">
      <c r="A372" t="s">
        <v>232</v>
      </c>
      <c r="B372" t="s">
        <v>231</v>
      </c>
      <c r="C372" t="s">
        <v>3</v>
      </c>
      <c r="D372" t="s">
        <v>1250</v>
      </c>
      <c r="E372" t="s">
        <v>967</v>
      </c>
      <c r="F372" t="s">
        <v>6</v>
      </c>
      <c r="G372" s="145">
        <v>1.2109536259804595E-2</v>
      </c>
      <c r="H372" s="118">
        <v>0.88</v>
      </c>
      <c r="I372" s="118"/>
      <c r="J372" s="118"/>
      <c r="K372" t="s">
        <v>1251</v>
      </c>
      <c r="L372" s="146" t="s">
        <v>1620</v>
      </c>
    </row>
    <row r="373" spans="1:12" x14ac:dyDescent="0.25">
      <c r="A373" t="s">
        <v>232</v>
      </c>
      <c r="B373" t="s">
        <v>231</v>
      </c>
      <c r="C373" t="s">
        <v>3</v>
      </c>
      <c r="D373" t="s">
        <v>1250</v>
      </c>
      <c r="E373" t="s">
        <v>993</v>
      </c>
      <c r="F373" t="s">
        <v>15</v>
      </c>
      <c r="G373" s="145">
        <v>6.8804183294344295E-3</v>
      </c>
      <c r="H373" s="118">
        <v>0.5</v>
      </c>
      <c r="I373" s="118"/>
      <c r="J373" s="118"/>
      <c r="K373" t="s">
        <v>1251</v>
      </c>
      <c r="L373" s="146" t="s">
        <v>1621</v>
      </c>
    </row>
    <row r="374" spans="1:12" x14ac:dyDescent="0.25">
      <c r="A374" t="s">
        <v>232</v>
      </c>
      <c r="B374" t="s">
        <v>231</v>
      </c>
      <c r="C374" t="s">
        <v>3</v>
      </c>
      <c r="D374" t="s">
        <v>1250</v>
      </c>
      <c r="E374" t="s">
        <v>606</v>
      </c>
      <c r="F374" t="s">
        <v>15</v>
      </c>
      <c r="G374" s="145">
        <v>1.5192950470981466E-2</v>
      </c>
      <c r="H374" s="118"/>
      <c r="I374" s="118">
        <v>1</v>
      </c>
      <c r="J374" s="118"/>
      <c r="K374" t="s">
        <v>1251</v>
      </c>
      <c r="L374" s="146" t="s">
        <v>1622</v>
      </c>
    </row>
    <row r="375" spans="1:12" x14ac:dyDescent="0.25">
      <c r="A375" t="s">
        <v>232</v>
      </c>
      <c r="B375" t="s">
        <v>231</v>
      </c>
      <c r="C375" t="s">
        <v>3</v>
      </c>
      <c r="D375" t="s">
        <v>1250</v>
      </c>
      <c r="E375" t="s">
        <v>1035</v>
      </c>
      <c r="F375" t="s">
        <v>15</v>
      </c>
      <c r="G375" s="145">
        <v>4.9595042118153611E-2</v>
      </c>
      <c r="H375" s="118">
        <v>5</v>
      </c>
      <c r="I375" s="118">
        <v>2</v>
      </c>
      <c r="J375" s="118"/>
      <c r="L375" s="146" t="s">
        <v>1623</v>
      </c>
    </row>
    <row r="376" spans="1:12" x14ac:dyDescent="0.25">
      <c r="A376" t="s">
        <v>232</v>
      </c>
      <c r="B376" t="s">
        <v>231</v>
      </c>
      <c r="C376" t="s">
        <v>3</v>
      </c>
      <c r="D376" t="s">
        <v>1250</v>
      </c>
      <c r="E376" t="s">
        <v>226</v>
      </c>
      <c r="F376" t="s">
        <v>15</v>
      </c>
      <c r="G376" s="145">
        <v>2.9669844035906629E-2</v>
      </c>
      <c r="H376" s="118">
        <v>1</v>
      </c>
      <c r="I376" s="118">
        <v>3</v>
      </c>
      <c r="J376" s="118"/>
      <c r="K376" t="s">
        <v>1249</v>
      </c>
      <c r="L376" s="146" t="s">
        <v>1624</v>
      </c>
    </row>
    <row r="377" spans="1:12" x14ac:dyDescent="0.25">
      <c r="A377" t="s">
        <v>232</v>
      </c>
      <c r="B377" t="s">
        <v>231</v>
      </c>
      <c r="C377" t="s">
        <v>3</v>
      </c>
      <c r="D377" t="s">
        <v>1246</v>
      </c>
      <c r="E377" t="s">
        <v>221</v>
      </c>
      <c r="F377" t="s">
        <v>3</v>
      </c>
      <c r="G377" s="145">
        <v>1</v>
      </c>
      <c r="H377" s="118">
        <v>72.67</v>
      </c>
      <c r="I377" s="118">
        <v>65.819999999999993</v>
      </c>
      <c r="J377" s="118"/>
      <c r="K377" t="s">
        <v>1247</v>
      </c>
      <c r="L377" s="146" t="s">
        <v>1625</v>
      </c>
    </row>
    <row r="378" spans="1:12" x14ac:dyDescent="0.25">
      <c r="A378" t="s">
        <v>232</v>
      </c>
      <c r="B378" t="s">
        <v>231</v>
      </c>
      <c r="C378" t="s">
        <v>3</v>
      </c>
      <c r="D378" t="s">
        <v>1248</v>
      </c>
      <c r="E378" t="s">
        <v>1176</v>
      </c>
      <c r="F378" t="s">
        <v>15</v>
      </c>
      <c r="G378" s="145">
        <v>1.2762078395624432</v>
      </c>
      <c r="H378" s="118"/>
      <c r="I378" s="118">
        <v>84</v>
      </c>
      <c r="J378" s="118"/>
      <c r="K378" t="s">
        <v>1251</v>
      </c>
      <c r="L378" s="146" t="s">
        <v>1626</v>
      </c>
    </row>
    <row r="379" spans="1:12" x14ac:dyDescent="0.25">
      <c r="A379" t="s">
        <v>232</v>
      </c>
      <c r="B379" t="s">
        <v>231</v>
      </c>
      <c r="C379" t="s">
        <v>3</v>
      </c>
      <c r="D379" t="s">
        <v>1248</v>
      </c>
      <c r="E379" t="s">
        <v>1198</v>
      </c>
      <c r="F379" t="s">
        <v>15</v>
      </c>
      <c r="G379" s="145">
        <v>1.2762078395624432</v>
      </c>
      <c r="H379" s="118"/>
      <c r="I379" s="118">
        <v>84</v>
      </c>
      <c r="J379" s="118"/>
      <c r="K379" t="s">
        <v>1251</v>
      </c>
      <c r="L379" s="146" t="s">
        <v>1627</v>
      </c>
    </row>
    <row r="380" spans="1:12" x14ac:dyDescent="0.25">
      <c r="A380" t="s">
        <v>220</v>
      </c>
      <c r="B380" t="s">
        <v>219</v>
      </c>
      <c r="C380" t="s">
        <v>3</v>
      </c>
      <c r="D380" t="s">
        <v>1246</v>
      </c>
      <c r="E380" t="s">
        <v>218</v>
      </c>
      <c r="F380" t="s">
        <v>3</v>
      </c>
      <c r="G380" s="145">
        <v>1</v>
      </c>
      <c r="H380" s="118"/>
      <c r="I380" s="118">
        <v>15.46</v>
      </c>
      <c r="J380" s="118"/>
      <c r="K380" t="s">
        <v>1251</v>
      </c>
      <c r="L380" s="146" t="s">
        <v>1628</v>
      </c>
    </row>
    <row r="381" spans="1:12" x14ac:dyDescent="0.25">
      <c r="A381" t="s">
        <v>217</v>
      </c>
      <c r="B381" t="s">
        <v>216</v>
      </c>
      <c r="C381" t="s">
        <v>3</v>
      </c>
      <c r="D381" t="s">
        <v>1250</v>
      </c>
      <c r="E381" t="s">
        <v>720</v>
      </c>
      <c r="F381" t="s">
        <v>6</v>
      </c>
      <c r="G381" s="145">
        <v>5.0000000000000001E-3</v>
      </c>
      <c r="H381" s="118">
        <v>0.4</v>
      </c>
      <c r="I381" s="118"/>
      <c r="J381" s="118"/>
      <c r="K381" t="s">
        <v>1251</v>
      </c>
      <c r="L381" s="146" t="s">
        <v>1629</v>
      </c>
    </row>
    <row r="382" spans="1:12" x14ac:dyDescent="0.25">
      <c r="A382" t="s">
        <v>217</v>
      </c>
      <c r="B382" t="s">
        <v>216</v>
      </c>
      <c r="C382" t="s">
        <v>3</v>
      </c>
      <c r="D382" t="s">
        <v>1250</v>
      </c>
      <c r="E382" t="s">
        <v>785</v>
      </c>
      <c r="F382" t="s">
        <v>174</v>
      </c>
      <c r="G382" s="145">
        <v>0.11127817322343651</v>
      </c>
      <c r="H382" s="118">
        <v>5</v>
      </c>
      <c r="I382" s="118">
        <v>11</v>
      </c>
      <c r="J382" s="118">
        <v>17</v>
      </c>
      <c r="L382" s="146" t="s">
        <v>1630</v>
      </c>
    </row>
    <row r="383" spans="1:12" x14ac:dyDescent="0.25">
      <c r="A383" t="s">
        <v>217</v>
      </c>
      <c r="B383" t="s">
        <v>216</v>
      </c>
      <c r="C383" t="s">
        <v>3</v>
      </c>
      <c r="D383" t="s">
        <v>1250</v>
      </c>
      <c r="E383" t="s">
        <v>603</v>
      </c>
      <c r="F383" t="s">
        <v>6</v>
      </c>
      <c r="G383" s="145">
        <v>1.7103229363782845E-2</v>
      </c>
      <c r="H383" s="118"/>
      <c r="I383" s="118">
        <v>1.44</v>
      </c>
      <c r="J383" s="118">
        <v>2.04</v>
      </c>
      <c r="L383" s="146" t="s">
        <v>1631</v>
      </c>
    </row>
    <row r="384" spans="1:12" x14ac:dyDescent="0.25">
      <c r="A384" t="s">
        <v>217</v>
      </c>
      <c r="B384" t="s">
        <v>216</v>
      </c>
      <c r="C384" t="s">
        <v>3</v>
      </c>
      <c r="D384" t="s">
        <v>1250</v>
      </c>
      <c r="E384" t="s">
        <v>967</v>
      </c>
      <c r="F384" t="s">
        <v>6</v>
      </c>
      <c r="G384" s="145">
        <v>4.0000000000000001E-3</v>
      </c>
      <c r="H384" s="118">
        <v>0.32</v>
      </c>
      <c r="I384" s="118"/>
      <c r="J384" s="118"/>
      <c r="K384" t="s">
        <v>1251</v>
      </c>
      <c r="L384" s="146" t="s">
        <v>1632</v>
      </c>
    </row>
    <row r="385" spans="1:12" x14ac:dyDescent="0.25">
      <c r="A385" t="s">
        <v>217</v>
      </c>
      <c r="B385" t="s">
        <v>216</v>
      </c>
      <c r="C385" t="s">
        <v>3</v>
      </c>
      <c r="D385" t="s">
        <v>1250</v>
      </c>
      <c r="E385" t="s">
        <v>602</v>
      </c>
      <c r="F385" t="s">
        <v>6</v>
      </c>
      <c r="G385" s="145">
        <v>5.3835800807537021E-3</v>
      </c>
      <c r="H385" s="118">
        <v>0.32</v>
      </c>
      <c r="I385" s="118">
        <v>1.1200000000000001</v>
      </c>
      <c r="J385" s="118">
        <v>0.76</v>
      </c>
      <c r="K385" t="s">
        <v>1249</v>
      </c>
      <c r="L385" s="146" t="s">
        <v>1633</v>
      </c>
    </row>
    <row r="386" spans="1:12" x14ac:dyDescent="0.25">
      <c r="A386" t="s">
        <v>217</v>
      </c>
      <c r="B386" t="s">
        <v>216</v>
      </c>
      <c r="C386" t="s">
        <v>3</v>
      </c>
      <c r="D386" t="s">
        <v>1250</v>
      </c>
      <c r="E386" t="s">
        <v>606</v>
      </c>
      <c r="F386" t="s">
        <v>15</v>
      </c>
      <c r="G386" s="145">
        <v>0.13719303059404583</v>
      </c>
      <c r="H386" s="118"/>
      <c r="I386" s="118">
        <v>10</v>
      </c>
      <c r="J386" s="118"/>
      <c r="K386" t="s">
        <v>1251</v>
      </c>
      <c r="L386" s="146" t="s">
        <v>1634</v>
      </c>
    </row>
    <row r="387" spans="1:12" x14ac:dyDescent="0.25">
      <c r="A387" t="s">
        <v>217</v>
      </c>
      <c r="B387" t="s">
        <v>216</v>
      </c>
      <c r="C387" t="s">
        <v>3</v>
      </c>
      <c r="D387" t="s">
        <v>1250</v>
      </c>
      <c r="E387" t="s">
        <v>1044</v>
      </c>
      <c r="F387" t="s">
        <v>15</v>
      </c>
      <c r="G387" s="145">
        <v>1.3719303059404582E-2</v>
      </c>
      <c r="H387" s="118"/>
      <c r="I387" s="118">
        <v>1</v>
      </c>
      <c r="J387" s="118"/>
      <c r="K387" t="s">
        <v>1251</v>
      </c>
      <c r="L387" s="146" t="s">
        <v>1635</v>
      </c>
    </row>
    <row r="388" spans="1:12" x14ac:dyDescent="0.25">
      <c r="A388" t="s">
        <v>217</v>
      </c>
      <c r="B388" t="s">
        <v>216</v>
      </c>
      <c r="C388" t="s">
        <v>3</v>
      </c>
      <c r="D388" t="s">
        <v>1246</v>
      </c>
      <c r="E388" t="s">
        <v>215</v>
      </c>
      <c r="F388" t="s">
        <v>3</v>
      </c>
      <c r="G388" s="145">
        <v>1</v>
      </c>
      <c r="H388" s="118">
        <v>80</v>
      </c>
      <c r="I388" s="118">
        <v>72.89</v>
      </c>
      <c r="J388" s="118">
        <v>141.16999999999999</v>
      </c>
      <c r="K388" t="s">
        <v>1247</v>
      </c>
      <c r="L388" s="146" t="s">
        <v>1636</v>
      </c>
    </row>
    <row r="389" spans="1:12" x14ac:dyDescent="0.25">
      <c r="A389" t="s">
        <v>214</v>
      </c>
      <c r="B389" t="s">
        <v>213</v>
      </c>
      <c r="C389" t="s">
        <v>210</v>
      </c>
      <c r="D389" t="s">
        <v>1250</v>
      </c>
      <c r="E389" t="s">
        <v>717</v>
      </c>
      <c r="G389" s="145">
        <v>4.4817927170868341E-2</v>
      </c>
      <c r="H389" s="118"/>
      <c r="I389" s="118"/>
      <c r="J389" s="118">
        <v>0.48</v>
      </c>
      <c r="K389" t="s">
        <v>1251</v>
      </c>
      <c r="L389" s="146" t="s">
        <v>1637</v>
      </c>
    </row>
    <row r="390" spans="1:12" x14ac:dyDescent="0.25">
      <c r="A390" t="s">
        <v>214</v>
      </c>
      <c r="B390" t="s">
        <v>213</v>
      </c>
      <c r="C390" t="s">
        <v>210</v>
      </c>
      <c r="D390" t="s">
        <v>1250</v>
      </c>
      <c r="E390" t="s">
        <v>785</v>
      </c>
      <c r="F390" t="s">
        <v>8</v>
      </c>
      <c r="G390" s="145">
        <v>0.5</v>
      </c>
      <c r="H390" s="118">
        <v>1</v>
      </c>
      <c r="I390" s="118">
        <v>2</v>
      </c>
      <c r="J390" s="118">
        <v>2</v>
      </c>
      <c r="K390" t="s">
        <v>1249</v>
      </c>
      <c r="L390" s="146" t="s">
        <v>1638</v>
      </c>
    </row>
    <row r="391" spans="1:12" x14ac:dyDescent="0.25">
      <c r="A391" t="s">
        <v>214</v>
      </c>
      <c r="B391" t="s">
        <v>213</v>
      </c>
      <c r="C391" t="s">
        <v>210</v>
      </c>
      <c r="D391" t="s">
        <v>1250</v>
      </c>
      <c r="E391" t="s">
        <v>822</v>
      </c>
      <c r="F391" t="s">
        <v>30</v>
      </c>
      <c r="G391" s="145">
        <v>9.3370681605975711E-2</v>
      </c>
      <c r="H391" s="118"/>
      <c r="I391" s="118"/>
      <c r="J391" s="118">
        <v>1</v>
      </c>
      <c r="K391" t="s">
        <v>1251</v>
      </c>
      <c r="L391" s="146" t="s">
        <v>1639</v>
      </c>
    </row>
    <row r="392" spans="1:12" x14ac:dyDescent="0.25">
      <c r="A392" t="s">
        <v>214</v>
      </c>
      <c r="B392" t="s">
        <v>213</v>
      </c>
      <c r="C392" t="s">
        <v>210</v>
      </c>
      <c r="D392" t="s">
        <v>1250</v>
      </c>
      <c r="E392" t="s">
        <v>967</v>
      </c>
      <c r="F392" t="s">
        <v>6</v>
      </c>
      <c r="G392" s="145">
        <v>0.08</v>
      </c>
      <c r="H392" s="118">
        <v>0.16</v>
      </c>
      <c r="I392" s="118"/>
      <c r="J392" s="118"/>
      <c r="K392" t="s">
        <v>1251</v>
      </c>
      <c r="L392" s="146" t="s">
        <v>1640</v>
      </c>
    </row>
    <row r="393" spans="1:12" x14ac:dyDescent="0.25">
      <c r="A393" t="s">
        <v>214</v>
      </c>
      <c r="B393" t="s">
        <v>213</v>
      </c>
      <c r="C393" t="s">
        <v>210</v>
      </c>
      <c r="D393" t="s">
        <v>1250</v>
      </c>
      <c r="E393" t="s">
        <v>602</v>
      </c>
      <c r="F393" t="s">
        <v>6</v>
      </c>
      <c r="G393" s="145">
        <v>0.04</v>
      </c>
      <c r="H393" s="118">
        <v>0.08</v>
      </c>
      <c r="I393" s="118"/>
      <c r="J393" s="118"/>
      <c r="K393" t="s">
        <v>1251</v>
      </c>
      <c r="L393" s="146" t="s">
        <v>1641</v>
      </c>
    </row>
    <row r="394" spans="1:12" x14ac:dyDescent="0.25">
      <c r="A394" t="s">
        <v>214</v>
      </c>
      <c r="B394" t="s">
        <v>213</v>
      </c>
      <c r="C394" t="s">
        <v>210</v>
      </c>
      <c r="D394" t="s">
        <v>1250</v>
      </c>
      <c r="E394" t="s">
        <v>851</v>
      </c>
      <c r="F394" t="s">
        <v>15</v>
      </c>
      <c r="G394" s="145">
        <v>0.2976367640931008</v>
      </c>
      <c r="H394" s="118"/>
      <c r="I394" s="118">
        <v>1</v>
      </c>
      <c r="J394" s="118"/>
      <c r="K394" t="s">
        <v>1251</v>
      </c>
      <c r="L394" s="146" t="s">
        <v>1642</v>
      </c>
    </row>
    <row r="395" spans="1:12" x14ac:dyDescent="0.25">
      <c r="A395" t="s">
        <v>214</v>
      </c>
      <c r="B395" t="s">
        <v>213</v>
      </c>
      <c r="C395" t="s">
        <v>210</v>
      </c>
      <c r="D395" t="s">
        <v>1246</v>
      </c>
      <c r="E395" t="s">
        <v>211</v>
      </c>
      <c r="F395" t="s">
        <v>210</v>
      </c>
      <c r="G395" s="145">
        <v>1</v>
      </c>
      <c r="H395" s="118">
        <v>2</v>
      </c>
      <c r="I395" s="118">
        <v>3.3597999999999999</v>
      </c>
      <c r="J395" s="118">
        <v>10.71</v>
      </c>
      <c r="K395" t="s">
        <v>1247</v>
      </c>
      <c r="L395" s="146" t="s">
        <v>1643</v>
      </c>
    </row>
    <row r="396" spans="1:12" x14ac:dyDescent="0.25">
      <c r="A396" t="s">
        <v>209</v>
      </c>
      <c r="B396" t="s">
        <v>208</v>
      </c>
      <c r="C396" t="s">
        <v>130</v>
      </c>
      <c r="D396" t="s">
        <v>1250</v>
      </c>
      <c r="E396" t="s">
        <v>720</v>
      </c>
      <c r="F396" t="s">
        <v>6</v>
      </c>
      <c r="G396" s="145">
        <v>8.5496183206106885E-2</v>
      </c>
      <c r="H396" s="118">
        <v>0.56000000000000005</v>
      </c>
      <c r="I396" s="118"/>
      <c r="J396" s="118"/>
      <c r="K396" t="s">
        <v>1251</v>
      </c>
      <c r="L396" s="146" t="s">
        <v>1644</v>
      </c>
    </row>
    <row r="397" spans="1:12" x14ac:dyDescent="0.25">
      <c r="A397" t="s">
        <v>209</v>
      </c>
      <c r="B397" t="s">
        <v>208</v>
      </c>
      <c r="C397" t="s">
        <v>130</v>
      </c>
      <c r="D397" t="s">
        <v>1250</v>
      </c>
      <c r="E397" t="s">
        <v>785</v>
      </c>
      <c r="F397" t="s">
        <v>174</v>
      </c>
      <c r="G397" s="145">
        <v>0.52900763358778624</v>
      </c>
      <c r="H397" s="118">
        <v>3</v>
      </c>
      <c r="I397" s="118">
        <v>3</v>
      </c>
      <c r="J397" s="118"/>
      <c r="L397" s="146" t="s">
        <v>1645</v>
      </c>
    </row>
    <row r="398" spans="1:12" x14ac:dyDescent="0.25">
      <c r="A398" t="s">
        <v>209</v>
      </c>
      <c r="B398" t="s">
        <v>208</v>
      </c>
      <c r="C398" t="s">
        <v>130</v>
      </c>
      <c r="D398" t="s">
        <v>1246</v>
      </c>
      <c r="E398" t="s">
        <v>207</v>
      </c>
      <c r="F398" t="s">
        <v>130</v>
      </c>
      <c r="G398" s="145">
        <v>1</v>
      </c>
      <c r="H398" s="118">
        <v>6.55</v>
      </c>
      <c r="I398" s="118">
        <v>5</v>
      </c>
      <c r="J398" s="118">
        <v>9.14</v>
      </c>
      <c r="K398" t="s">
        <v>1247</v>
      </c>
      <c r="L398" s="146" t="s">
        <v>1646</v>
      </c>
    </row>
    <row r="399" spans="1:12" x14ac:dyDescent="0.25">
      <c r="A399" t="s">
        <v>547</v>
      </c>
      <c r="B399" t="s">
        <v>548</v>
      </c>
      <c r="C399" t="s">
        <v>550</v>
      </c>
      <c r="D399" t="s">
        <v>1250</v>
      </c>
      <c r="E399" t="s">
        <v>785</v>
      </c>
      <c r="F399" t="s">
        <v>174</v>
      </c>
      <c r="G399" s="145"/>
      <c r="H399" s="118"/>
      <c r="I399" s="118"/>
      <c r="J399" s="118">
        <v>1</v>
      </c>
      <c r="L399" s="146" t="s">
        <v>1647</v>
      </c>
    </row>
    <row r="400" spans="1:12" x14ac:dyDescent="0.25">
      <c r="A400" t="s">
        <v>547</v>
      </c>
      <c r="B400" t="s">
        <v>548</v>
      </c>
      <c r="C400" t="s">
        <v>550</v>
      </c>
      <c r="D400" t="s">
        <v>1250</v>
      </c>
      <c r="E400" t="s">
        <v>603</v>
      </c>
      <c r="F400" t="s">
        <v>6</v>
      </c>
      <c r="G400" s="145"/>
      <c r="H400" s="118"/>
      <c r="I400" s="118"/>
      <c r="J400" s="118">
        <v>0.08</v>
      </c>
      <c r="L400" s="146" t="s">
        <v>1648</v>
      </c>
    </row>
    <row r="401" spans="1:12" x14ac:dyDescent="0.25">
      <c r="A401" t="s">
        <v>547</v>
      </c>
      <c r="B401" t="s">
        <v>548</v>
      </c>
      <c r="C401" t="s">
        <v>550</v>
      </c>
      <c r="D401" t="s">
        <v>1246</v>
      </c>
      <c r="E401" t="s">
        <v>549</v>
      </c>
      <c r="F401" t="s">
        <v>15</v>
      </c>
      <c r="G401" s="145"/>
      <c r="H401" s="118"/>
      <c r="I401" s="118"/>
      <c r="J401" s="118">
        <v>1</v>
      </c>
      <c r="L401" s="146" t="s">
        <v>1649</v>
      </c>
    </row>
    <row r="402" spans="1:12" x14ac:dyDescent="0.25">
      <c r="A402" t="s">
        <v>206</v>
      </c>
      <c r="B402" t="s">
        <v>205</v>
      </c>
      <c r="C402" t="s">
        <v>130</v>
      </c>
      <c r="D402" t="s">
        <v>1250</v>
      </c>
      <c r="E402" t="s">
        <v>526</v>
      </c>
      <c r="F402" t="s">
        <v>15</v>
      </c>
      <c r="G402" s="145">
        <v>1.8623527623906053E-2</v>
      </c>
      <c r="H402" s="118"/>
      <c r="I402" s="118">
        <v>2</v>
      </c>
      <c r="J402" s="118"/>
      <c r="K402" t="s">
        <v>1251</v>
      </c>
      <c r="L402" s="146" t="s">
        <v>1650</v>
      </c>
    </row>
    <row r="403" spans="1:12" x14ac:dyDescent="0.25">
      <c r="A403" t="s">
        <v>206</v>
      </c>
      <c r="B403" t="s">
        <v>205</v>
      </c>
      <c r="C403" t="s">
        <v>130</v>
      </c>
      <c r="D403" t="s">
        <v>1250</v>
      </c>
      <c r="E403" t="s">
        <v>798</v>
      </c>
      <c r="F403" t="s">
        <v>15</v>
      </c>
      <c r="G403" s="145">
        <v>2.5729584085372494E-2</v>
      </c>
      <c r="H403" s="118"/>
      <c r="I403" s="118">
        <v>3</v>
      </c>
      <c r="J403" s="118">
        <v>3</v>
      </c>
      <c r="L403" s="146" t="s">
        <v>1651</v>
      </c>
    </row>
    <row r="404" spans="1:12" x14ac:dyDescent="0.25">
      <c r="A404" t="s">
        <v>206</v>
      </c>
      <c r="B404" t="s">
        <v>205</v>
      </c>
      <c r="C404" t="s">
        <v>130</v>
      </c>
      <c r="D404" t="s">
        <v>1250</v>
      </c>
      <c r="E404" t="s">
        <v>64</v>
      </c>
      <c r="F404" t="s">
        <v>15</v>
      </c>
      <c r="G404" s="145">
        <v>7.8412922449619688E-3</v>
      </c>
      <c r="H404" s="118"/>
      <c r="I404" s="118"/>
      <c r="J404" s="118">
        <v>1</v>
      </c>
      <c r="K404" t="s">
        <v>1251</v>
      </c>
      <c r="L404" s="146" t="s">
        <v>1652</v>
      </c>
    </row>
    <row r="405" spans="1:12" x14ac:dyDescent="0.25">
      <c r="A405" t="s">
        <v>206</v>
      </c>
      <c r="B405" t="s">
        <v>205</v>
      </c>
      <c r="C405" t="s">
        <v>130</v>
      </c>
      <c r="D405" t="s">
        <v>1250</v>
      </c>
      <c r="E405" t="s">
        <v>155</v>
      </c>
      <c r="F405" t="s">
        <v>144</v>
      </c>
      <c r="G405" s="145">
        <v>9.3117638119530263E-3</v>
      </c>
      <c r="H405" s="118"/>
      <c r="I405" s="118">
        <v>1</v>
      </c>
      <c r="J405" s="118"/>
      <c r="K405" t="s">
        <v>1251</v>
      </c>
      <c r="L405" s="146" t="s">
        <v>1653</v>
      </c>
    </row>
    <row r="406" spans="1:12" x14ac:dyDescent="0.25">
      <c r="A406" t="s">
        <v>206</v>
      </c>
      <c r="B406" t="s">
        <v>205</v>
      </c>
      <c r="C406" t="s">
        <v>130</v>
      </c>
      <c r="D406" t="s">
        <v>1250</v>
      </c>
      <c r="E406" t="s">
        <v>930</v>
      </c>
      <c r="F406" t="s">
        <v>15</v>
      </c>
      <c r="G406" s="145">
        <v>2.3523876734885908E-2</v>
      </c>
      <c r="H406" s="118"/>
      <c r="I406" s="118"/>
      <c r="J406" s="118">
        <v>3</v>
      </c>
      <c r="K406" t="s">
        <v>1251</v>
      </c>
      <c r="L406" s="146" t="s">
        <v>1654</v>
      </c>
    </row>
    <row r="407" spans="1:12" x14ac:dyDescent="0.25">
      <c r="A407" t="s">
        <v>206</v>
      </c>
      <c r="B407" t="s">
        <v>205</v>
      </c>
      <c r="C407" t="s">
        <v>130</v>
      </c>
      <c r="D407" t="s">
        <v>1250</v>
      </c>
      <c r="E407" t="s">
        <v>951</v>
      </c>
      <c r="F407" t="s">
        <v>15</v>
      </c>
      <c r="G407" s="145">
        <v>2.3523876734885908E-2</v>
      </c>
      <c r="H407" s="118"/>
      <c r="I407" s="118"/>
      <c r="J407" s="118">
        <v>3</v>
      </c>
      <c r="K407" t="s">
        <v>1251</v>
      </c>
      <c r="L407" s="146" t="s">
        <v>1655</v>
      </c>
    </row>
    <row r="408" spans="1:12" x14ac:dyDescent="0.25">
      <c r="A408" t="s">
        <v>206</v>
      </c>
      <c r="B408" t="s">
        <v>205</v>
      </c>
      <c r="C408" t="s">
        <v>130</v>
      </c>
      <c r="D408" t="s">
        <v>1250</v>
      </c>
      <c r="E408" t="s">
        <v>980</v>
      </c>
      <c r="F408" t="s">
        <v>15</v>
      </c>
      <c r="G408" s="145">
        <v>1.7153056056914993E-2</v>
      </c>
      <c r="H408" s="118"/>
      <c r="I408" s="118">
        <v>2</v>
      </c>
      <c r="J408" s="118">
        <v>2</v>
      </c>
      <c r="L408" s="146" t="s">
        <v>1656</v>
      </c>
    </row>
    <row r="409" spans="1:12" x14ac:dyDescent="0.25">
      <c r="A409" t="s">
        <v>206</v>
      </c>
      <c r="B409" t="s">
        <v>205</v>
      </c>
      <c r="C409" t="s">
        <v>130</v>
      </c>
      <c r="D409" t="s">
        <v>1246</v>
      </c>
      <c r="E409" t="s">
        <v>202</v>
      </c>
      <c r="F409" t="s">
        <v>130</v>
      </c>
      <c r="G409" s="145">
        <v>1</v>
      </c>
      <c r="H409" s="118"/>
      <c r="I409" s="118">
        <v>107.39104</v>
      </c>
      <c r="J409" s="118">
        <v>127.53</v>
      </c>
      <c r="K409" t="s">
        <v>1247</v>
      </c>
      <c r="L409" s="146" t="s">
        <v>1657</v>
      </c>
    </row>
    <row r="410" spans="1:12" x14ac:dyDescent="0.25">
      <c r="A410" t="s">
        <v>200</v>
      </c>
      <c r="B410" t="s">
        <v>199</v>
      </c>
      <c r="C410" t="s">
        <v>130</v>
      </c>
      <c r="D410" t="s">
        <v>1246</v>
      </c>
      <c r="E410" t="s">
        <v>198</v>
      </c>
      <c r="F410" t="s">
        <v>130</v>
      </c>
      <c r="G410" s="145">
        <v>1</v>
      </c>
      <c r="H410" s="118">
        <v>382.99919999999997</v>
      </c>
      <c r="I410" s="118">
        <v>342.46839999999997</v>
      </c>
      <c r="J410" s="118">
        <v>391.97</v>
      </c>
      <c r="K410" t="s">
        <v>1247</v>
      </c>
      <c r="L410" s="146" t="s">
        <v>1658</v>
      </c>
    </row>
    <row r="411" spans="1:12" x14ac:dyDescent="0.25">
      <c r="A411" t="s">
        <v>197</v>
      </c>
      <c r="B411" t="s">
        <v>196</v>
      </c>
      <c r="C411" t="s">
        <v>3</v>
      </c>
      <c r="D411" t="s">
        <v>1246</v>
      </c>
      <c r="E411" t="s">
        <v>195</v>
      </c>
      <c r="F411" t="s">
        <v>3</v>
      </c>
      <c r="G411" s="145">
        <v>1</v>
      </c>
      <c r="H411" s="118">
        <v>231.19200000000001</v>
      </c>
      <c r="I411" s="118">
        <v>298.851</v>
      </c>
      <c r="J411" s="118"/>
      <c r="K411" t="s">
        <v>1247</v>
      </c>
      <c r="L411" s="146" t="s">
        <v>1659</v>
      </c>
    </row>
    <row r="412" spans="1:12" x14ac:dyDescent="0.25">
      <c r="A412" t="s">
        <v>194</v>
      </c>
      <c r="B412" t="s">
        <v>193</v>
      </c>
      <c r="C412" t="s">
        <v>3</v>
      </c>
      <c r="D412" t="s">
        <v>1246</v>
      </c>
      <c r="E412" t="s">
        <v>192</v>
      </c>
      <c r="F412" t="s">
        <v>130</v>
      </c>
      <c r="G412" s="145"/>
      <c r="H412" s="118">
        <v>282.35700000000003</v>
      </c>
      <c r="I412" s="118">
        <v>57.101999999999997</v>
      </c>
      <c r="J412" s="118"/>
      <c r="L412" s="146" t="s">
        <v>1660</v>
      </c>
    </row>
    <row r="413" spans="1:12" x14ac:dyDescent="0.25">
      <c r="A413" t="s">
        <v>191</v>
      </c>
      <c r="B413" t="s">
        <v>190</v>
      </c>
      <c r="C413" t="s">
        <v>130</v>
      </c>
      <c r="D413" t="s">
        <v>1246</v>
      </c>
      <c r="E413" t="s">
        <v>189</v>
      </c>
      <c r="F413" t="s">
        <v>130</v>
      </c>
      <c r="G413" s="145">
        <v>1</v>
      </c>
      <c r="H413" s="118">
        <v>734.38099999999997</v>
      </c>
      <c r="I413" s="118">
        <v>615.46500000000003</v>
      </c>
      <c r="J413" s="118">
        <v>1522.99</v>
      </c>
      <c r="K413" t="s">
        <v>1247</v>
      </c>
      <c r="L413" s="146" t="s">
        <v>1661</v>
      </c>
    </row>
    <row r="414" spans="1:12" x14ac:dyDescent="0.25">
      <c r="A414" t="s">
        <v>188</v>
      </c>
      <c r="B414" t="s">
        <v>187</v>
      </c>
      <c r="C414" t="s">
        <v>3</v>
      </c>
      <c r="D414" t="s">
        <v>1246</v>
      </c>
      <c r="E414" t="s">
        <v>186</v>
      </c>
      <c r="F414" t="s">
        <v>3</v>
      </c>
      <c r="G414" s="145">
        <v>1</v>
      </c>
      <c r="H414" s="118">
        <v>331.1</v>
      </c>
      <c r="I414" s="118">
        <v>89.2</v>
      </c>
      <c r="J414" s="118"/>
      <c r="K414" t="s">
        <v>1247</v>
      </c>
      <c r="L414" s="146" t="s">
        <v>1662</v>
      </c>
    </row>
    <row r="415" spans="1:12" x14ac:dyDescent="0.25">
      <c r="A415" t="s">
        <v>185</v>
      </c>
      <c r="B415" t="s">
        <v>184</v>
      </c>
      <c r="C415" t="s">
        <v>3</v>
      </c>
      <c r="D415" t="s">
        <v>1246</v>
      </c>
      <c r="E415" t="s">
        <v>183</v>
      </c>
      <c r="F415" t="s">
        <v>3</v>
      </c>
      <c r="G415" s="145">
        <v>1</v>
      </c>
      <c r="H415" s="118">
        <v>15.9</v>
      </c>
      <c r="I415" s="118">
        <v>42.8</v>
      </c>
      <c r="J415" s="118"/>
      <c r="K415" t="s">
        <v>1247</v>
      </c>
      <c r="L415" s="146" t="s">
        <v>1663</v>
      </c>
    </row>
    <row r="416" spans="1:12" x14ac:dyDescent="0.25">
      <c r="A416" t="s">
        <v>182</v>
      </c>
      <c r="B416" t="s">
        <v>181</v>
      </c>
      <c r="C416" t="s">
        <v>130</v>
      </c>
      <c r="D416" t="s">
        <v>1250</v>
      </c>
      <c r="E416" t="s">
        <v>717</v>
      </c>
      <c r="F416" t="s">
        <v>6</v>
      </c>
      <c r="G416" s="145">
        <v>5.9465383332539196E-3</v>
      </c>
      <c r="H416" s="118"/>
      <c r="I416" s="118"/>
      <c r="J416" s="118">
        <v>6.24</v>
      </c>
      <c r="K416" t="s">
        <v>1251</v>
      </c>
      <c r="L416" s="146" t="s">
        <v>1664</v>
      </c>
    </row>
    <row r="417" spans="1:12" x14ac:dyDescent="0.25">
      <c r="A417" t="s">
        <v>182</v>
      </c>
      <c r="B417" t="s">
        <v>181</v>
      </c>
      <c r="C417" t="s">
        <v>130</v>
      </c>
      <c r="D417" t="s">
        <v>1250</v>
      </c>
      <c r="E417" t="s">
        <v>720</v>
      </c>
      <c r="F417" t="s">
        <v>6</v>
      </c>
      <c r="G417" s="145">
        <v>2.3271229608288727E-3</v>
      </c>
      <c r="H417" s="118">
        <v>0.48</v>
      </c>
      <c r="I417" s="118"/>
      <c r="J417" s="118">
        <v>4.32</v>
      </c>
      <c r="K417" t="s">
        <v>1249</v>
      </c>
      <c r="L417" s="146" t="s">
        <v>1665</v>
      </c>
    </row>
    <row r="418" spans="1:12" x14ac:dyDescent="0.25">
      <c r="A418" t="s">
        <v>182</v>
      </c>
      <c r="B418" t="s">
        <v>181</v>
      </c>
      <c r="C418" t="s">
        <v>130</v>
      </c>
      <c r="D418" t="s">
        <v>1250</v>
      </c>
      <c r="E418" t="s">
        <v>777</v>
      </c>
      <c r="F418" t="s">
        <v>15</v>
      </c>
      <c r="G418" s="145">
        <v>8.5767379806546921E-3</v>
      </c>
      <c r="H418" s="118"/>
      <c r="I418" s="118"/>
      <c r="J418" s="118">
        <v>9</v>
      </c>
      <c r="K418" t="s">
        <v>1251</v>
      </c>
      <c r="L418" s="146" t="s">
        <v>1666</v>
      </c>
    </row>
    <row r="419" spans="1:12" x14ac:dyDescent="0.25">
      <c r="A419" t="s">
        <v>182</v>
      </c>
      <c r="B419" t="s">
        <v>181</v>
      </c>
      <c r="C419" t="s">
        <v>130</v>
      </c>
      <c r="D419" t="s">
        <v>1250</v>
      </c>
      <c r="E419" t="s">
        <v>785</v>
      </c>
      <c r="F419" t="s">
        <v>8</v>
      </c>
      <c r="G419" s="145">
        <v>4.2573841262629954E-2</v>
      </c>
      <c r="H419" s="118">
        <v>2</v>
      </c>
      <c r="I419" s="118"/>
      <c r="J419" s="118">
        <v>87</v>
      </c>
      <c r="K419" t="s">
        <v>1249</v>
      </c>
      <c r="L419" s="146" t="s">
        <v>1667</v>
      </c>
    </row>
    <row r="420" spans="1:12" x14ac:dyDescent="0.25">
      <c r="A420" t="s">
        <v>182</v>
      </c>
      <c r="B420" t="s">
        <v>181</v>
      </c>
      <c r="C420" t="s">
        <v>130</v>
      </c>
      <c r="D420" t="s">
        <v>1250</v>
      </c>
      <c r="E420" t="s">
        <v>798</v>
      </c>
      <c r="F420" t="s">
        <v>15</v>
      </c>
      <c r="G420" s="145">
        <v>9.5297088673941023E-4</v>
      </c>
      <c r="H420" s="118"/>
      <c r="I420" s="118"/>
      <c r="J420" s="118">
        <v>1</v>
      </c>
      <c r="K420" t="s">
        <v>1251</v>
      </c>
      <c r="L420" s="146" t="s">
        <v>1668</v>
      </c>
    </row>
    <row r="421" spans="1:12" x14ac:dyDescent="0.25">
      <c r="A421" t="s">
        <v>182</v>
      </c>
      <c r="B421" t="s">
        <v>181</v>
      </c>
      <c r="C421" t="s">
        <v>130</v>
      </c>
      <c r="D421" t="s">
        <v>1250</v>
      </c>
      <c r="E421" t="s">
        <v>849</v>
      </c>
      <c r="F421" t="s">
        <v>15</v>
      </c>
      <c r="G421" s="145">
        <v>2.2871301281745846E-2</v>
      </c>
      <c r="H421" s="118"/>
      <c r="I421" s="118"/>
      <c r="J421" s="118">
        <v>24</v>
      </c>
      <c r="K421" t="s">
        <v>1251</v>
      </c>
      <c r="L421" s="146" t="s">
        <v>1669</v>
      </c>
    </row>
    <row r="422" spans="1:12" x14ac:dyDescent="0.25">
      <c r="A422" t="s">
        <v>182</v>
      </c>
      <c r="B422" t="s">
        <v>181</v>
      </c>
      <c r="C422" t="s">
        <v>130</v>
      </c>
      <c r="D422" t="s">
        <v>1250</v>
      </c>
      <c r="E422" t="s">
        <v>908</v>
      </c>
      <c r="F422" t="s">
        <v>3</v>
      </c>
      <c r="G422" s="145">
        <v>4.2535249366123743E-3</v>
      </c>
      <c r="H422" s="118"/>
      <c r="I422" s="118">
        <v>2</v>
      </c>
      <c r="J422" s="118">
        <v>4</v>
      </c>
      <c r="L422" s="146" t="s">
        <v>1670</v>
      </c>
    </row>
    <row r="423" spans="1:12" x14ac:dyDescent="0.25">
      <c r="A423" t="s">
        <v>182</v>
      </c>
      <c r="B423" t="s">
        <v>181</v>
      </c>
      <c r="C423" t="s">
        <v>130</v>
      </c>
      <c r="D423" t="s">
        <v>1250</v>
      </c>
      <c r="E423" t="s">
        <v>921</v>
      </c>
      <c r="F423" t="s">
        <v>15</v>
      </c>
      <c r="G423" s="145">
        <v>3.8118835469576409E-3</v>
      </c>
      <c r="H423" s="118"/>
      <c r="I423" s="118"/>
      <c r="J423" s="118">
        <v>4</v>
      </c>
      <c r="K423" t="s">
        <v>1251</v>
      </c>
      <c r="L423" s="146" t="s">
        <v>1671</v>
      </c>
    </row>
    <row r="424" spans="1:12" x14ac:dyDescent="0.25">
      <c r="A424" t="s">
        <v>182</v>
      </c>
      <c r="B424" t="s">
        <v>181</v>
      </c>
      <c r="C424" t="s">
        <v>130</v>
      </c>
      <c r="D424" t="s">
        <v>1250</v>
      </c>
      <c r="E424" t="s">
        <v>603</v>
      </c>
      <c r="F424" t="s">
        <v>6</v>
      </c>
      <c r="G424" s="145">
        <v>1.6391099251917855E-3</v>
      </c>
      <c r="H424" s="118"/>
      <c r="I424" s="118"/>
      <c r="J424" s="118">
        <v>1.72</v>
      </c>
      <c r="K424" t="s">
        <v>1251</v>
      </c>
      <c r="L424" s="146" t="s">
        <v>1672</v>
      </c>
    </row>
    <row r="425" spans="1:12" x14ac:dyDescent="0.25">
      <c r="A425" t="s">
        <v>182</v>
      </c>
      <c r="B425" t="s">
        <v>181</v>
      </c>
      <c r="C425" t="s">
        <v>130</v>
      </c>
      <c r="D425" t="s">
        <v>1246</v>
      </c>
      <c r="E425" t="s">
        <v>1146</v>
      </c>
      <c r="F425" t="s">
        <v>130</v>
      </c>
      <c r="G425" s="145">
        <v>1</v>
      </c>
      <c r="H425" s="118">
        <v>893.17</v>
      </c>
      <c r="I425" s="118">
        <v>425.97</v>
      </c>
      <c r="J425" s="118">
        <v>1049.3499999999999</v>
      </c>
      <c r="K425" t="s">
        <v>1247</v>
      </c>
      <c r="L425" s="146" t="s">
        <v>1673</v>
      </c>
    </row>
    <row r="426" spans="1:12" x14ac:dyDescent="0.25">
      <c r="A426" t="s">
        <v>182</v>
      </c>
      <c r="B426" t="s">
        <v>181</v>
      </c>
      <c r="C426" t="s">
        <v>130</v>
      </c>
      <c r="D426" t="s">
        <v>1248</v>
      </c>
      <c r="E426" t="s">
        <v>1184</v>
      </c>
      <c r="F426" t="s">
        <v>15</v>
      </c>
      <c r="G426" s="145">
        <v>1.2388621527612333E-2</v>
      </c>
      <c r="H426" s="118"/>
      <c r="I426" s="118"/>
      <c r="J426" s="118">
        <v>13</v>
      </c>
      <c r="K426" t="s">
        <v>1251</v>
      </c>
      <c r="L426" s="146" t="s">
        <v>1674</v>
      </c>
    </row>
    <row r="427" spans="1:12" x14ac:dyDescent="0.25">
      <c r="A427" t="s">
        <v>178</v>
      </c>
      <c r="B427" t="s">
        <v>177</v>
      </c>
      <c r="C427" t="s">
        <v>3</v>
      </c>
      <c r="D427" t="s">
        <v>1250</v>
      </c>
      <c r="E427" t="s">
        <v>717</v>
      </c>
      <c r="F427" t="s">
        <v>6</v>
      </c>
      <c r="G427" s="145">
        <v>1.3714285714285714E-3</v>
      </c>
      <c r="H427" s="118"/>
      <c r="I427" s="118"/>
      <c r="J427" s="118">
        <v>0.48</v>
      </c>
      <c r="K427" t="s">
        <v>1251</v>
      </c>
      <c r="L427" s="146" t="s">
        <v>1675</v>
      </c>
    </row>
    <row r="428" spans="1:12" x14ac:dyDescent="0.25">
      <c r="A428" t="s">
        <v>178</v>
      </c>
      <c r="B428" t="s">
        <v>177</v>
      </c>
      <c r="C428" t="s">
        <v>3</v>
      </c>
      <c r="D428" t="s">
        <v>1250</v>
      </c>
      <c r="E428" t="s">
        <v>720</v>
      </c>
      <c r="F428" t="s">
        <v>6</v>
      </c>
      <c r="G428" s="145">
        <v>6.0911417616889918E-3</v>
      </c>
      <c r="H428" s="118">
        <v>1.6</v>
      </c>
      <c r="I428" s="118"/>
      <c r="J428" s="118">
        <v>0.36</v>
      </c>
      <c r="K428" t="s">
        <v>1249</v>
      </c>
      <c r="L428" s="146" t="s">
        <v>1676</v>
      </c>
    </row>
    <row r="429" spans="1:12" x14ac:dyDescent="0.25">
      <c r="A429" t="s">
        <v>178</v>
      </c>
      <c r="B429" t="s">
        <v>177</v>
      </c>
      <c r="C429" t="s">
        <v>3</v>
      </c>
      <c r="D429" t="s">
        <v>1250</v>
      </c>
      <c r="E429" t="s">
        <v>735</v>
      </c>
      <c r="F429" t="s">
        <v>15</v>
      </c>
      <c r="G429" s="145">
        <v>5.5768560474032766E-2</v>
      </c>
      <c r="H429" s="118">
        <v>8</v>
      </c>
      <c r="I429" s="118"/>
      <c r="J429" s="118"/>
      <c r="K429" t="s">
        <v>1251</v>
      </c>
      <c r="L429" s="146" t="s">
        <v>1677</v>
      </c>
    </row>
    <row r="430" spans="1:12" x14ac:dyDescent="0.25">
      <c r="A430" t="s">
        <v>178</v>
      </c>
      <c r="B430" t="s">
        <v>177</v>
      </c>
      <c r="C430" t="s">
        <v>3</v>
      </c>
      <c r="D430" t="s">
        <v>1250</v>
      </c>
      <c r="E430" t="s">
        <v>785</v>
      </c>
      <c r="F430" t="s">
        <v>174</v>
      </c>
      <c r="G430" s="145">
        <v>6.8074158907201782E-2</v>
      </c>
      <c r="H430" s="118">
        <v>17</v>
      </c>
      <c r="I430" s="118">
        <v>8</v>
      </c>
      <c r="J430" s="118">
        <v>16</v>
      </c>
      <c r="L430" s="146" t="s">
        <v>1678</v>
      </c>
    </row>
    <row r="431" spans="1:12" x14ac:dyDescent="0.25">
      <c r="A431" t="s">
        <v>178</v>
      </c>
      <c r="B431" t="s">
        <v>177</v>
      </c>
      <c r="C431" t="s">
        <v>3</v>
      </c>
      <c r="D431" t="s">
        <v>1250</v>
      </c>
      <c r="E431" t="s">
        <v>806</v>
      </c>
      <c r="F431" t="s">
        <v>30</v>
      </c>
      <c r="G431" s="145">
        <v>1.7427675148135239E-3</v>
      </c>
      <c r="H431" s="118">
        <v>0.25</v>
      </c>
      <c r="I431" s="118"/>
      <c r="J431" s="118"/>
      <c r="K431" t="s">
        <v>1251</v>
      </c>
      <c r="L431" s="146" t="s">
        <v>1679</v>
      </c>
    </row>
    <row r="432" spans="1:12" x14ac:dyDescent="0.25">
      <c r="A432" t="s">
        <v>178</v>
      </c>
      <c r="B432" t="s">
        <v>177</v>
      </c>
      <c r="C432" t="s">
        <v>3</v>
      </c>
      <c r="D432" t="s">
        <v>1250</v>
      </c>
      <c r="E432" t="s">
        <v>849</v>
      </c>
      <c r="F432" t="s">
        <v>15</v>
      </c>
      <c r="G432" s="145">
        <v>5.7142857142857143E-3</v>
      </c>
      <c r="H432" s="118"/>
      <c r="I432" s="118"/>
      <c r="J432" s="118">
        <v>2</v>
      </c>
      <c r="K432" t="s">
        <v>1251</v>
      </c>
      <c r="L432" s="146" t="s">
        <v>1680</v>
      </c>
    </row>
    <row r="433" spans="1:12" x14ac:dyDescent="0.25">
      <c r="A433" t="s">
        <v>178</v>
      </c>
      <c r="B433" t="s">
        <v>177</v>
      </c>
      <c r="C433" t="s">
        <v>3</v>
      </c>
      <c r="D433" t="s">
        <v>1250</v>
      </c>
      <c r="E433" t="s">
        <v>155</v>
      </c>
      <c r="F433" t="s">
        <v>15</v>
      </c>
      <c r="G433" s="145">
        <v>4.9141064581984762E-3</v>
      </c>
      <c r="H433" s="118">
        <v>1</v>
      </c>
      <c r="I433" s="118"/>
      <c r="J433" s="118">
        <v>1</v>
      </c>
      <c r="L433" s="146" t="s">
        <v>1681</v>
      </c>
    </row>
    <row r="434" spans="1:12" x14ac:dyDescent="0.25">
      <c r="A434" t="s">
        <v>178</v>
      </c>
      <c r="B434" t="s">
        <v>177</v>
      </c>
      <c r="C434" t="s">
        <v>3</v>
      </c>
      <c r="D434" t="s">
        <v>1250</v>
      </c>
      <c r="E434" t="s">
        <v>904</v>
      </c>
      <c r="F434" t="s">
        <v>102</v>
      </c>
      <c r="G434" s="145">
        <v>1.3942140118508192E-2</v>
      </c>
      <c r="H434" s="118">
        <v>2</v>
      </c>
      <c r="I434" s="118"/>
      <c r="J434" s="118"/>
      <c r="K434" t="s">
        <v>1251</v>
      </c>
      <c r="L434" s="146" t="s">
        <v>1682</v>
      </c>
    </row>
    <row r="435" spans="1:12" x14ac:dyDescent="0.25">
      <c r="A435" t="s">
        <v>178</v>
      </c>
      <c r="B435" t="s">
        <v>177</v>
      </c>
      <c r="C435" t="s">
        <v>3</v>
      </c>
      <c r="D435" t="s">
        <v>1250</v>
      </c>
      <c r="E435" t="s">
        <v>603</v>
      </c>
      <c r="F435" t="s">
        <v>6</v>
      </c>
      <c r="G435" s="145">
        <v>4.5714285714285713E-4</v>
      </c>
      <c r="H435" s="118"/>
      <c r="I435" s="118"/>
      <c r="J435" s="118">
        <v>0.16</v>
      </c>
      <c r="K435" t="s">
        <v>1251</v>
      </c>
      <c r="L435" s="146" t="s">
        <v>1683</v>
      </c>
    </row>
    <row r="436" spans="1:12" x14ac:dyDescent="0.25">
      <c r="A436" t="s">
        <v>178</v>
      </c>
      <c r="B436" t="s">
        <v>177</v>
      </c>
      <c r="C436" t="s">
        <v>3</v>
      </c>
      <c r="D436" t="s">
        <v>1250</v>
      </c>
      <c r="E436" t="s">
        <v>995</v>
      </c>
      <c r="F436" t="s">
        <v>15</v>
      </c>
      <c r="G436" s="145">
        <v>2.8571428571428571E-3</v>
      </c>
      <c r="H436" s="118"/>
      <c r="I436" s="118"/>
      <c r="J436" s="118">
        <v>1</v>
      </c>
      <c r="K436" t="s">
        <v>1251</v>
      </c>
      <c r="L436" s="146" t="s">
        <v>1684</v>
      </c>
    </row>
    <row r="437" spans="1:12" x14ac:dyDescent="0.25">
      <c r="A437" t="s">
        <v>178</v>
      </c>
      <c r="B437" t="s">
        <v>177</v>
      </c>
      <c r="C437" t="s">
        <v>3</v>
      </c>
      <c r="D437" t="s">
        <v>1250</v>
      </c>
      <c r="E437" t="s">
        <v>1001</v>
      </c>
      <c r="F437" t="s">
        <v>15</v>
      </c>
      <c r="G437" s="145">
        <v>6.9710700592540958E-3</v>
      </c>
      <c r="H437" s="118">
        <v>1</v>
      </c>
      <c r="I437" s="118"/>
      <c r="J437" s="118"/>
      <c r="K437" t="s">
        <v>1251</v>
      </c>
      <c r="L437" s="146" t="s">
        <v>1685</v>
      </c>
    </row>
    <row r="438" spans="1:12" x14ac:dyDescent="0.25">
      <c r="A438" t="s">
        <v>178</v>
      </c>
      <c r="B438" t="s">
        <v>177</v>
      </c>
      <c r="C438" t="s">
        <v>3</v>
      </c>
      <c r="D438" t="s">
        <v>1250</v>
      </c>
      <c r="E438" t="s">
        <v>1006</v>
      </c>
      <c r="F438" t="s">
        <v>15</v>
      </c>
      <c r="G438" s="145">
        <v>6.9710700592540958E-3</v>
      </c>
      <c r="H438" s="118">
        <v>1</v>
      </c>
      <c r="I438" s="118"/>
      <c r="J438" s="118"/>
      <c r="K438" t="s">
        <v>1251</v>
      </c>
      <c r="L438" s="146" t="s">
        <v>1686</v>
      </c>
    </row>
    <row r="439" spans="1:12" x14ac:dyDescent="0.25">
      <c r="A439" t="s">
        <v>178</v>
      </c>
      <c r="B439" t="s">
        <v>177</v>
      </c>
      <c r="C439" t="s">
        <v>3</v>
      </c>
      <c r="D439" t="s">
        <v>1246</v>
      </c>
      <c r="E439" t="s">
        <v>1150</v>
      </c>
      <c r="F439" t="s">
        <v>3</v>
      </c>
      <c r="G439" s="145">
        <v>1</v>
      </c>
      <c r="H439" s="118">
        <v>143.44999999999999</v>
      </c>
      <c r="I439" s="118">
        <v>200</v>
      </c>
      <c r="J439" s="118">
        <v>350</v>
      </c>
      <c r="K439" t="s">
        <v>1247</v>
      </c>
      <c r="L439" s="146" t="s">
        <v>1687</v>
      </c>
    </row>
    <row r="440" spans="1:12" x14ac:dyDescent="0.25">
      <c r="A440" t="s">
        <v>168</v>
      </c>
      <c r="B440" t="s">
        <v>167</v>
      </c>
      <c r="C440" t="s">
        <v>3</v>
      </c>
      <c r="D440" t="s">
        <v>1246</v>
      </c>
      <c r="E440" t="s">
        <v>166</v>
      </c>
      <c r="F440" t="s">
        <v>3</v>
      </c>
      <c r="G440" s="145">
        <v>1</v>
      </c>
      <c r="H440" s="118">
        <v>133</v>
      </c>
      <c r="I440" s="118">
        <v>50.44</v>
      </c>
      <c r="J440" s="118">
        <v>163.4</v>
      </c>
      <c r="K440" t="s">
        <v>1247</v>
      </c>
      <c r="L440" s="146" t="s">
        <v>1688</v>
      </c>
    </row>
    <row r="441" spans="1:12" x14ac:dyDescent="0.25">
      <c r="A441" t="s">
        <v>507</v>
      </c>
      <c r="B441" t="s">
        <v>165</v>
      </c>
      <c r="C441" t="s">
        <v>130</v>
      </c>
      <c r="D441" t="s">
        <v>1246</v>
      </c>
      <c r="E441" t="s">
        <v>164</v>
      </c>
      <c r="F441" t="s">
        <v>130</v>
      </c>
      <c r="G441" s="145">
        <v>1</v>
      </c>
      <c r="H441" s="118"/>
      <c r="I441" s="118">
        <v>245.16</v>
      </c>
      <c r="J441" s="118">
        <v>333.58</v>
      </c>
      <c r="K441" t="s">
        <v>1247</v>
      </c>
      <c r="L441" s="146" t="s">
        <v>1689</v>
      </c>
    </row>
    <row r="442" spans="1:12" x14ac:dyDescent="0.25">
      <c r="A442" t="s">
        <v>163</v>
      </c>
      <c r="B442" t="s">
        <v>162</v>
      </c>
      <c r="C442" t="s">
        <v>130</v>
      </c>
      <c r="D442" t="s">
        <v>1246</v>
      </c>
      <c r="E442" t="s">
        <v>161</v>
      </c>
      <c r="F442" t="s">
        <v>130</v>
      </c>
      <c r="G442" s="145">
        <v>1</v>
      </c>
      <c r="H442" s="118">
        <v>21.01</v>
      </c>
      <c r="I442" s="118"/>
      <c r="J442" s="118"/>
      <c r="K442" t="s">
        <v>1251</v>
      </c>
      <c r="L442" s="146" t="s">
        <v>1690</v>
      </c>
    </row>
    <row r="443" spans="1:12" x14ac:dyDescent="0.25">
      <c r="A443" t="s">
        <v>159</v>
      </c>
      <c r="B443" t="s">
        <v>158</v>
      </c>
      <c r="C443" t="s">
        <v>130</v>
      </c>
      <c r="D443" t="s">
        <v>1250</v>
      </c>
      <c r="E443" t="s">
        <v>720</v>
      </c>
      <c r="F443" t="s">
        <v>6</v>
      </c>
      <c r="G443" s="145">
        <v>2.6578722364724562E-2</v>
      </c>
      <c r="H443" s="118"/>
      <c r="I443" s="118"/>
      <c r="J443" s="118">
        <v>10.88</v>
      </c>
      <c r="K443" t="s">
        <v>1251</v>
      </c>
      <c r="L443" s="146" t="s">
        <v>1691</v>
      </c>
    </row>
    <row r="444" spans="1:12" x14ac:dyDescent="0.25">
      <c r="A444" t="s">
        <v>159</v>
      </c>
      <c r="B444" t="s">
        <v>158</v>
      </c>
      <c r="C444" t="s">
        <v>130</v>
      </c>
      <c r="D444" t="s">
        <v>1250</v>
      </c>
      <c r="E444" t="s">
        <v>756</v>
      </c>
      <c r="F444" t="s">
        <v>15</v>
      </c>
      <c r="G444" s="145">
        <v>1.4657383657017221E-2</v>
      </c>
      <c r="H444" s="118"/>
      <c r="I444" s="118"/>
      <c r="J444" s="118">
        <v>6</v>
      </c>
      <c r="K444" t="s">
        <v>1251</v>
      </c>
      <c r="L444" s="146" t="s">
        <v>1692</v>
      </c>
    </row>
    <row r="445" spans="1:12" x14ac:dyDescent="0.25">
      <c r="A445" t="s">
        <v>159</v>
      </c>
      <c r="B445" t="s">
        <v>158</v>
      </c>
      <c r="C445" t="s">
        <v>130</v>
      </c>
      <c r="D445" t="s">
        <v>1250</v>
      </c>
      <c r="E445" t="s">
        <v>788</v>
      </c>
      <c r="F445" t="s">
        <v>8</v>
      </c>
      <c r="G445" s="145">
        <v>0.20206075374108354</v>
      </c>
      <c r="H445" s="118"/>
      <c r="I445" s="118">
        <v>17.04</v>
      </c>
      <c r="J445" s="118">
        <v>107</v>
      </c>
      <c r="L445" s="146" t="s">
        <v>1693</v>
      </c>
    </row>
    <row r="446" spans="1:12" x14ac:dyDescent="0.25">
      <c r="A446" t="s">
        <v>159</v>
      </c>
      <c r="B446" t="s">
        <v>158</v>
      </c>
      <c r="C446" t="s">
        <v>130</v>
      </c>
      <c r="D446" t="s">
        <v>1250</v>
      </c>
      <c r="E446" t="s">
        <v>798</v>
      </c>
      <c r="F446" t="s">
        <v>15</v>
      </c>
      <c r="G446" s="145">
        <v>0.17461364109357758</v>
      </c>
      <c r="H446" s="118"/>
      <c r="I446" s="118">
        <v>7.57</v>
      </c>
      <c r="J446" s="118">
        <v>117</v>
      </c>
      <c r="K446" t="s">
        <v>1249</v>
      </c>
      <c r="L446" s="146" t="s">
        <v>1694</v>
      </c>
    </row>
    <row r="447" spans="1:12" x14ac:dyDescent="0.25">
      <c r="A447" t="s">
        <v>159</v>
      </c>
      <c r="B447" t="s">
        <v>158</v>
      </c>
      <c r="C447" t="s">
        <v>130</v>
      </c>
      <c r="D447" t="s">
        <v>1250</v>
      </c>
      <c r="E447" t="s">
        <v>156</v>
      </c>
      <c r="F447" t="s">
        <v>30</v>
      </c>
      <c r="G447" s="145">
        <v>3.2492467464830172E-3</v>
      </c>
      <c r="H447" s="118"/>
      <c r="I447" s="118">
        <v>0.63</v>
      </c>
      <c r="J447" s="118">
        <v>0.5</v>
      </c>
      <c r="K447" t="s">
        <v>1249</v>
      </c>
      <c r="L447" s="146" t="s">
        <v>1695</v>
      </c>
    </row>
    <row r="448" spans="1:12" x14ac:dyDescent="0.25">
      <c r="A448" t="s">
        <v>159</v>
      </c>
      <c r="B448" t="s">
        <v>158</v>
      </c>
      <c r="C448" t="s">
        <v>130</v>
      </c>
      <c r="D448" t="s">
        <v>1250</v>
      </c>
      <c r="E448" t="s">
        <v>876</v>
      </c>
      <c r="G448" s="145">
        <v>3.4005130084279953E-2</v>
      </c>
      <c r="H448" s="118"/>
      <c r="I448" s="118"/>
      <c r="J448" s="118">
        <v>13.92</v>
      </c>
      <c r="K448" t="s">
        <v>1251</v>
      </c>
      <c r="L448" s="146" t="s">
        <v>1696</v>
      </c>
    </row>
    <row r="449" spans="1:12" x14ac:dyDescent="0.25">
      <c r="A449" t="s">
        <v>159</v>
      </c>
      <c r="B449" t="s">
        <v>158</v>
      </c>
      <c r="C449" t="s">
        <v>130</v>
      </c>
      <c r="D449" t="s">
        <v>1250</v>
      </c>
      <c r="E449" t="s">
        <v>155</v>
      </c>
      <c r="F449" t="s">
        <v>144</v>
      </c>
      <c r="G449" s="145">
        <v>6.3028683416949385E-3</v>
      </c>
      <c r="H449" s="118"/>
      <c r="I449" s="118">
        <v>0.63</v>
      </c>
      <c r="J449" s="118">
        <v>3</v>
      </c>
      <c r="L449" s="146" t="s">
        <v>1697</v>
      </c>
    </row>
    <row r="450" spans="1:12" x14ac:dyDescent="0.25">
      <c r="A450" t="s">
        <v>159</v>
      </c>
      <c r="B450" t="s">
        <v>158</v>
      </c>
      <c r="C450" t="s">
        <v>130</v>
      </c>
      <c r="D450" t="s">
        <v>1250</v>
      </c>
      <c r="E450" t="s">
        <v>923</v>
      </c>
      <c r="F450" t="s">
        <v>15</v>
      </c>
      <c r="G450" s="145">
        <v>5.2474593707186851E-2</v>
      </c>
      <c r="H450" s="118"/>
      <c r="I450" s="118">
        <v>3.78</v>
      </c>
      <c r="J450" s="118">
        <v>30</v>
      </c>
      <c r="L450" s="146" t="s">
        <v>1698</v>
      </c>
    </row>
    <row r="451" spans="1:12" x14ac:dyDescent="0.25">
      <c r="A451" t="s">
        <v>159</v>
      </c>
      <c r="B451" t="s">
        <v>158</v>
      </c>
      <c r="C451" t="s">
        <v>130</v>
      </c>
      <c r="D451" t="s">
        <v>1250</v>
      </c>
      <c r="E451" t="s">
        <v>145</v>
      </c>
      <c r="F451" t="s">
        <v>144</v>
      </c>
      <c r="G451" s="145">
        <v>2.704789737646061E-3</v>
      </c>
      <c r="H451" s="118"/>
      <c r="I451" s="118">
        <v>0.5</v>
      </c>
      <c r="J451" s="118">
        <v>0.5</v>
      </c>
      <c r="K451" t="s">
        <v>1249</v>
      </c>
      <c r="L451" s="146" t="s">
        <v>1699</v>
      </c>
    </row>
    <row r="452" spans="1:12" x14ac:dyDescent="0.25">
      <c r="A452" t="s">
        <v>159</v>
      </c>
      <c r="B452" t="s">
        <v>158</v>
      </c>
      <c r="C452" t="s">
        <v>130</v>
      </c>
      <c r="D452" t="s">
        <v>1250</v>
      </c>
      <c r="E452" t="s">
        <v>603</v>
      </c>
      <c r="F452" t="s">
        <v>6</v>
      </c>
      <c r="G452" s="145">
        <v>2.6901044228856225E-2</v>
      </c>
      <c r="H452" s="118"/>
      <c r="I452" s="118">
        <v>4.09</v>
      </c>
      <c r="J452" s="118">
        <v>8</v>
      </c>
      <c r="L452" s="146" t="s">
        <v>1700</v>
      </c>
    </row>
    <row r="453" spans="1:12" x14ac:dyDescent="0.25">
      <c r="A453" t="s">
        <v>159</v>
      </c>
      <c r="B453" t="s">
        <v>158</v>
      </c>
      <c r="C453" t="s">
        <v>130</v>
      </c>
      <c r="D453" t="s">
        <v>1250</v>
      </c>
      <c r="E453" t="s">
        <v>982</v>
      </c>
      <c r="F453" t="s">
        <v>15</v>
      </c>
      <c r="G453" s="145">
        <v>7.3286918285086107E-3</v>
      </c>
      <c r="H453" s="118"/>
      <c r="I453" s="118"/>
      <c r="J453" s="118">
        <v>3</v>
      </c>
      <c r="K453" t="s">
        <v>1251</v>
      </c>
      <c r="L453" s="146" t="s">
        <v>1701</v>
      </c>
    </row>
    <row r="454" spans="1:12" x14ac:dyDescent="0.25">
      <c r="A454" t="s">
        <v>159</v>
      </c>
      <c r="B454" t="s">
        <v>158</v>
      </c>
      <c r="C454" t="s">
        <v>130</v>
      </c>
      <c r="D454" t="s">
        <v>1248</v>
      </c>
      <c r="E454" t="s">
        <v>522</v>
      </c>
      <c r="F454" t="s">
        <v>410</v>
      </c>
      <c r="G454" s="145">
        <v>2.0590748055262391E-2</v>
      </c>
      <c r="H454" s="118"/>
      <c r="I454" s="118">
        <v>2</v>
      </c>
      <c r="J454" s="118">
        <v>10</v>
      </c>
      <c r="L454" s="146" t="s">
        <v>1702</v>
      </c>
    </row>
    <row r="455" spans="1:12" x14ac:dyDescent="0.25">
      <c r="A455" t="s">
        <v>159</v>
      </c>
      <c r="B455" t="s">
        <v>158</v>
      </c>
      <c r="C455" t="s">
        <v>130</v>
      </c>
      <c r="D455" t="s">
        <v>1248</v>
      </c>
      <c r="E455" t="s">
        <v>1192</v>
      </c>
      <c r="F455" t="s">
        <v>410</v>
      </c>
      <c r="G455" s="145">
        <v>2.9314767314034443E-2</v>
      </c>
      <c r="H455" s="118"/>
      <c r="I455" s="118"/>
      <c r="J455" s="118">
        <v>12</v>
      </c>
      <c r="K455" t="s">
        <v>1251</v>
      </c>
      <c r="L455" s="146" t="s">
        <v>1703</v>
      </c>
    </row>
    <row r="456" spans="1:12" x14ac:dyDescent="0.25">
      <c r="A456" t="s">
        <v>151</v>
      </c>
      <c r="B456" t="s">
        <v>150</v>
      </c>
      <c r="C456" t="s">
        <v>130</v>
      </c>
      <c r="D456" t="s">
        <v>1250</v>
      </c>
      <c r="E456" t="s">
        <v>803</v>
      </c>
      <c r="F456" t="s">
        <v>15</v>
      </c>
      <c r="G456" s="145">
        <v>2.2006315812638224E-3</v>
      </c>
      <c r="H456" s="118"/>
      <c r="I456" s="118"/>
      <c r="J456" s="118">
        <v>2</v>
      </c>
      <c r="K456" t="s">
        <v>1251</v>
      </c>
      <c r="L456" s="146" t="s">
        <v>1704</v>
      </c>
    </row>
    <row r="457" spans="1:12" x14ac:dyDescent="0.25">
      <c r="A457" t="s">
        <v>151</v>
      </c>
      <c r="B457" t="s">
        <v>150</v>
      </c>
      <c r="C457" t="s">
        <v>130</v>
      </c>
      <c r="D457" t="s">
        <v>1250</v>
      </c>
      <c r="E457" t="s">
        <v>556</v>
      </c>
      <c r="F457" t="s">
        <v>15</v>
      </c>
      <c r="G457" s="145">
        <v>4.4012631625276452E-2</v>
      </c>
      <c r="H457" s="118"/>
      <c r="I457" s="118"/>
      <c r="J457" s="118">
        <v>40</v>
      </c>
      <c r="K457" t="s">
        <v>1251</v>
      </c>
      <c r="L457" s="146" t="s">
        <v>1705</v>
      </c>
    </row>
    <row r="458" spans="1:12" x14ac:dyDescent="0.25">
      <c r="A458" t="s">
        <v>151</v>
      </c>
      <c r="B458" t="s">
        <v>150</v>
      </c>
      <c r="C458" t="s">
        <v>130</v>
      </c>
      <c r="D458" t="s">
        <v>1250</v>
      </c>
      <c r="E458" t="s">
        <v>916</v>
      </c>
      <c r="F458" t="s">
        <v>15</v>
      </c>
      <c r="G458" s="145">
        <v>6.3345647709240352E-2</v>
      </c>
      <c r="H458" s="118">
        <v>5</v>
      </c>
      <c r="I458" s="118">
        <v>5</v>
      </c>
      <c r="J458" s="118">
        <v>27</v>
      </c>
      <c r="K458" t="s">
        <v>1249</v>
      </c>
      <c r="L458" s="146" t="s">
        <v>1706</v>
      </c>
    </row>
    <row r="459" spans="1:12" x14ac:dyDescent="0.25">
      <c r="A459" t="s">
        <v>151</v>
      </c>
      <c r="B459" t="s">
        <v>150</v>
      </c>
      <c r="C459" t="s">
        <v>130</v>
      </c>
      <c r="D459" t="s">
        <v>1250</v>
      </c>
      <c r="E459" t="s">
        <v>953</v>
      </c>
      <c r="F459" t="s">
        <v>15</v>
      </c>
      <c r="G459" s="145">
        <v>5.5015789531595565E-3</v>
      </c>
      <c r="H459" s="118"/>
      <c r="I459" s="118"/>
      <c r="J459" s="118">
        <v>5</v>
      </c>
      <c r="K459" t="s">
        <v>1251</v>
      </c>
      <c r="L459" s="146" t="s">
        <v>1707</v>
      </c>
    </row>
    <row r="460" spans="1:12" x14ac:dyDescent="0.25">
      <c r="A460" t="s">
        <v>151</v>
      </c>
      <c r="B460" t="s">
        <v>150</v>
      </c>
      <c r="C460" t="s">
        <v>130</v>
      </c>
      <c r="D460" t="s">
        <v>1250</v>
      </c>
      <c r="E460" t="s">
        <v>955</v>
      </c>
      <c r="F460" t="s">
        <v>15</v>
      </c>
      <c r="G460" s="145">
        <v>7.7445187778909907E-2</v>
      </c>
      <c r="H460" s="118"/>
      <c r="I460" s="118">
        <v>6</v>
      </c>
      <c r="J460" s="118">
        <v>35</v>
      </c>
      <c r="K460" t="s">
        <v>1249</v>
      </c>
      <c r="L460" s="146" t="s">
        <v>1708</v>
      </c>
    </row>
    <row r="461" spans="1:12" x14ac:dyDescent="0.25">
      <c r="A461" t="s">
        <v>151</v>
      </c>
      <c r="B461" t="s">
        <v>150</v>
      </c>
      <c r="C461" t="s">
        <v>130</v>
      </c>
      <c r="D461" t="s">
        <v>1250</v>
      </c>
      <c r="E461" t="s">
        <v>145</v>
      </c>
      <c r="F461" t="s">
        <v>144</v>
      </c>
      <c r="G461" s="145">
        <v>2.0744440657807908E-2</v>
      </c>
      <c r="H461" s="118"/>
      <c r="I461" s="118">
        <v>2</v>
      </c>
      <c r="J461" s="118">
        <v>2.4500000000000002</v>
      </c>
      <c r="K461" t="s">
        <v>1249</v>
      </c>
      <c r="L461" s="146" t="s">
        <v>1709</v>
      </c>
    </row>
    <row r="462" spans="1:12" x14ac:dyDescent="0.25">
      <c r="A462" t="s">
        <v>151</v>
      </c>
      <c r="B462" t="s">
        <v>150</v>
      </c>
      <c r="C462" t="s">
        <v>130</v>
      </c>
      <c r="D462" t="s">
        <v>1250</v>
      </c>
      <c r="E462" t="s">
        <v>557</v>
      </c>
      <c r="F462" t="s">
        <v>3</v>
      </c>
      <c r="G462" s="145">
        <v>5.2265000055015786E-3</v>
      </c>
      <c r="H462" s="118"/>
      <c r="I462" s="118"/>
      <c r="J462" s="118">
        <v>4.75</v>
      </c>
      <c r="K462" t="s">
        <v>1251</v>
      </c>
      <c r="L462" s="146" t="s">
        <v>1710</v>
      </c>
    </row>
    <row r="463" spans="1:12" x14ac:dyDescent="0.25">
      <c r="A463" t="s">
        <v>151</v>
      </c>
      <c r="B463" t="s">
        <v>150</v>
      </c>
      <c r="C463" t="s">
        <v>130</v>
      </c>
      <c r="D463" t="s">
        <v>1250</v>
      </c>
      <c r="E463" t="s">
        <v>454</v>
      </c>
      <c r="F463" t="s">
        <v>102</v>
      </c>
      <c r="G463" s="145">
        <v>3.3009473718957343E-2</v>
      </c>
      <c r="H463" s="118"/>
      <c r="I463" s="118"/>
      <c r="J463" s="118">
        <v>30</v>
      </c>
      <c r="K463" t="s">
        <v>1251</v>
      </c>
      <c r="L463" s="146" t="s">
        <v>1711</v>
      </c>
    </row>
    <row r="464" spans="1:12" x14ac:dyDescent="0.25">
      <c r="A464" t="s">
        <v>151</v>
      </c>
      <c r="B464" t="s">
        <v>150</v>
      </c>
      <c r="C464" t="s">
        <v>130</v>
      </c>
      <c r="D464" t="s">
        <v>1246</v>
      </c>
      <c r="E464" t="s">
        <v>143</v>
      </c>
      <c r="F464" t="s">
        <v>130</v>
      </c>
      <c r="G464" s="145">
        <v>1</v>
      </c>
      <c r="H464" s="118"/>
      <c r="I464" s="118">
        <v>51.555549999999997</v>
      </c>
      <c r="J464" s="118">
        <v>908.83</v>
      </c>
      <c r="L464" s="146" t="s">
        <v>1712</v>
      </c>
    </row>
    <row r="465" spans="1:12" x14ac:dyDescent="0.25">
      <c r="A465" t="s">
        <v>141</v>
      </c>
      <c r="B465" t="s">
        <v>140</v>
      </c>
      <c r="C465" t="s">
        <v>88</v>
      </c>
      <c r="D465" t="s">
        <v>1250</v>
      </c>
      <c r="E465" t="s">
        <v>760</v>
      </c>
      <c r="F465" t="s">
        <v>15</v>
      </c>
      <c r="G465" s="145">
        <v>1.8875739644970415</v>
      </c>
      <c r="H465" s="118">
        <v>2</v>
      </c>
      <c r="I465" s="118"/>
      <c r="J465" s="118">
        <v>3</v>
      </c>
      <c r="L465" s="146" t="s">
        <v>1713</v>
      </c>
    </row>
    <row r="466" spans="1:12" x14ac:dyDescent="0.25">
      <c r="A466" t="s">
        <v>141</v>
      </c>
      <c r="B466" t="s">
        <v>140</v>
      </c>
      <c r="C466" t="s">
        <v>88</v>
      </c>
      <c r="D466" t="s">
        <v>1250</v>
      </c>
      <c r="E466" t="s">
        <v>771</v>
      </c>
      <c r="F466" t="s">
        <v>15</v>
      </c>
      <c r="G466" s="145">
        <v>1</v>
      </c>
      <c r="H466" s="118"/>
      <c r="I466" s="118">
        <v>1</v>
      </c>
      <c r="J466" s="118"/>
      <c r="K466" t="s">
        <v>1251</v>
      </c>
      <c r="L466" s="146" t="s">
        <v>1714</v>
      </c>
    </row>
    <row r="467" spans="1:12" x14ac:dyDescent="0.25">
      <c r="A467" t="s">
        <v>141</v>
      </c>
      <c r="B467" t="s">
        <v>140</v>
      </c>
      <c r="C467" t="s">
        <v>88</v>
      </c>
      <c r="D467" t="s">
        <v>1250</v>
      </c>
      <c r="E467" t="s">
        <v>796</v>
      </c>
      <c r="F467" t="s">
        <v>15</v>
      </c>
      <c r="G467" s="145">
        <v>2.3668639053254439</v>
      </c>
      <c r="H467" s="118"/>
      <c r="I467" s="118"/>
      <c r="J467" s="118">
        <v>4</v>
      </c>
      <c r="K467" t="s">
        <v>1251</v>
      </c>
      <c r="L467" s="146" t="s">
        <v>1715</v>
      </c>
    </row>
    <row r="468" spans="1:12" x14ac:dyDescent="0.25">
      <c r="A468" t="s">
        <v>141</v>
      </c>
      <c r="B468" t="s">
        <v>140</v>
      </c>
      <c r="C468" t="s">
        <v>88</v>
      </c>
      <c r="D468" t="s">
        <v>1250</v>
      </c>
      <c r="E468" t="s">
        <v>803</v>
      </c>
      <c r="F468" t="s">
        <v>15</v>
      </c>
      <c r="G468" s="145">
        <v>2.3668639053254439</v>
      </c>
      <c r="H468" s="118"/>
      <c r="I468" s="118"/>
      <c r="J468" s="118">
        <v>4</v>
      </c>
      <c r="K468" t="s">
        <v>1251</v>
      </c>
      <c r="L468" s="146" t="s">
        <v>1716</v>
      </c>
    </row>
    <row r="469" spans="1:12" x14ac:dyDescent="0.25">
      <c r="A469" t="s">
        <v>141</v>
      </c>
      <c r="B469" t="s">
        <v>140</v>
      </c>
      <c r="C469" t="s">
        <v>88</v>
      </c>
      <c r="D469" t="s">
        <v>1250</v>
      </c>
      <c r="E469" t="s">
        <v>800</v>
      </c>
      <c r="F469" t="s">
        <v>15</v>
      </c>
      <c r="G469" s="145">
        <v>3.5</v>
      </c>
      <c r="H469" s="118">
        <v>5</v>
      </c>
      <c r="I469" s="118">
        <v>2</v>
      </c>
      <c r="J469" s="118"/>
      <c r="L469" s="146" t="s">
        <v>1717</v>
      </c>
    </row>
    <row r="470" spans="1:12" x14ac:dyDescent="0.25">
      <c r="A470" t="s">
        <v>141</v>
      </c>
      <c r="B470" t="s">
        <v>140</v>
      </c>
      <c r="C470" t="s">
        <v>88</v>
      </c>
      <c r="D470" t="s">
        <v>1250</v>
      </c>
      <c r="E470" t="s">
        <v>828</v>
      </c>
      <c r="F470" t="s">
        <v>23</v>
      </c>
      <c r="G470" s="145">
        <v>1</v>
      </c>
      <c r="H470" s="118">
        <v>1</v>
      </c>
      <c r="I470" s="118"/>
      <c r="J470" s="118"/>
      <c r="K470" t="s">
        <v>1251</v>
      </c>
      <c r="L470" s="146" t="s">
        <v>1718</v>
      </c>
    </row>
    <row r="471" spans="1:12" x14ac:dyDescent="0.25">
      <c r="A471" t="s">
        <v>141</v>
      </c>
      <c r="B471" t="s">
        <v>140</v>
      </c>
      <c r="C471" t="s">
        <v>88</v>
      </c>
      <c r="D471" t="s">
        <v>1250</v>
      </c>
      <c r="E471" t="s">
        <v>832</v>
      </c>
      <c r="F471" t="s">
        <v>15</v>
      </c>
      <c r="G471" s="145">
        <v>54.437869822485212</v>
      </c>
      <c r="H471" s="118"/>
      <c r="I471" s="118"/>
      <c r="J471" s="118">
        <v>92</v>
      </c>
      <c r="K471" t="s">
        <v>1251</v>
      </c>
      <c r="L471" s="146" t="s">
        <v>1719</v>
      </c>
    </row>
    <row r="472" spans="1:12" x14ac:dyDescent="0.25">
      <c r="A472" t="s">
        <v>141</v>
      </c>
      <c r="B472" t="s">
        <v>140</v>
      </c>
      <c r="C472" t="s">
        <v>88</v>
      </c>
      <c r="D472" t="s">
        <v>1250</v>
      </c>
      <c r="E472" t="s">
        <v>838</v>
      </c>
      <c r="F472" t="s">
        <v>23</v>
      </c>
      <c r="G472" s="145">
        <v>0.79585798816568043</v>
      </c>
      <c r="H472" s="118"/>
      <c r="I472" s="118">
        <v>1</v>
      </c>
      <c r="J472" s="118">
        <v>1</v>
      </c>
      <c r="L472" s="146" t="s">
        <v>1720</v>
      </c>
    </row>
    <row r="473" spans="1:12" x14ac:dyDescent="0.25">
      <c r="A473" t="s">
        <v>141</v>
      </c>
      <c r="B473" t="s">
        <v>140</v>
      </c>
      <c r="C473" t="s">
        <v>88</v>
      </c>
      <c r="D473" t="s">
        <v>1250</v>
      </c>
      <c r="E473" t="s">
        <v>842</v>
      </c>
      <c r="F473" t="s">
        <v>30</v>
      </c>
      <c r="G473" s="145">
        <v>1.0458579881656804</v>
      </c>
      <c r="H473" s="118">
        <v>1.5</v>
      </c>
      <c r="I473" s="118"/>
      <c r="J473" s="118">
        <v>1</v>
      </c>
      <c r="L473" s="146" t="s">
        <v>1721</v>
      </c>
    </row>
    <row r="474" spans="1:12" x14ac:dyDescent="0.25">
      <c r="A474" t="s">
        <v>141</v>
      </c>
      <c r="B474" t="s">
        <v>140</v>
      </c>
      <c r="C474" t="s">
        <v>88</v>
      </c>
      <c r="D474" t="s">
        <v>1250</v>
      </c>
      <c r="E474" t="s">
        <v>864</v>
      </c>
      <c r="F474" t="s">
        <v>15</v>
      </c>
      <c r="G474" s="145">
        <v>4.6528599605522682</v>
      </c>
      <c r="H474" s="118">
        <v>4</v>
      </c>
      <c r="I474" s="118">
        <v>7</v>
      </c>
      <c r="J474" s="118">
        <v>5</v>
      </c>
      <c r="L474" s="146" t="s">
        <v>1722</v>
      </c>
    </row>
    <row r="475" spans="1:12" x14ac:dyDescent="0.25">
      <c r="A475" t="s">
        <v>141</v>
      </c>
      <c r="B475" t="s">
        <v>140</v>
      </c>
      <c r="C475" t="s">
        <v>88</v>
      </c>
      <c r="D475" t="s">
        <v>1250</v>
      </c>
      <c r="E475" t="s">
        <v>136</v>
      </c>
      <c r="F475" t="s">
        <v>15</v>
      </c>
      <c r="G475" s="145">
        <v>2.2958579881656807</v>
      </c>
      <c r="H475" s="118">
        <v>4</v>
      </c>
      <c r="I475" s="118"/>
      <c r="J475" s="118">
        <v>1</v>
      </c>
      <c r="K475" t="s">
        <v>1249</v>
      </c>
      <c r="L475" s="146" t="s">
        <v>1723</v>
      </c>
    </row>
    <row r="476" spans="1:12" x14ac:dyDescent="0.25">
      <c r="A476" t="s">
        <v>141</v>
      </c>
      <c r="B476" t="s">
        <v>140</v>
      </c>
      <c r="C476" t="s">
        <v>88</v>
      </c>
      <c r="D476" t="s">
        <v>1250</v>
      </c>
      <c r="E476" t="s">
        <v>866</v>
      </c>
      <c r="F476" t="s">
        <v>15</v>
      </c>
      <c r="G476" s="145">
        <v>1.1834319526627219</v>
      </c>
      <c r="H476" s="118"/>
      <c r="I476" s="118"/>
      <c r="J476" s="118">
        <v>2</v>
      </c>
      <c r="K476" t="s">
        <v>1251</v>
      </c>
      <c r="L476" s="146" t="s">
        <v>1724</v>
      </c>
    </row>
    <row r="477" spans="1:12" x14ac:dyDescent="0.25">
      <c r="A477" t="s">
        <v>141</v>
      </c>
      <c r="B477" t="s">
        <v>140</v>
      </c>
      <c r="C477" t="s">
        <v>88</v>
      </c>
      <c r="D477" t="s">
        <v>1250</v>
      </c>
      <c r="E477" t="s">
        <v>868</v>
      </c>
      <c r="F477" t="s">
        <v>15</v>
      </c>
      <c r="G477" s="145">
        <v>4.1834319526627217</v>
      </c>
      <c r="H477" s="118">
        <v>5</v>
      </c>
      <c r="I477" s="118">
        <v>4</v>
      </c>
      <c r="J477" s="118">
        <v>6</v>
      </c>
      <c r="L477" s="146" t="s">
        <v>1725</v>
      </c>
    </row>
    <row r="478" spans="1:12" x14ac:dyDescent="0.25">
      <c r="A478" t="s">
        <v>141</v>
      </c>
      <c r="B478" t="s">
        <v>140</v>
      </c>
      <c r="C478" t="s">
        <v>88</v>
      </c>
      <c r="D478" t="s">
        <v>1250</v>
      </c>
      <c r="E478" t="s">
        <v>870</v>
      </c>
      <c r="F478" t="s">
        <v>15</v>
      </c>
      <c r="G478" s="145">
        <v>1.1834319526627219</v>
      </c>
      <c r="H478" s="118"/>
      <c r="I478" s="118"/>
      <c r="J478" s="118">
        <v>2</v>
      </c>
      <c r="K478" t="s">
        <v>1251</v>
      </c>
      <c r="L478" s="146" t="s">
        <v>1726</v>
      </c>
    </row>
    <row r="479" spans="1:12" x14ac:dyDescent="0.25">
      <c r="A479" t="s">
        <v>141</v>
      </c>
      <c r="B479" t="s">
        <v>140</v>
      </c>
      <c r="C479" t="s">
        <v>88</v>
      </c>
      <c r="D479" t="s">
        <v>1250</v>
      </c>
      <c r="E479" t="s">
        <v>872</v>
      </c>
      <c r="F479" t="s">
        <v>15</v>
      </c>
      <c r="G479" s="145">
        <v>1.7751479289940828</v>
      </c>
      <c r="H479" s="118"/>
      <c r="I479" s="118"/>
      <c r="J479" s="118">
        <v>3</v>
      </c>
      <c r="K479" t="s">
        <v>1251</v>
      </c>
      <c r="L479" s="146" t="s">
        <v>1727</v>
      </c>
    </row>
    <row r="480" spans="1:12" x14ac:dyDescent="0.25">
      <c r="A480" t="s">
        <v>141</v>
      </c>
      <c r="B480" t="s">
        <v>140</v>
      </c>
      <c r="C480" t="s">
        <v>88</v>
      </c>
      <c r="D480" t="s">
        <v>1250</v>
      </c>
      <c r="E480" t="s">
        <v>874</v>
      </c>
      <c r="F480" t="s">
        <v>15</v>
      </c>
      <c r="G480" s="145">
        <v>14</v>
      </c>
      <c r="H480" s="118">
        <v>14</v>
      </c>
      <c r="I480" s="118">
        <v>14</v>
      </c>
      <c r="J480" s="118"/>
      <c r="L480" s="146" t="s">
        <v>1728</v>
      </c>
    </row>
    <row r="481" spans="1:12" x14ac:dyDescent="0.25">
      <c r="A481" t="s">
        <v>141</v>
      </c>
      <c r="B481" t="s">
        <v>140</v>
      </c>
      <c r="C481" t="s">
        <v>88</v>
      </c>
      <c r="D481" t="s">
        <v>1250</v>
      </c>
      <c r="E481" t="s">
        <v>881</v>
      </c>
      <c r="F481" t="s">
        <v>130</v>
      </c>
      <c r="G481" s="145">
        <v>15.846153846153847</v>
      </c>
      <c r="H481" s="118"/>
      <c r="I481" s="118">
        <v>24</v>
      </c>
      <c r="J481" s="118">
        <v>13</v>
      </c>
      <c r="K481" t="s">
        <v>1249</v>
      </c>
      <c r="L481" s="146" t="s">
        <v>1729</v>
      </c>
    </row>
    <row r="482" spans="1:12" x14ac:dyDescent="0.25">
      <c r="A482" t="s">
        <v>141</v>
      </c>
      <c r="B482" t="s">
        <v>140</v>
      </c>
      <c r="C482" t="s">
        <v>88</v>
      </c>
      <c r="D482" t="s">
        <v>1250</v>
      </c>
      <c r="E482" t="s">
        <v>893</v>
      </c>
      <c r="F482" t="s">
        <v>23</v>
      </c>
      <c r="G482" s="145">
        <v>0.59171597633136097</v>
      </c>
      <c r="H482" s="118"/>
      <c r="I482" s="118"/>
      <c r="J482" s="118">
        <v>1</v>
      </c>
      <c r="K482" t="s">
        <v>1251</v>
      </c>
      <c r="L482" s="146" t="s">
        <v>1730</v>
      </c>
    </row>
    <row r="483" spans="1:12" x14ac:dyDescent="0.25">
      <c r="A483" t="s">
        <v>141</v>
      </c>
      <c r="B483" t="s">
        <v>140</v>
      </c>
      <c r="C483" t="s">
        <v>88</v>
      </c>
      <c r="D483" t="s">
        <v>1250</v>
      </c>
      <c r="E483" t="s">
        <v>895</v>
      </c>
      <c r="F483" t="s">
        <v>15</v>
      </c>
      <c r="G483" s="145">
        <v>5.0917159763313613</v>
      </c>
      <c r="H483" s="118"/>
      <c r="I483" s="118">
        <v>9</v>
      </c>
      <c r="J483" s="118">
        <v>2</v>
      </c>
      <c r="K483" t="s">
        <v>1249</v>
      </c>
      <c r="L483" s="146" t="s">
        <v>1731</v>
      </c>
    </row>
    <row r="484" spans="1:12" x14ac:dyDescent="0.25">
      <c r="A484" t="s">
        <v>141</v>
      </c>
      <c r="B484" t="s">
        <v>140</v>
      </c>
      <c r="C484" t="s">
        <v>88</v>
      </c>
      <c r="D484" t="s">
        <v>1250</v>
      </c>
      <c r="E484" t="s">
        <v>128</v>
      </c>
      <c r="F484" t="s">
        <v>15</v>
      </c>
      <c r="G484" s="145">
        <v>1.5917159763313609</v>
      </c>
      <c r="H484" s="118"/>
      <c r="I484" s="118">
        <v>2</v>
      </c>
      <c r="J484" s="118">
        <v>2</v>
      </c>
      <c r="L484" s="146" t="s">
        <v>1732</v>
      </c>
    </row>
    <row r="485" spans="1:12" x14ac:dyDescent="0.25">
      <c r="A485" t="s">
        <v>141</v>
      </c>
      <c r="B485" t="s">
        <v>140</v>
      </c>
      <c r="C485" t="s">
        <v>88</v>
      </c>
      <c r="D485" t="s">
        <v>1250</v>
      </c>
      <c r="E485" t="s">
        <v>935</v>
      </c>
      <c r="F485" t="s">
        <v>15</v>
      </c>
      <c r="G485" s="145">
        <v>5.6627218934911241</v>
      </c>
      <c r="H485" s="118"/>
      <c r="I485" s="118">
        <v>6</v>
      </c>
      <c r="J485" s="118">
        <v>9</v>
      </c>
      <c r="L485" s="146" t="s">
        <v>1733</v>
      </c>
    </row>
    <row r="486" spans="1:12" x14ac:dyDescent="0.25">
      <c r="A486" t="s">
        <v>141</v>
      </c>
      <c r="B486" t="s">
        <v>140</v>
      </c>
      <c r="C486" t="s">
        <v>88</v>
      </c>
      <c r="D486" t="s">
        <v>1250</v>
      </c>
      <c r="E486" t="s">
        <v>1025</v>
      </c>
      <c r="F486" t="s">
        <v>15</v>
      </c>
      <c r="G486" s="145">
        <v>0.59171597633136097</v>
      </c>
      <c r="H486" s="118"/>
      <c r="I486" s="118"/>
      <c r="J486" s="118">
        <v>1</v>
      </c>
      <c r="K486" t="s">
        <v>1251</v>
      </c>
      <c r="L486" s="146" t="s">
        <v>1734</v>
      </c>
    </row>
    <row r="487" spans="1:12" x14ac:dyDescent="0.25">
      <c r="A487" t="s">
        <v>141</v>
      </c>
      <c r="B487" t="s">
        <v>140</v>
      </c>
      <c r="C487" t="s">
        <v>88</v>
      </c>
      <c r="D487" t="s">
        <v>1250</v>
      </c>
      <c r="E487" t="s">
        <v>1033</v>
      </c>
      <c r="F487" t="s">
        <v>15</v>
      </c>
      <c r="G487" s="145">
        <v>1.2958579881656804</v>
      </c>
      <c r="H487" s="118"/>
      <c r="I487" s="118">
        <v>2</v>
      </c>
      <c r="J487" s="118">
        <v>1</v>
      </c>
      <c r="K487" t="s">
        <v>1249</v>
      </c>
      <c r="L487" s="146" t="s">
        <v>1735</v>
      </c>
    </row>
    <row r="488" spans="1:12" x14ac:dyDescent="0.25">
      <c r="A488" t="s">
        <v>141</v>
      </c>
      <c r="B488" t="s">
        <v>140</v>
      </c>
      <c r="C488" t="s">
        <v>88</v>
      </c>
      <c r="D488" t="s">
        <v>1246</v>
      </c>
      <c r="E488" t="s">
        <v>125</v>
      </c>
      <c r="F488" t="s">
        <v>88</v>
      </c>
      <c r="G488" s="145">
        <v>1</v>
      </c>
      <c r="H488" s="118">
        <v>1</v>
      </c>
      <c r="I488" s="118">
        <v>1</v>
      </c>
      <c r="J488" s="118">
        <v>1.69</v>
      </c>
      <c r="K488" t="s">
        <v>1247</v>
      </c>
      <c r="L488" s="146" t="s">
        <v>1736</v>
      </c>
    </row>
    <row r="489" spans="1:12" x14ac:dyDescent="0.25">
      <c r="A489" t="s">
        <v>141</v>
      </c>
      <c r="B489" t="s">
        <v>140</v>
      </c>
      <c r="C489" t="s">
        <v>88</v>
      </c>
      <c r="D489" t="s">
        <v>1248</v>
      </c>
      <c r="E489" t="s">
        <v>328</v>
      </c>
      <c r="F489" t="s">
        <v>78</v>
      </c>
      <c r="G489" s="145">
        <v>5.3254437869822491</v>
      </c>
      <c r="H489" s="118"/>
      <c r="I489" s="118"/>
      <c r="J489" s="118">
        <v>9</v>
      </c>
      <c r="K489" t="s">
        <v>1251</v>
      </c>
      <c r="L489" s="146" t="s">
        <v>1737</v>
      </c>
    </row>
    <row r="490" spans="1:12" x14ac:dyDescent="0.25">
      <c r="A490" t="s">
        <v>141</v>
      </c>
      <c r="B490" t="s">
        <v>140</v>
      </c>
      <c r="C490" t="s">
        <v>88</v>
      </c>
      <c r="D490" t="s">
        <v>1248</v>
      </c>
      <c r="E490" t="s">
        <v>563</v>
      </c>
      <c r="F490" t="s">
        <v>564</v>
      </c>
      <c r="G490" s="145">
        <v>1.1834319526627219</v>
      </c>
      <c r="H490" s="118"/>
      <c r="I490" s="118"/>
      <c r="J490" s="118">
        <v>2</v>
      </c>
      <c r="K490" t="s">
        <v>1251</v>
      </c>
      <c r="L490" s="146" t="s">
        <v>1738</v>
      </c>
    </row>
    <row r="491" spans="1:12" x14ac:dyDescent="0.25">
      <c r="A491" t="s">
        <v>124</v>
      </c>
      <c r="B491" t="s">
        <v>123</v>
      </c>
      <c r="C491" t="s">
        <v>122</v>
      </c>
      <c r="D491" t="s">
        <v>1250</v>
      </c>
      <c r="E491" t="s">
        <v>832</v>
      </c>
      <c r="F491" t="s">
        <v>15</v>
      </c>
      <c r="G491" s="145">
        <v>0.93989611674499129</v>
      </c>
      <c r="H491" s="118"/>
      <c r="I491" s="118"/>
      <c r="J491" s="118">
        <v>38</v>
      </c>
      <c r="K491" t="s">
        <v>1251</v>
      </c>
      <c r="L491" s="146" t="s">
        <v>1739</v>
      </c>
    </row>
    <row r="492" spans="1:12" x14ac:dyDescent="0.25">
      <c r="A492" t="s">
        <v>124</v>
      </c>
      <c r="B492" t="s">
        <v>123</v>
      </c>
      <c r="C492" t="s">
        <v>122</v>
      </c>
      <c r="D492" t="s">
        <v>1248</v>
      </c>
      <c r="E492" t="s">
        <v>523</v>
      </c>
      <c r="F492" t="s">
        <v>122</v>
      </c>
      <c r="G492" s="145">
        <v>1</v>
      </c>
      <c r="H492" s="118">
        <v>14</v>
      </c>
      <c r="I492" s="118">
        <v>21</v>
      </c>
      <c r="J492" s="118">
        <v>40.43</v>
      </c>
      <c r="L492" s="146" t="s">
        <v>1740</v>
      </c>
    </row>
    <row r="493" spans="1:12" x14ac:dyDescent="0.25">
      <c r="A493" t="s">
        <v>124</v>
      </c>
      <c r="B493" t="s">
        <v>123</v>
      </c>
      <c r="C493" t="s">
        <v>122</v>
      </c>
      <c r="D493" t="s">
        <v>1248</v>
      </c>
      <c r="E493" t="s">
        <v>1219</v>
      </c>
      <c r="F493" t="s">
        <v>78</v>
      </c>
      <c r="G493" s="145">
        <v>0.82018303240168189</v>
      </c>
      <c r="H493" s="118">
        <v>7</v>
      </c>
      <c r="I493" s="118">
        <v>38</v>
      </c>
      <c r="J493" s="118">
        <v>33.159999999999997</v>
      </c>
      <c r="K493" t="s">
        <v>1249</v>
      </c>
      <c r="L493" s="146" t="s">
        <v>1741</v>
      </c>
    </row>
    <row r="494" spans="1:12" x14ac:dyDescent="0.25">
      <c r="A494" t="s">
        <v>524</v>
      </c>
      <c r="B494" t="s">
        <v>525</v>
      </c>
      <c r="C494" t="s">
        <v>130</v>
      </c>
      <c r="D494" t="s">
        <v>1250</v>
      </c>
      <c r="E494" t="s">
        <v>713</v>
      </c>
      <c r="F494" t="s">
        <v>130</v>
      </c>
      <c r="G494" s="145"/>
      <c r="H494" s="118"/>
      <c r="I494" s="118"/>
      <c r="J494" s="118">
        <v>5</v>
      </c>
      <c r="L494" s="146" t="s">
        <v>1742</v>
      </c>
    </row>
    <row r="495" spans="1:12" x14ac:dyDescent="0.25">
      <c r="A495" t="s">
        <v>524</v>
      </c>
      <c r="B495" t="s">
        <v>525</v>
      </c>
      <c r="C495" t="s">
        <v>130</v>
      </c>
      <c r="D495" t="s">
        <v>1250</v>
      </c>
      <c r="E495" t="s">
        <v>526</v>
      </c>
      <c r="F495" t="s">
        <v>15</v>
      </c>
      <c r="G495" s="145"/>
      <c r="H495" s="118"/>
      <c r="I495" s="118">
        <v>1</v>
      </c>
      <c r="J495" s="118"/>
      <c r="L495" s="146" t="s">
        <v>1743</v>
      </c>
    </row>
    <row r="496" spans="1:12" x14ac:dyDescent="0.25">
      <c r="A496" t="s">
        <v>524</v>
      </c>
      <c r="B496" t="s">
        <v>525</v>
      </c>
      <c r="C496" t="s">
        <v>130</v>
      </c>
      <c r="D496" t="s">
        <v>1250</v>
      </c>
      <c r="E496" t="s">
        <v>881</v>
      </c>
      <c r="F496" t="s">
        <v>15</v>
      </c>
      <c r="G496" s="145"/>
      <c r="H496" s="118"/>
      <c r="I496" s="118"/>
      <c r="J496" s="118">
        <v>7</v>
      </c>
      <c r="L496" s="146" t="s">
        <v>1744</v>
      </c>
    </row>
    <row r="497" spans="1:12" x14ac:dyDescent="0.25">
      <c r="A497" t="s">
        <v>524</v>
      </c>
      <c r="B497" t="s">
        <v>525</v>
      </c>
      <c r="C497" t="s">
        <v>130</v>
      </c>
      <c r="D497" t="s">
        <v>1250</v>
      </c>
      <c r="E497" t="s">
        <v>1033</v>
      </c>
      <c r="F497" t="s">
        <v>15</v>
      </c>
      <c r="G497" s="145"/>
      <c r="H497" s="118"/>
      <c r="I497" s="118"/>
      <c r="J497" s="118">
        <v>1</v>
      </c>
      <c r="L497" s="146" t="s">
        <v>1745</v>
      </c>
    </row>
    <row r="498" spans="1:12" x14ac:dyDescent="0.25">
      <c r="A498" t="s">
        <v>524</v>
      </c>
      <c r="B498" t="s">
        <v>525</v>
      </c>
      <c r="C498" t="s">
        <v>130</v>
      </c>
      <c r="D498" t="s">
        <v>1248</v>
      </c>
      <c r="E498" t="s">
        <v>1176</v>
      </c>
      <c r="F498" t="s">
        <v>15</v>
      </c>
      <c r="G498" s="145"/>
      <c r="H498" s="118"/>
      <c r="I498" s="118">
        <v>180</v>
      </c>
      <c r="J498" s="118"/>
      <c r="L498" s="146" t="s">
        <v>1746</v>
      </c>
    </row>
    <row r="499" spans="1:12" x14ac:dyDescent="0.25">
      <c r="A499" t="s">
        <v>524</v>
      </c>
      <c r="B499" t="s">
        <v>525</v>
      </c>
      <c r="C499" t="s">
        <v>130</v>
      </c>
      <c r="D499" t="s">
        <v>1248</v>
      </c>
      <c r="E499" t="s">
        <v>1198</v>
      </c>
      <c r="F499" t="s">
        <v>15</v>
      </c>
      <c r="G499" s="145"/>
      <c r="H499" s="118"/>
      <c r="I499" s="118">
        <v>180</v>
      </c>
      <c r="J499" s="118"/>
      <c r="L499" s="146" t="s">
        <v>1747</v>
      </c>
    </row>
    <row r="500" spans="1:12" x14ac:dyDescent="0.25">
      <c r="A500" t="s">
        <v>121</v>
      </c>
      <c r="B500" t="s">
        <v>120</v>
      </c>
      <c r="C500" t="s">
        <v>88</v>
      </c>
      <c r="D500" t="s">
        <v>1248</v>
      </c>
      <c r="E500" t="s">
        <v>566</v>
      </c>
      <c r="F500" t="s">
        <v>15</v>
      </c>
      <c r="G500" s="145"/>
      <c r="H500" s="118"/>
      <c r="I500" s="118"/>
      <c r="J500" s="118">
        <v>4</v>
      </c>
      <c r="L500" s="146" t="s">
        <v>1748</v>
      </c>
    </row>
    <row r="501" spans="1:12" x14ac:dyDescent="0.25">
      <c r="A501" t="s">
        <v>121</v>
      </c>
      <c r="B501" t="s">
        <v>120</v>
      </c>
      <c r="C501" t="s">
        <v>88</v>
      </c>
      <c r="D501" t="s">
        <v>1248</v>
      </c>
      <c r="E501" t="s">
        <v>1205</v>
      </c>
      <c r="F501" t="s">
        <v>15</v>
      </c>
      <c r="G501" s="145"/>
      <c r="H501" s="118">
        <v>2</v>
      </c>
      <c r="I501" s="118">
        <v>1</v>
      </c>
      <c r="J501" s="118">
        <v>4</v>
      </c>
      <c r="L501" s="146" t="s">
        <v>1749</v>
      </c>
    </row>
    <row r="502" spans="1:12" x14ac:dyDescent="0.25">
      <c r="A502" t="s">
        <v>121</v>
      </c>
      <c r="B502" t="s">
        <v>120</v>
      </c>
      <c r="C502" t="s">
        <v>88</v>
      </c>
      <c r="D502" t="s">
        <v>1248</v>
      </c>
      <c r="E502" t="s">
        <v>1208</v>
      </c>
      <c r="F502" t="s">
        <v>102</v>
      </c>
      <c r="G502" s="145"/>
      <c r="H502" s="118">
        <v>250</v>
      </c>
      <c r="I502" s="118">
        <v>200</v>
      </c>
      <c r="J502" s="118">
        <v>760</v>
      </c>
      <c r="L502" s="146" t="s">
        <v>1750</v>
      </c>
    </row>
    <row r="503" spans="1:12" x14ac:dyDescent="0.25">
      <c r="A503" t="s">
        <v>121</v>
      </c>
      <c r="B503" t="s">
        <v>120</v>
      </c>
      <c r="C503" t="s">
        <v>88</v>
      </c>
      <c r="D503" t="s">
        <v>1248</v>
      </c>
      <c r="E503" t="s">
        <v>1210</v>
      </c>
      <c r="F503" t="s">
        <v>15</v>
      </c>
      <c r="G503" s="145"/>
      <c r="H503" s="118"/>
      <c r="I503" s="118">
        <v>3</v>
      </c>
      <c r="J503" s="118">
        <v>6</v>
      </c>
      <c r="L503" s="146" t="s">
        <v>1751</v>
      </c>
    </row>
    <row r="504" spans="1:12" x14ac:dyDescent="0.25">
      <c r="A504" t="s">
        <v>121</v>
      </c>
      <c r="B504" t="s">
        <v>120</v>
      </c>
      <c r="C504" t="s">
        <v>88</v>
      </c>
      <c r="D504" t="s">
        <v>1248</v>
      </c>
      <c r="E504" t="s">
        <v>1215</v>
      </c>
      <c r="F504" t="s">
        <v>114</v>
      </c>
      <c r="G504" s="145"/>
      <c r="H504" s="118"/>
      <c r="I504" s="118">
        <v>29</v>
      </c>
      <c r="J504" s="118">
        <v>27</v>
      </c>
      <c r="L504" s="146" t="s">
        <v>1752</v>
      </c>
    </row>
    <row r="505" spans="1:12" x14ac:dyDescent="0.25">
      <c r="A505" t="s">
        <v>121</v>
      </c>
      <c r="B505" t="s">
        <v>120</v>
      </c>
      <c r="C505" t="s">
        <v>88</v>
      </c>
      <c r="D505" t="s">
        <v>1248</v>
      </c>
      <c r="E505" t="s">
        <v>1213</v>
      </c>
      <c r="F505" t="s">
        <v>15</v>
      </c>
      <c r="G505" s="145"/>
      <c r="H505" s="118">
        <v>15</v>
      </c>
      <c r="I505" s="118">
        <v>40</v>
      </c>
      <c r="J505" s="118">
        <v>102</v>
      </c>
      <c r="L505" s="146" t="s">
        <v>1753</v>
      </c>
    </row>
    <row r="506" spans="1:12" x14ac:dyDescent="0.25">
      <c r="A506" t="s">
        <v>121</v>
      </c>
      <c r="B506" t="s">
        <v>120</v>
      </c>
      <c r="C506" t="s">
        <v>88</v>
      </c>
      <c r="D506" t="s">
        <v>1248</v>
      </c>
      <c r="E506" t="s">
        <v>113</v>
      </c>
      <c r="F506" t="s">
        <v>15</v>
      </c>
      <c r="G506" s="145"/>
      <c r="H506" s="118"/>
      <c r="I506" s="118">
        <v>1</v>
      </c>
      <c r="J506" s="118"/>
      <c r="L506" s="146" t="s">
        <v>1754</v>
      </c>
    </row>
    <row r="507" spans="1:12" x14ac:dyDescent="0.25">
      <c r="A507" t="s">
        <v>112</v>
      </c>
      <c r="B507" t="s">
        <v>111</v>
      </c>
      <c r="C507" t="s">
        <v>88</v>
      </c>
      <c r="D507" t="s">
        <v>1250</v>
      </c>
      <c r="E507" t="s">
        <v>693</v>
      </c>
      <c r="F507" t="s">
        <v>15</v>
      </c>
      <c r="G507" s="145">
        <v>0.5</v>
      </c>
      <c r="H507" s="118"/>
      <c r="I507" s="118"/>
      <c r="J507" s="118">
        <v>1</v>
      </c>
      <c r="K507" t="s">
        <v>1251</v>
      </c>
      <c r="L507" s="146" t="s">
        <v>1755</v>
      </c>
    </row>
    <row r="508" spans="1:12" x14ac:dyDescent="0.25">
      <c r="A508" t="s">
        <v>112</v>
      </c>
      <c r="B508" t="s">
        <v>111</v>
      </c>
      <c r="C508" t="s">
        <v>88</v>
      </c>
      <c r="D508" t="s">
        <v>1250</v>
      </c>
      <c r="E508" t="s">
        <v>715</v>
      </c>
      <c r="F508" t="s">
        <v>15</v>
      </c>
      <c r="G508" s="145">
        <v>1</v>
      </c>
      <c r="H508" s="118"/>
      <c r="I508" s="118">
        <v>2</v>
      </c>
      <c r="J508" s="118">
        <v>2</v>
      </c>
      <c r="K508" t="s">
        <v>1251</v>
      </c>
      <c r="L508" s="146" t="s">
        <v>1756</v>
      </c>
    </row>
    <row r="509" spans="1:12" x14ac:dyDescent="0.25">
      <c r="A509" t="s">
        <v>112</v>
      </c>
      <c r="B509" t="s">
        <v>111</v>
      </c>
      <c r="C509" t="s">
        <v>88</v>
      </c>
      <c r="D509" t="s">
        <v>1250</v>
      </c>
      <c r="E509" t="s">
        <v>723</v>
      </c>
      <c r="F509" t="s">
        <v>15</v>
      </c>
      <c r="G509" s="145">
        <v>6.1590063687087868</v>
      </c>
      <c r="H509" s="118">
        <v>5</v>
      </c>
      <c r="I509" s="118">
        <v>8</v>
      </c>
      <c r="J509" s="118">
        <v>19</v>
      </c>
      <c r="K509" t="s">
        <v>1249</v>
      </c>
      <c r="L509" s="146" t="s">
        <v>1757</v>
      </c>
    </row>
    <row r="510" spans="1:12" x14ac:dyDescent="0.25">
      <c r="A510" t="s">
        <v>112</v>
      </c>
      <c r="B510" t="s">
        <v>111</v>
      </c>
      <c r="C510" t="s">
        <v>88</v>
      </c>
      <c r="D510" t="s">
        <v>1250</v>
      </c>
      <c r="E510" t="s">
        <v>725</v>
      </c>
      <c r="F510" t="s">
        <v>15</v>
      </c>
      <c r="G510" s="145">
        <v>1</v>
      </c>
      <c r="H510" s="118"/>
      <c r="I510" s="118">
        <v>2</v>
      </c>
      <c r="J510" s="118">
        <v>2</v>
      </c>
      <c r="K510" t="s">
        <v>1251</v>
      </c>
      <c r="L510" s="146" t="s">
        <v>1758</v>
      </c>
    </row>
    <row r="511" spans="1:12" x14ac:dyDescent="0.25">
      <c r="A511" t="s">
        <v>112</v>
      </c>
      <c r="B511" t="s">
        <v>111</v>
      </c>
      <c r="C511" t="s">
        <v>88</v>
      </c>
      <c r="D511" t="s">
        <v>1250</v>
      </c>
      <c r="E511" t="s">
        <v>762</v>
      </c>
      <c r="F511" t="s">
        <v>149</v>
      </c>
      <c r="G511" s="145">
        <v>100</v>
      </c>
      <c r="H511" s="118"/>
      <c r="I511" s="118">
        <v>1</v>
      </c>
      <c r="J511" s="118">
        <v>200</v>
      </c>
      <c r="K511" t="s">
        <v>1251</v>
      </c>
      <c r="L511" s="146" t="s">
        <v>1759</v>
      </c>
    </row>
    <row r="512" spans="1:12" x14ac:dyDescent="0.25">
      <c r="A512" t="s">
        <v>112</v>
      </c>
      <c r="B512" t="s">
        <v>111</v>
      </c>
      <c r="C512" t="s">
        <v>88</v>
      </c>
      <c r="D512" t="s">
        <v>1250</v>
      </c>
      <c r="E512" t="s">
        <v>103</v>
      </c>
      <c r="F512" t="s">
        <v>102</v>
      </c>
      <c r="G512" s="145">
        <v>15</v>
      </c>
      <c r="H512" s="118"/>
      <c r="I512" s="118">
        <v>30</v>
      </c>
      <c r="J512" s="118">
        <v>30</v>
      </c>
      <c r="K512" t="s">
        <v>1251</v>
      </c>
      <c r="L512" s="146" t="s">
        <v>1760</v>
      </c>
    </row>
    <row r="513" spans="1:12" x14ac:dyDescent="0.25">
      <c r="A513" t="s">
        <v>112</v>
      </c>
      <c r="B513" t="s">
        <v>111</v>
      </c>
      <c r="C513" t="s">
        <v>88</v>
      </c>
      <c r="D513" t="s">
        <v>1250</v>
      </c>
      <c r="E513" t="s">
        <v>766</v>
      </c>
      <c r="F513" t="s">
        <v>15</v>
      </c>
      <c r="G513" s="145"/>
      <c r="H513" s="118"/>
      <c r="I513" s="118">
        <v>6</v>
      </c>
      <c r="J513" s="118"/>
      <c r="L513" s="146" t="s">
        <v>1761</v>
      </c>
    </row>
    <row r="514" spans="1:12" x14ac:dyDescent="0.25">
      <c r="A514" t="s">
        <v>112</v>
      </c>
      <c r="B514" t="s">
        <v>111</v>
      </c>
      <c r="C514" t="s">
        <v>88</v>
      </c>
      <c r="D514" t="s">
        <v>1250</v>
      </c>
      <c r="E514" t="s">
        <v>773</v>
      </c>
      <c r="F514" t="s">
        <v>15</v>
      </c>
      <c r="G514" s="145">
        <v>1</v>
      </c>
      <c r="H514" s="118"/>
      <c r="I514" s="118"/>
      <c r="J514" s="118">
        <v>2</v>
      </c>
      <c r="K514" t="s">
        <v>1251</v>
      </c>
      <c r="L514" s="146" t="s">
        <v>1762</v>
      </c>
    </row>
    <row r="515" spans="1:12" x14ac:dyDescent="0.25">
      <c r="A515" t="s">
        <v>112</v>
      </c>
      <c r="B515" t="s">
        <v>111</v>
      </c>
      <c r="C515" t="s">
        <v>88</v>
      </c>
      <c r="D515" t="s">
        <v>1250</v>
      </c>
      <c r="E515" t="s">
        <v>781</v>
      </c>
      <c r="F515" t="s">
        <v>15</v>
      </c>
      <c r="G515" s="145">
        <v>1</v>
      </c>
      <c r="H515" s="118"/>
      <c r="I515" s="118">
        <v>2</v>
      </c>
      <c r="J515" s="118">
        <v>2</v>
      </c>
      <c r="K515" t="s">
        <v>1251</v>
      </c>
      <c r="L515" s="146" t="s">
        <v>1763</v>
      </c>
    </row>
    <row r="516" spans="1:12" x14ac:dyDescent="0.25">
      <c r="A516" t="s">
        <v>112</v>
      </c>
      <c r="B516" t="s">
        <v>111</v>
      </c>
      <c r="C516" t="s">
        <v>88</v>
      </c>
      <c r="D516" t="s">
        <v>1250</v>
      </c>
      <c r="E516" t="s">
        <v>830</v>
      </c>
      <c r="F516" t="s">
        <v>15</v>
      </c>
      <c r="G516" s="145"/>
      <c r="H516" s="118"/>
      <c r="I516" s="118">
        <v>1</v>
      </c>
      <c r="J516" s="118"/>
      <c r="L516" s="146" t="s">
        <v>1764</v>
      </c>
    </row>
    <row r="517" spans="1:12" x14ac:dyDescent="0.25">
      <c r="A517" t="s">
        <v>112</v>
      </c>
      <c r="B517" t="s">
        <v>111</v>
      </c>
      <c r="C517" t="s">
        <v>88</v>
      </c>
      <c r="D517" t="s">
        <v>1250</v>
      </c>
      <c r="E517" t="s">
        <v>840</v>
      </c>
      <c r="F517" t="s">
        <v>15</v>
      </c>
      <c r="G517" s="145">
        <v>0.5</v>
      </c>
      <c r="H517" s="118"/>
      <c r="I517" s="118"/>
      <c r="J517" s="118">
        <v>1</v>
      </c>
      <c r="K517" t="s">
        <v>1251</v>
      </c>
      <c r="L517" s="146" t="s">
        <v>1765</v>
      </c>
    </row>
    <row r="518" spans="1:12" x14ac:dyDescent="0.25">
      <c r="A518" t="s">
        <v>112</v>
      </c>
      <c r="B518" t="s">
        <v>111</v>
      </c>
      <c r="C518" t="s">
        <v>88</v>
      </c>
      <c r="D518" t="s">
        <v>1250</v>
      </c>
      <c r="E518" t="s">
        <v>859</v>
      </c>
      <c r="F518" t="s">
        <v>15</v>
      </c>
      <c r="G518" s="145">
        <v>7</v>
      </c>
      <c r="H518" s="118"/>
      <c r="I518" s="118"/>
      <c r="J518" s="118">
        <v>14</v>
      </c>
      <c r="K518" t="s">
        <v>1251</v>
      </c>
      <c r="L518" s="146" t="s">
        <v>1766</v>
      </c>
    </row>
    <row r="519" spans="1:12" x14ac:dyDescent="0.25">
      <c r="A519" t="s">
        <v>112</v>
      </c>
      <c r="B519" t="s">
        <v>111</v>
      </c>
      <c r="C519" t="s">
        <v>88</v>
      </c>
      <c r="D519" t="s">
        <v>1250</v>
      </c>
      <c r="E519" t="s">
        <v>861</v>
      </c>
      <c r="F519" t="s">
        <v>15</v>
      </c>
      <c r="G519" s="145">
        <v>0.5</v>
      </c>
      <c r="H519" s="118"/>
      <c r="I519" s="118"/>
      <c r="J519" s="118">
        <v>1</v>
      </c>
      <c r="K519" t="s">
        <v>1251</v>
      </c>
      <c r="L519" s="146" t="s">
        <v>1767</v>
      </c>
    </row>
    <row r="520" spans="1:12" x14ac:dyDescent="0.25">
      <c r="A520" t="s">
        <v>112</v>
      </c>
      <c r="B520" t="s">
        <v>111</v>
      </c>
      <c r="C520" t="s">
        <v>88</v>
      </c>
      <c r="D520" t="s">
        <v>1250</v>
      </c>
      <c r="E520" t="s">
        <v>899</v>
      </c>
      <c r="F520" t="s">
        <v>15</v>
      </c>
      <c r="G520" s="145">
        <v>0.5</v>
      </c>
      <c r="H520" s="118"/>
      <c r="I520" s="118">
        <v>1</v>
      </c>
      <c r="J520" s="118">
        <v>1</v>
      </c>
      <c r="K520" t="s">
        <v>1251</v>
      </c>
      <c r="L520" s="146" t="s">
        <v>1768</v>
      </c>
    </row>
    <row r="521" spans="1:12" x14ac:dyDescent="0.25">
      <c r="A521" t="s">
        <v>112</v>
      </c>
      <c r="B521" t="s">
        <v>111</v>
      </c>
      <c r="C521" t="s">
        <v>88</v>
      </c>
      <c r="D521" t="s">
        <v>1250</v>
      </c>
      <c r="E521" t="s">
        <v>98</v>
      </c>
      <c r="F521" t="s">
        <v>3</v>
      </c>
      <c r="G521" s="145">
        <v>62.5</v>
      </c>
      <c r="H521" s="118"/>
      <c r="I521" s="118">
        <v>100</v>
      </c>
      <c r="J521" s="118">
        <v>125</v>
      </c>
      <c r="K521" t="s">
        <v>1251</v>
      </c>
      <c r="L521" s="146" t="s">
        <v>1769</v>
      </c>
    </row>
    <row r="522" spans="1:12" x14ac:dyDescent="0.25">
      <c r="A522" t="s">
        <v>112</v>
      </c>
      <c r="B522" t="s">
        <v>111</v>
      </c>
      <c r="C522" t="s">
        <v>88</v>
      </c>
      <c r="D522" t="s">
        <v>1250</v>
      </c>
      <c r="E522" t="s">
        <v>932</v>
      </c>
      <c r="F522" t="s">
        <v>15</v>
      </c>
      <c r="G522" s="145">
        <v>4</v>
      </c>
      <c r="H522" s="118"/>
      <c r="I522" s="118">
        <v>7</v>
      </c>
      <c r="J522" s="118">
        <v>8</v>
      </c>
      <c r="K522" t="s">
        <v>1251</v>
      </c>
      <c r="L522" s="146" t="s">
        <v>1770</v>
      </c>
    </row>
    <row r="523" spans="1:12" x14ac:dyDescent="0.25">
      <c r="A523" t="s">
        <v>112</v>
      </c>
      <c r="B523" t="s">
        <v>111</v>
      </c>
      <c r="C523" t="s">
        <v>88</v>
      </c>
      <c r="D523" t="s">
        <v>1250</v>
      </c>
      <c r="E523" t="s">
        <v>949</v>
      </c>
      <c r="F523" t="s">
        <v>15</v>
      </c>
      <c r="G523" s="145"/>
      <c r="H523" s="118"/>
      <c r="I523" s="118">
        <v>1</v>
      </c>
      <c r="J523" s="118"/>
      <c r="L523" s="146" t="s">
        <v>1771</v>
      </c>
    </row>
    <row r="524" spans="1:12" x14ac:dyDescent="0.25">
      <c r="A524" t="s">
        <v>112</v>
      </c>
      <c r="B524" t="s">
        <v>111</v>
      </c>
      <c r="C524" t="s">
        <v>88</v>
      </c>
      <c r="D524" t="s">
        <v>1250</v>
      </c>
      <c r="E524" t="s">
        <v>94</v>
      </c>
      <c r="F524" t="s">
        <v>15</v>
      </c>
      <c r="G524" s="145">
        <v>0.5</v>
      </c>
      <c r="H524" s="118"/>
      <c r="I524" s="118">
        <v>2</v>
      </c>
      <c r="J524" s="118">
        <v>1</v>
      </c>
      <c r="K524" t="s">
        <v>1251</v>
      </c>
      <c r="L524" s="146" t="s">
        <v>1772</v>
      </c>
    </row>
    <row r="525" spans="1:12" x14ac:dyDescent="0.25">
      <c r="A525" t="s">
        <v>112</v>
      </c>
      <c r="B525" t="s">
        <v>111</v>
      </c>
      <c r="C525" t="s">
        <v>88</v>
      </c>
      <c r="D525" t="s">
        <v>1250</v>
      </c>
      <c r="E525" t="s">
        <v>93</v>
      </c>
      <c r="F525" t="s">
        <v>15</v>
      </c>
      <c r="G525" s="145">
        <v>0.5</v>
      </c>
      <c r="H525" s="118"/>
      <c r="I525" s="118">
        <v>1</v>
      </c>
      <c r="J525" s="118">
        <v>1</v>
      </c>
      <c r="K525" t="s">
        <v>1251</v>
      </c>
      <c r="L525" s="146" t="s">
        <v>1773</v>
      </c>
    </row>
    <row r="526" spans="1:12" x14ac:dyDescent="0.25">
      <c r="A526" t="s">
        <v>112</v>
      </c>
      <c r="B526" t="s">
        <v>111</v>
      </c>
      <c r="C526" t="s">
        <v>88</v>
      </c>
      <c r="D526" t="s">
        <v>1250</v>
      </c>
      <c r="E526" t="s">
        <v>1014</v>
      </c>
      <c r="F526" t="s">
        <v>15</v>
      </c>
      <c r="G526" s="145">
        <v>2.0636025474835149</v>
      </c>
      <c r="H526" s="118">
        <v>2</v>
      </c>
      <c r="I526" s="118">
        <v>2</v>
      </c>
      <c r="J526" s="118">
        <v>6</v>
      </c>
      <c r="L526" s="146" t="s">
        <v>1774</v>
      </c>
    </row>
    <row r="527" spans="1:12" x14ac:dyDescent="0.25">
      <c r="A527" t="s">
        <v>112</v>
      </c>
      <c r="B527" t="s">
        <v>111</v>
      </c>
      <c r="C527" t="s">
        <v>88</v>
      </c>
      <c r="D527" t="s">
        <v>1250</v>
      </c>
      <c r="E527" t="s">
        <v>570</v>
      </c>
      <c r="F527" t="s">
        <v>15</v>
      </c>
      <c r="G527" s="145">
        <v>1</v>
      </c>
      <c r="H527" s="118"/>
      <c r="I527" s="118"/>
      <c r="J527" s="118">
        <v>2</v>
      </c>
      <c r="K527" t="s">
        <v>1251</v>
      </c>
      <c r="L527" s="146" t="s">
        <v>1775</v>
      </c>
    </row>
    <row r="528" spans="1:12" x14ac:dyDescent="0.25">
      <c r="A528" t="s">
        <v>112</v>
      </c>
      <c r="B528" t="s">
        <v>111</v>
      </c>
      <c r="C528" t="s">
        <v>88</v>
      </c>
      <c r="D528" t="s">
        <v>1250</v>
      </c>
      <c r="E528" t="s">
        <v>92</v>
      </c>
      <c r="F528" t="s">
        <v>15</v>
      </c>
      <c r="G528" s="145">
        <v>1</v>
      </c>
      <c r="H528" s="118"/>
      <c r="I528" s="118">
        <v>1</v>
      </c>
      <c r="J528" s="118">
        <v>2</v>
      </c>
      <c r="K528" t="s">
        <v>1251</v>
      </c>
      <c r="L528" s="146" t="s">
        <v>1776</v>
      </c>
    </row>
    <row r="529" spans="1:12" x14ac:dyDescent="0.25">
      <c r="A529" t="s">
        <v>112</v>
      </c>
      <c r="B529" t="s">
        <v>111</v>
      </c>
      <c r="C529" t="s">
        <v>88</v>
      </c>
      <c r="D529" t="s">
        <v>1250</v>
      </c>
      <c r="E529" t="s">
        <v>91</v>
      </c>
      <c r="F529" t="s">
        <v>15</v>
      </c>
      <c r="G529" s="145">
        <v>1.5</v>
      </c>
      <c r="H529" s="118"/>
      <c r="I529" s="118">
        <v>3</v>
      </c>
      <c r="J529" s="118">
        <v>3</v>
      </c>
      <c r="K529" t="s">
        <v>1251</v>
      </c>
      <c r="L529" s="146" t="s">
        <v>1777</v>
      </c>
    </row>
    <row r="530" spans="1:12" x14ac:dyDescent="0.25">
      <c r="A530" t="s">
        <v>112</v>
      </c>
      <c r="B530" t="s">
        <v>111</v>
      </c>
      <c r="C530" t="s">
        <v>88</v>
      </c>
      <c r="D530" t="s">
        <v>1250</v>
      </c>
      <c r="E530" t="s">
        <v>1031</v>
      </c>
      <c r="F530" t="s">
        <v>15</v>
      </c>
      <c r="G530" s="145">
        <v>7.5</v>
      </c>
      <c r="H530" s="118"/>
      <c r="I530" s="118"/>
      <c r="J530" s="118">
        <v>15</v>
      </c>
      <c r="K530" t="s">
        <v>1251</v>
      </c>
      <c r="L530" s="146" t="s">
        <v>1778</v>
      </c>
    </row>
    <row r="531" spans="1:12" x14ac:dyDescent="0.25">
      <c r="A531" t="s">
        <v>112</v>
      </c>
      <c r="B531" t="s">
        <v>111</v>
      </c>
      <c r="C531" t="s">
        <v>88</v>
      </c>
      <c r="D531" t="s">
        <v>1250</v>
      </c>
      <c r="E531" t="s">
        <v>1040</v>
      </c>
      <c r="F531" t="s">
        <v>15</v>
      </c>
      <c r="G531" s="145">
        <v>1.0636025474835147</v>
      </c>
      <c r="H531" s="118">
        <v>2</v>
      </c>
      <c r="I531" s="118"/>
      <c r="J531" s="118">
        <v>2</v>
      </c>
      <c r="L531" s="146" t="s">
        <v>1779</v>
      </c>
    </row>
    <row r="532" spans="1:12" x14ac:dyDescent="0.25">
      <c r="A532" t="s">
        <v>112</v>
      </c>
      <c r="B532" t="s">
        <v>111</v>
      </c>
      <c r="C532" t="s">
        <v>88</v>
      </c>
      <c r="D532" t="s">
        <v>1250</v>
      </c>
      <c r="E532" t="s">
        <v>1059</v>
      </c>
      <c r="F532" t="s">
        <v>15</v>
      </c>
      <c r="G532" s="145">
        <v>3</v>
      </c>
      <c r="H532" s="118"/>
      <c r="I532" s="118">
        <v>6</v>
      </c>
      <c r="J532" s="118">
        <v>6</v>
      </c>
      <c r="K532" t="s">
        <v>1251</v>
      </c>
      <c r="L532" s="146" t="s">
        <v>1780</v>
      </c>
    </row>
    <row r="533" spans="1:12" x14ac:dyDescent="0.25">
      <c r="A533" t="s">
        <v>112</v>
      </c>
      <c r="B533" t="s">
        <v>111</v>
      </c>
      <c r="C533" t="s">
        <v>88</v>
      </c>
      <c r="D533" t="s">
        <v>1248</v>
      </c>
      <c r="E533" t="s">
        <v>1228</v>
      </c>
      <c r="F533" t="s">
        <v>88</v>
      </c>
      <c r="G533" s="145">
        <v>1</v>
      </c>
      <c r="H533" s="118">
        <v>1.7743</v>
      </c>
      <c r="I533" s="118"/>
      <c r="J533" s="118">
        <v>2</v>
      </c>
      <c r="L533" s="146" t="s">
        <v>1781</v>
      </c>
    </row>
    <row r="534" spans="1:12" x14ac:dyDescent="0.25">
      <c r="A534" t="s">
        <v>87</v>
      </c>
      <c r="B534" t="s">
        <v>85</v>
      </c>
      <c r="C534" t="s">
        <v>86</v>
      </c>
      <c r="D534" t="s">
        <v>1246</v>
      </c>
      <c r="E534" t="s">
        <v>85</v>
      </c>
      <c r="F534" t="s">
        <v>84</v>
      </c>
      <c r="G534" s="145"/>
      <c r="H534" s="118">
        <v>1</v>
      </c>
      <c r="I534" s="118"/>
      <c r="J534" s="118"/>
      <c r="L534" s="146" t="s">
        <v>1782</v>
      </c>
    </row>
    <row r="535" spans="1:12" x14ac:dyDescent="0.25">
      <c r="A535" t="s">
        <v>527</v>
      </c>
      <c r="B535" t="s">
        <v>528</v>
      </c>
      <c r="C535" t="s">
        <v>210</v>
      </c>
      <c r="D535" t="s">
        <v>1246</v>
      </c>
      <c r="E535" t="s">
        <v>1159</v>
      </c>
      <c r="F535" t="s">
        <v>3</v>
      </c>
      <c r="G535" s="145"/>
      <c r="H535" s="118"/>
      <c r="I535" s="118">
        <v>1.43</v>
      </c>
      <c r="J535" s="118"/>
      <c r="L535" s="146" t="s">
        <v>1783</v>
      </c>
    </row>
    <row r="536" spans="1:12" x14ac:dyDescent="0.25">
      <c r="A536" t="s">
        <v>532</v>
      </c>
      <c r="B536" t="s">
        <v>530</v>
      </c>
      <c r="C536" t="s">
        <v>210</v>
      </c>
      <c r="D536" t="s">
        <v>1246</v>
      </c>
      <c r="E536" t="s">
        <v>1157</v>
      </c>
      <c r="F536" t="s">
        <v>3</v>
      </c>
      <c r="G536" s="145"/>
      <c r="H536" s="118"/>
      <c r="I536" s="118">
        <v>1.43</v>
      </c>
      <c r="J536" s="118"/>
      <c r="L536" s="146" t="s">
        <v>1784</v>
      </c>
    </row>
    <row r="537" spans="1:12" x14ac:dyDescent="0.25">
      <c r="A537" t="s">
        <v>511</v>
      </c>
      <c r="B537" t="s">
        <v>512</v>
      </c>
      <c r="C537" t="s">
        <v>84</v>
      </c>
      <c r="D537" t="s">
        <v>1250</v>
      </c>
      <c r="E537" t="s">
        <v>689</v>
      </c>
      <c r="F537" t="s">
        <v>15</v>
      </c>
      <c r="G537" s="145">
        <v>1</v>
      </c>
      <c r="H537" s="118"/>
      <c r="I537" s="118">
        <v>1</v>
      </c>
      <c r="J537" s="118"/>
      <c r="K537" t="s">
        <v>1251</v>
      </c>
      <c r="L537" s="146" t="s">
        <v>1785</v>
      </c>
    </row>
    <row r="538" spans="1:12" x14ac:dyDescent="0.25">
      <c r="A538" t="s">
        <v>511</v>
      </c>
      <c r="B538" t="s">
        <v>512</v>
      </c>
      <c r="C538" t="s">
        <v>84</v>
      </c>
      <c r="D538" t="s">
        <v>1250</v>
      </c>
      <c r="E538" t="s">
        <v>876</v>
      </c>
      <c r="F538" t="s">
        <v>23</v>
      </c>
      <c r="G538" s="145">
        <v>14.17</v>
      </c>
      <c r="H538" s="118">
        <v>14.17</v>
      </c>
      <c r="I538" s="118">
        <v>66.38</v>
      </c>
      <c r="J538" s="118">
        <v>2</v>
      </c>
      <c r="K538" t="s">
        <v>1249</v>
      </c>
      <c r="L538" s="146" t="s">
        <v>1786</v>
      </c>
    </row>
    <row r="539" spans="1:12" x14ac:dyDescent="0.25">
      <c r="A539" t="s">
        <v>511</v>
      </c>
      <c r="B539" t="s">
        <v>512</v>
      </c>
      <c r="C539" t="s">
        <v>84</v>
      </c>
      <c r="D539" t="s">
        <v>1248</v>
      </c>
      <c r="E539" t="s">
        <v>1178</v>
      </c>
      <c r="F539" t="s">
        <v>410</v>
      </c>
      <c r="G539" s="145">
        <v>1</v>
      </c>
      <c r="H539" s="118"/>
      <c r="I539" s="118"/>
      <c r="J539" s="118">
        <v>1</v>
      </c>
      <c r="K539" t="s">
        <v>1251</v>
      </c>
      <c r="L539" s="146" t="s">
        <v>1787</v>
      </c>
    </row>
    <row r="540" spans="1:12" x14ac:dyDescent="0.25">
      <c r="A540" t="s">
        <v>513</v>
      </c>
      <c r="B540" t="s">
        <v>514</v>
      </c>
      <c r="C540" t="s">
        <v>84</v>
      </c>
      <c r="D540" t="s">
        <v>1246</v>
      </c>
      <c r="E540" t="s">
        <v>515</v>
      </c>
      <c r="F540" t="s">
        <v>84</v>
      </c>
      <c r="G540" s="145">
        <v>1</v>
      </c>
      <c r="H540" s="118">
        <v>6</v>
      </c>
      <c r="I540" s="118"/>
      <c r="J540" s="118"/>
      <c r="K540" t="s">
        <v>1251</v>
      </c>
      <c r="L540" s="146" t="s">
        <v>1788</v>
      </c>
    </row>
    <row r="541" spans="1:12" x14ac:dyDescent="0.25">
      <c r="A541" t="s">
        <v>82</v>
      </c>
      <c r="B541" t="s">
        <v>81</v>
      </c>
      <c r="C541" t="s">
        <v>130</v>
      </c>
      <c r="D541" t="s">
        <v>1246</v>
      </c>
      <c r="E541" t="s">
        <v>1155</v>
      </c>
      <c r="F541" t="s">
        <v>130</v>
      </c>
      <c r="G541" s="145">
        <v>1</v>
      </c>
      <c r="H541" s="118">
        <v>292.86</v>
      </c>
      <c r="I541" s="118">
        <v>570.24</v>
      </c>
      <c r="J541" s="118">
        <v>2464.71</v>
      </c>
      <c r="K541" t="s">
        <v>1247</v>
      </c>
      <c r="L541" s="146" t="s">
        <v>1789</v>
      </c>
    </row>
    <row r="542" spans="1:12" x14ac:dyDescent="0.25">
      <c r="A542" t="s">
        <v>82</v>
      </c>
      <c r="B542" t="s">
        <v>81</v>
      </c>
      <c r="C542" t="s">
        <v>130</v>
      </c>
      <c r="D542" t="s">
        <v>1248</v>
      </c>
      <c r="E542" t="s">
        <v>1219</v>
      </c>
      <c r="F542" t="s">
        <v>78</v>
      </c>
      <c r="G542" s="145">
        <v>2.2797418630751964E-2</v>
      </c>
      <c r="H542" s="118">
        <v>14</v>
      </c>
      <c r="I542" s="118">
        <v>13</v>
      </c>
      <c r="J542" s="118">
        <v>12.5</v>
      </c>
      <c r="K542" t="s">
        <v>1249</v>
      </c>
      <c r="L542" s="146" t="s">
        <v>1790</v>
      </c>
    </row>
    <row r="543" spans="1:12" x14ac:dyDescent="0.25">
      <c r="A543" t="s">
        <v>77</v>
      </c>
      <c r="B543" t="s">
        <v>76</v>
      </c>
      <c r="C543" t="s">
        <v>130</v>
      </c>
      <c r="D543" t="s">
        <v>1250</v>
      </c>
      <c r="E543" t="s">
        <v>822</v>
      </c>
      <c r="F543" t="s">
        <v>30</v>
      </c>
      <c r="G543" s="145">
        <v>7.3426573426573424E-2</v>
      </c>
      <c r="H543" s="118"/>
      <c r="I543" s="118">
        <v>1.26</v>
      </c>
      <c r="J543" s="118"/>
      <c r="K543" t="s">
        <v>1251</v>
      </c>
      <c r="L543" s="146" t="s">
        <v>1791</v>
      </c>
    </row>
    <row r="544" spans="1:12" x14ac:dyDescent="0.25">
      <c r="A544" t="s">
        <v>77</v>
      </c>
      <c r="B544" t="s">
        <v>76</v>
      </c>
      <c r="C544" t="s">
        <v>130</v>
      </c>
      <c r="D544" t="s">
        <v>1246</v>
      </c>
      <c r="E544" t="s">
        <v>75</v>
      </c>
      <c r="F544" t="s">
        <v>130</v>
      </c>
      <c r="G544" s="145">
        <v>1</v>
      </c>
      <c r="H544" s="118">
        <v>58.5</v>
      </c>
      <c r="I544" s="118">
        <v>17.16</v>
      </c>
      <c r="J544" s="118"/>
      <c r="K544" t="s">
        <v>1247</v>
      </c>
      <c r="L544" s="146" t="s">
        <v>1792</v>
      </c>
    </row>
    <row r="545" spans="1:12" x14ac:dyDescent="0.25">
      <c r="A545" t="s">
        <v>74</v>
      </c>
      <c r="B545" t="s">
        <v>73</v>
      </c>
      <c r="C545" t="s">
        <v>130</v>
      </c>
      <c r="D545" t="s">
        <v>1250</v>
      </c>
      <c r="E545" t="s">
        <v>788</v>
      </c>
      <c r="F545" t="s">
        <v>8</v>
      </c>
      <c r="G545" s="145">
        <v>0.46620046620046618</v>
      </c>
      <c r="H545" s="118"/>
      <c r="I545" s="118">
        <v>8</v>
      </c>
      <c r="J545" s="118"/>
      <c r="K545" t="s">
        <v>1251</v>
      </c>
      <c r="L545" s="146" t="s">
        <v>1793</v>
      </c>
    </row>
    <row r="546" spans="1:12" x14ac:dyDescent="0.25">
      <c r="A546" t="s">
        <v>74</v>
      </c>
      <c r="B546" t="s">
        <v>73</v>
      </c>
      <c r="C546" t="s">
        <v>130</v>
      </c>
      <c r="D546" t="s">
        <v>1250</v>
      </c>
      <c r="E546" t="s">
        <v>832</v>
      </c>
      <c r="F546" t="s">
        <v>15</v>
      </c>
      <c r="G546" s="145">
        <v>0.80128205128205132</v>
      </c>
      <c r="H546" s="118"/>
      <c r="I546" s="118"/>
      <c r="J546" s="118">
        <v>50</v>
      </c>
      <c r="K546" t="s">
        <v>1251</v>
      </c>
      <c r="L546" s="146" t="s">
        <v>1794</v>
      </c>
    </row>
    <row r="547" spans="1:12" x14ac:dyDescent="0.25">
      <c r="A547" t="s">
        <v>74</v>
      </c>
      <c r="B547" t="s">
        <v>73</v>
      </c>
      <c r="C547" t="s">
        <v>130</v>
      </c>
      <c r="D547" t="s">
        <v>1250</v>
      </c>
      <c r="E547" t="s">
        <v>889</v>
      </c>
      <c r="F547" t="s">
        <v>6</v>
      </c>
      <c r="G547" s="145">
        <v>3.2051282051282055E-2</v>
      </c>
      <c r="H547" s="118"/>
      <c r="I547" s="118"/>
      <c r="J547" s="118">
        <v>2</v>
      </c>
      <c r="K547" t="s">
        <v>1251</v>
      </c>
      <c r="L547" s="146" t="s">
        <v>1795</v>
      </c>
    </row>
    <row r="548" spans="1:12" x14ac:dyDescent="0.25">
      <c r="A548" t="s">
        <v>74</v>
      </c>
      <c r="B548" t="s">
        <v>73</v>
      </c>
      <c r="C548" t="s">
        <v>130</v>
      </c>
      <c r="D548" t="s">
        <v>1250</v>
      </c>
      <c r="E548" t="s">
        <v>603</v>
      </c>
      <c r="F548" t="s">
        <v>6</v>
      </c>
      <c r="G548" s="145">
        <v>3.7296037296037296E-2</v>
      </c>
      <c r="H548" s="118"/>
      <c r="I548" s="118">
        <v>0.64</v>
      </c>
      <c r="J548" s="118"/>
      <c r="K548" t="s">
        <v>1251</v>
      </c>
      <c r="L548" s="146" t="s">
        <v>1796</v>
      </c>
    </row>
    <row r="549" spans="1:12" x14ac:dyDescent="0.25">
      <c r="A549" t="s">
        <v>74</v>
      </c>
      <c r="B549" t="s">
        <v>73</v>
      </c>
      <c r="C549" t="s">
        <v>130</v>
      </c>
      <c r="D549" t="s">
        <v>1250</v>
      </c>
      <c r="E549" t="s">
        <v>1051</v>
      </c>
      <c r="F549" t="s">
        <v>71</v>
      </c>
      <c r="G549" s="145">
        <v>0.11655011655011654</v>
      </c>
      <c r="H549" s="118"/>
      <c r="I549" s="118">
        <v>2</v>
      </c>
      <c r="J549" s="118"/>
      <c r="K549" t="s">
        <v>1251</v>
      </c>
      <c r="L549" s="146" t="s">
        <v>1797</v>
      </c>
    </row>
    <row r="550" spans="1:12" x14ac:dyDescent="0.25">
      <c r="A550" t="s">
        <v>74</v>
      </c>
      <c r="B550" t="s">
        <v>73</v>
      </c>
      <c r="C550" t="s">
        <v>130</v>
      </c>
      <c r="D550" t="s">
        <v>1246</v>
      </c>
      <c r="E550" t="s">
        <v>70</v>
      </c>
      <c r="F550" t="s">
        <v>130</v>
      </c>
      <c r="G550" s="145">
        <v>1</v>
      </c>
      <c r="H550" s="118">
        <v>58.5</v>
      </c>
      <c r="I550" s="118">
        <v>17.16</v>
      </c>
      <c r="J550" s="118">
        <v>62.4</v>
      </c>
      <c r="K550" t="s">
        <v>1247</v>
      </c>
      <c r="L550" s="146" t="s">
        <v>1798</v>
      </c>
    </row>
    <row r="551" spans="1:12" x14ac:dyDescent="0.25">
      <c r="A551" t="s">
        <v>69</v>
      </c>
      <c r="B551" t="s">
        <v>516</v>
      </c>
      <c r="C551" t="s">
        <v>130</v>
      </c>
      <c r="D551" t="s">
        <v>1250</v>
      </c>
      <c r="E551" t="s">
        <v>777</v>
      </c>
      <c r="F551" t="s">
        <v>15</v>
      </c>
      <c r="G551" s="145">
        <v>0.12820512820512822</v>
      </c>
      <c r="H551" s="118"/>
      <c r="I551" s="118"/>
      <c r="J551" s="118">
        <v>8</v>
      </c>
      <c r="K551" t="s">
        <v>1251</v>
      </c>
      <c r="L551" s="146" t="s">
        <v>1799</v>
      </c>
    </row>
    <row r="552" spans="1:12" x14ac:dyDescent="0.25">
      <c r="A552" t="s">
        <v>69</v>
      </c>
      <c r="B552" t="s">
        <v>516</v>
      </c>
      <c r="C552" t="s">
        <v>130</v>
      </c>
      <c r="D552" t="s">
        <v>1250</v>
      </c>
      <c r="E552" t="s">
        <v>779</v>
      </c>
      <c r="F552" t="s">
        <v>15</v>
      </c>
      <c r="G552" s="145">
        <v>0.16025641025641027</v>
      </c>
      <c r="H552" s="118"/>
      <c r="I552" s="118"/>
      <c r="J552" s="118">
        <v>10</v>
      </c>
      <c r="K552" t="s">
        <v>1251</v>
      </c>
      <c r="L552" s="146" t="s">
        <v>1800</v>
      </c>
    </row>
    <row r="553" spans="1:12" x14ac:dyDescent="0.25">
      <c r="A553" t="s">
        <v>69</v>
      </c>
      <c r="B553" t="s">
        <v>516</v>
      </c>
      <c r="C553" t="s">
        <v>130</v>
      </c>
      <c r="D553" t="s">
        <v>1250</v>
      </c>
      <c r="E553" t="s">
        <v>788</v>
      </c>
      <c r="F553" t="s">
        <v>8</v>
      </c>
      <c r="G553" s="145">
        <v>0.99358974358974361</v>
      </c>
      <c r="H553" s="118"/>
      <c r="I553" s="118"/>
      <c r="J553" s="118">
        <v>62</v>
      </c>
      <c r="K553" t="s">
        <v>1251</v>
      </c>
      <c r="L553" s="146" t="s">
        <v>1801</v>
      </c>
    </row>
    <row r="554" spans="1:12" x14ac:dyDescent="0.25">
      <c r="A554" t="s">
        <v>69</v>
      </c>
      <c r="B554" t="s">
        <v>516</v>
      </c>
      <c r="C554" t="s">
        <v>130</v>
      </c>
      <c r="D554" t="s">
        <v>1250</v>
      </c>
      <c r="E554" t="s">
        <v>836</v>
      </c>
      <c r="F554" t="s">
        <v>15</v>
      </c>
      <c r="G554" s="145">
        <v>0.32051282051282054</v>
      </c>
      <c r="H554" s="118"/>
      <c r="I554" s="118"/>
      <c r="J554" s="118">
        <v>20</v>
      </c>
      <c r="K554" t="s">
        <v>1251</v>
      </c>
      <c r="L554" s="146" t="s">
        <v>1802</v>
      </c>
    </row>
    <row r="555" spans="1:12" x14ac:dyDescent="0.25">
      <c r="A555" t="s">
        <v>69</v>
      </c>
      <c r="B555" t="s">
        <v>516</v>
      </c>
      <c r="C555" t="s">
        <v>130</v>
      </c>
      <c r="D555" t="s">
        <v>1250</v>
      </c>
      <c r="E555" t="s">
        <v>849</v>
      </c>
      <c r="F555" t="s">
        <v>15</v>
      </c>
      <c r="G555" s="145">
        <v>3.2051282051282055E-2</v>
      </c>
      <c r="H555" s="118"/>
      <c r="I555" s="118"/>
      <c r="J555" s="118">
        <v>2</v>
      </c>
      <c r="K555" t="s">
        <v>1251</v>
      </c>
      <c r="L555" s="146" t="s">
        <v>1803</v>
      </c>
    </row>
    <row r="556" spans="1:12" x14ac:dyDescent="0.25">
      <c r="A556" t="s">
        <v>69</v>
      </c>
      <c r="B556" t="s">
        <v>516</v>
      </c>
      <c r="C556" t="s">
        <v>130</v>
      </c>
      <c r="D556" t="s">
        <v>1250</v>
      </c>
      <c r="E556" t="s">
        <v>407</v>
      </c>
      <c r="F556" t="s">
        <v>15</v>
      </c>
      <c r="G556" s="145">
        <v>1.6025641025641028E-2</v>
      </c>
      <c r="H556" s="118"/>
      <c r="I556" s="118"/>
      <c r="J556" s="118">
        <v>1</v>
      </c>
      <c r="K556" t="s">
        <v>1251</v>
      </c>
      <c r="L556" s="146" t="s">
        <v>1804</v>
      </c>
    </row>
    <row r="557" spans="1:12" x14ac:dyDescent="0.25">
      <c r="A557" t="s">
        <v>69</v>
      </c>
      <c r="B557" t="s">
        <v>516</v>
      </c>
      <c r="C557" t="s">
        <v>130</v>
      </c>
      <c r="D557" t="s">
        <v>1250</v>
      </c>
      <c r="E557" t="s">
        <v>889</v>
      </c>
      <c r="F557" t="s">
        <v>6</v>
      </c>
      <c r="G557" s="145">
        <v>3.2051282051282055E-2</v>
      </c>
      <c r="H557" s="118"/>
      <c r="I557" s="118"/>
      <c r="J557" s="118">
        <v>2</v>
      </c>
      <c r="K557" t="s">
        <v>1251</v>
      </c>
      <c r="L557" s="146" t="s">
        <v>1805</v>
      </c>
    </row>
    <row r="558" spans="1:12" x14ac:dyDescent="0.25">
      <c r="A558" t="s">
        <v>69</v>
      </c>
      <c r="B558" t="s">
        <v>516</v>
      </c>
      <c r="C558" t="s">
        <v>130</v>
      </c>
      <c r="D558" t="s">
        <v>1250</v>
      </c>
      <c r="E558" t="s">
        <v>960</v>
      </c>
      <c r="F558" t="s">
        <v>15</v>
      </c>
      <c r="G558" s="145">
        <v>1.6025641025641028E-2</v>
      </c>
      <c r="H558" s="118"/>
      <c r="I558" s="118"/>
      <c r="J558" s="118">
        <v>1</v>
      </c>
      <c r="K558" t="s">
        <v>1251</v>
      </c>
      <c r="L558" s="146" t="s">
        <v>1806</v>
      </c>
    </row>
    <row r="559" spans="1:12" x14ac:dyDescent="0.25">
      <c r="A559" t="s">
        <v>69</v>
      </c>
      <c r="B559" t="s">
        <v>516</v>
      </c>
      <c r="C559" t="s">
        <v>130</v>
      </c>
      <c r="D559" t="s">
        <v>1250</v>
      </c>
      <c r="E559" t="s">
        <v>603</v>
      </c>
      <c r="F559" t="s">
        <v>6</v>
      </c>
      <c r="G559" s="145">
        <v>0.13846153846153847</v>
      </c>
      <c r="H559" s="118"/>
      <c r="I559" s="118"/>
      <c r="J559" s="118">
        <v>8.64</v>
      </c>
      <c r="K559" t="s">
        <v>1251</v>
      </c>
      <c r="L559" s="146" t="s">
        <v>1807</v>
      </c>
    </row>
    <row r="560" spans="1:12" x14ac:dyDescent="0.25">
      <c r="A560" t="s">
        <v>69</v>
      </c>
      <c r="B560" t="s">
        <v>516</v>
      </c>
      <c r="C560" t="s">
        <v>130</v>
      </c>
      <c r="D560" t="s">
        <v>1250</v>
      </c>
      <c r="E560" t="s">
        <v>602</v>
      </c>
      <c r="F560" t="s">
        <v>6</v>
      </c>
      <c r="G560" s="145">
        <v>5.5769230769230772E-2</v>
      </c>
      <c r="H560" s="118"/>
      <c r="I560" s="118"/>
      <c r="J560" s="118">
        <v>3.48</v>
      </c>
      <c r="K560" t="s">
        <v>1251</v>
      </c>
      <c r="L560" s="146" t="s">
        <v>1808</v>
      </c>
    </row>
    <row r="561" spans="1:12" x14ac:dyDescent="0.25">
      <c r="A561" t="s">
        <v>69</v>
      </c>
      <c r="B561" t="s">
        <v>516</v>
      </c>
      <c r="C561" t="s">
        <v>130</v>
      </c>
      <c r="D561" t="s">
        <v>1250</v>
      </c>
      <c r="E561" t="s">
        <v>606</v>
      </c>
      <c r="F561" t="s">
        <v>15</v>
      </c>
      <c r="G561" s="145">
        <v>0.72115384615384615</v>
      </c>
      <c r="H561" s="118"/>
      <c r="I561" s="118"/>
      <c r="J561" s="118">
        <v>45</v>
      </c>
      <c r="K561" t="s">
        <v>1251</v>
      </c>
      <c r="L561" s="146" t="s">
        <v>1809</v>
      </c>
    </row>
    <row r="562" spans="1:12" x14ac:dyDescent="0.25">
      <c r="A562" t="s">
        <v>69</v>
      </c>
      <c r="B562" t="s">
        <v>516</v>
      </c>
      <c r="C562" t="s">
        <v>130</v>
      </c>
      <c r="D562" t="s">
        <v>1250</v>
      </c>
      <c r="E562" t="s">
        <v>1038</v>
      </c>
      <c r="F562" t="s">
        <v>15</v>
      </c>
      <c r="G562" s="145">
        <v>6.4102564102564111E-2</v>
      </c>
      <c r="H562" s="118"/>
      <c r="I562" s="118"/>
      <c r="J562" s="118">
        <v>4</v>
      </c>
      <c r="K562" t="s">
        <v>1251</v>
      </c>
      <c r="L562" s="146" t="s">
        <v>1810</v>
      </c>
    </row>
    <row r="563" spans="1:12" x14ac:dyDescent="0.25">
      <c r="A563" t="s">
        <v>69</v>
      </c>
      <c r="B563" t="s">
        <v>516</v>
      </c>
      <c r="C563" t="s">
        <v>130</v>
      </c>
      <c r="D563" t="s">
        <v>1246</v>
      </c>
      <c r="E563" t="s">
        <v>517</v>
      </c>
      <c r="F563" t="s">
        <v>130</v>
      </c>
      <c r="G563" s="145">
        <v>1</v>
      </c>
      <c r="H563" s="118">
        <v>58.5</v>
      </c>
      <c r="I563" s="118"/>
      <c r="J563" s="118">
        <v>62.4</v>
      </c>
      <c r="K563" t="s">
        <v>1247</v>
      </c>
      <c r="L563" s="146" t="s">
        <v>1811</v>
      </c>
    </row>
    <row r="564" spans="1:12" x14ac:dyDescent="0.25">
      <c r="A564" t="s">
        <v>69</v>
      </c>
      <c r="B564" t="s">
        <v>516</v>
      </c>
      <c r="C564" t="s">
        <v>130</v>
      </c>
      <c r="D564" t="s">
        <v>1248</v>
      </c>
      <c r="E564" t="s">
        <v>1188</v>
      </c>
      <c r="F564" t="s">
        <v>15</v>
      </c>
      <c r="G564" s="145">
        <v>0.25176282051282051</v>
      </c>
      <c r="H564" s="118"/>
      <c r="I564" s="118"/>
      <c r="J564" s="118">
        <v>15.71</v>
      </c>
      <c r="K564" t="s">
        <v>1251</v>
      </c>
      <c r="L564" s="146" t="s">
        <v>1812</v>
      </c>
    </row>
    <row r="565" spans="1:12" x14ac:dyDescent="0.25">
      <c r="A565" t="s">
        <v>66</v>
      </c>
      <c r="B565" t="s">
        <v>68</v>
      </c>
      <c r="C565" t="s">
        <v>130</v>
      </c>
      <c r="D565" t="s">
        <v>1250</v>
      </c>
      <c r="E565" t="s">
        <v>800</v>
      </c>
      <c r="F565" t="s">
        <v>15</v>
      </c>
      <c r="G565" s="145">
        <v>0.16025641025641027</v>
      </c>
      <c r="H565" s="118"/>
      <c r="I565" s="118"/>
      <c r="J565" s="118">
        <v>10</v>
      </c>
      <c r="K565" t="s">
        <v>1251</v>
      </c>
      <c r="L565" s="146" t="s">
        <v>1813</v>
      </c>
    </row>
    <row r="566" spans="1:12" x14ac:dyDescent="0.25">
      <c r="A566" t="s">
        <v>66</v>
      </c>
      <c r="B566" t="s">
        <v>68</v>
      </c>
      <c r="C566" t="s">
        <v>130</v>
      </c>
      <c r="D566" t="s">
        <v>1250</v>
      </c>
      <c r="E566" t="s">
        <v>916</v>
      </c>
      <c r="F566" t="s">
        <v>15</v>
      </c>
      <c r="G566" s="145">
        <v>8.0128205128205135E-2</v>
      </c>
      <c r="H566" s="118"/>
      <c r="I566" s="118"/>
      <c r="J566" s="118">
        <v>5</v>
      </c>
      <c r="K566" t="s">
        <v>1251</v>
      </c>
      <c r="L566" s="146" t="s">
        <v>1814</v>
      </c>
    </row>
    <row r="567" spans="1:12" x14ac:dyDescent="0.25">
      <c r="A567" t="s">
        <v>66</v>
      </c>
      <c r="B567" t="s">
        <v>68</v>
      </c>
      <c r="C567" t="s">
        <v>130</v>
      </c>
      <c r="D567" t="s">
        <v>1250</v>
      </c>
      <c r="E567" t="s">
        <v>953</v>
      </c>
      <c r="F567" t="s">
        <v>15</v>
      </c>
      <c r="G567" s="145">
        <v>6.4102564102564111E-2</v>
      </c>
      <c r="H567" s="118"/>
      <c r="I567" s="118"/>
      <c r="J567" s="118">
        <v>4</v>
      </c>
      <c r="K567" t="s">
        <v>1251</v>
      </c>
      <c r="L567" s="146" t="s">
        <v>1815</v>
      </c>
    </row>
    <row r="568" spans="1:12" x14ac:dyDescent="0.25">
      <c r="A568" t="s">
        <v>66</v>
      </c>
      <c r="B568" t="s">
        <v>68</v>
      </c>
      <c r="C568" t="s">
        <v>130</v>
      </c>
      <c r="D568" t="s">
        <v>1250</v>
      </c>
      <c r="E568" t="s">
        <v>955</v>
      </c>
      <c r="F568" t="s">
        <v>15</v>
      </c>
      <c r="G568" s="145">
        <v>8.0128205128205135E-2</v>
      </c>
      <c r="H568" s="118"/>
      <c r="I568" s="118"/>
      <c r="J568" s="118">
        <v>5</v>
      </c>
      <c r="K568" t="s">
        <v>1251</v>
      </c>
      <c r="L568" s="146" t="s">
        <v>1816</v>
      </c>
    </row>
    <row r="569" spans="1:12" x14ac:dyDescent="0.25">
      <c r="A569" t="s">
        <v>66</v>
      </c>
      <c r="B569" t="s">
        <v>68</v>
      </c>
      <c r="C569" t="s">
        <v>130</v>
      </c>
      <c r="D569" t="s">
        <v>1250</v>
      </c>
      <c r="E569" t="s">
        <v>370</v>
      </c>
      <c r="F569" t="s">
        <v>144</v>
      </c>
      <c r="G569" s="145">
        <v>9.6153846153846159E-3</v>
      </c>
      <c r="H569" s="118"/>
      <c r="I569" s="118"/>
      <c r="J569" s="118">
        <v>0.6</v>
      </c>
      <c r="K569" t="s">
        <v>1251</v>
      </c>
      <c r="L569" s="146" t="s">
        <v>1817</v>
      </c>
    </row>
    <row r="570" spans="1:12" x14ac:dyDescent="0.25">
      <c r="A570" t="s">
        <v>66</v>
      </c>
      <c r="B570" t="s">
        <v>68</v>
      </c>
      <c r="C570" t="s">
        <v>130</v>
      </c>
      <c r="D570" t="s">
        <v>1246</v>
      </c>
      <c r="E570" t="s">
        <v>67</v>
      </c>
      <c r="F570" t="s">
        <v>130</v>
      </c>
      <c r="G570" s="145">
        <v>1</v>
      </c>
      <c r="H570" s="118">
        <v>117</v>
      </c>
      <c r="I570" s="118"/>
      <c r="J570" s="118">
        <v>62.4</v>
      </c>
      <c r="K570" t="s">
        <v>1247</v>
      </c>
      <c r="L570" s="146" t="s">
        <v>1818</v>
      </c>
    </row>
    <row r="571" spans="1:12" x14ac:dyDescent="0.25">
      <c r="A571" t="s">
        <v>60</v>
      </c>
      <c r="B571" t="s">
        <v>65</v>
      </c>
      <c r="C571" t="s">
        <v>130</v>
      </c>
      <c r="D571" t="s">
        <v>1250</v>
      </c>
      <c r="E571" t="s">
        <v>572</v>
      </c>
      <c r="F571" t="s">
        <v>15</v>
      </c>
      <c r="G571" s="145">
        <v>4.807692307692308E-2</v>
      </c>
      <c r="H571" s="118"/>
      <c r="I571" s="118"/>
      <c r="J571" s="118">
        <v>3</v>
      </c>
      <c r="K571" t="s">
        <v>1251</v>
      </c>
      <c r="L571" s="146" t="s">
        <v>1819</v>
      </c>
    </row>
    <row r="572" spans="1:12" x14ac:dyDescent="0.25">
      <c r="A572" t="s">
        <v>60</v>
      </c>
      <c r="B572" t="s">
        <v>65</v>
      </c>
      <c r="C572" t="s">
        <v>130</v>
      </c>
      <c r="D572" t="s">
        <v>1250</v>
      </c>
      <c r="E572" t="s">
        <v>64</v>
      </c>
      <c r="F572" t="s">
        <v>15</v>
      </c>
      <c r="G572" s="145">
        <v>3.3653846153846152E-2</v>
      </c>
      <c r="H572" s="118">
        <v>3</v>
      </c>
      <c r="I572" s="118"/>
      <c r="J572" s="118">
        <v>1</v>
      </c>
      <c r="K572" t="s">
        <v>1249</v>
      </c>
      <c r="L572" s="146" t="s">
        <v>1820</v>
      </c>
    </row>
    <row r="573" spans="1:12" x14ac:dyDescent="0.25">
      <c r="A573" t="s">
        <v>60</v>
      </c>
      <c r="B573" t="s">
        <v>65</v>
      </c>
      <c r="C573" t="s">
        <v>130</v>
      </c>
      <c r="D573" t="s">
        <v>1250</v>
      </c>
      <c r="E573" t="s">
        <v>1044</v>
      </c>
      <c r="F573" t="s">
        <v>62</v>
      </c>
      <c r="G573" s="145">
        <v>1.7094017094017096E-2</v>
      </c>
      <c r="H573" s="118">
        <v>1</v>
      </c>
      <c r="I573" s="118"/>
      <c r="J573" s="118"/>
      <c r="K573" t="s">
        <v>1251</v>
      </c>
      <c r="L573" s="146" t="s">
        <v>1821</v>
      </c>
    </row>
    <row r="574" spans="1:12" x14ac:dyDescent="0.25">
      <c r="A574" t="s">
        <v>60</v>
      </c>
      <c r="B574" t="s">
        <v>65</v>
      </c>
      <c r="C574" t="s">
        <v>130</v>
      </c>
      <c r="D574" t="s">
        <v>1246</v>
      </c>
      <c r="E574" t="s">
        <v>61</v>
      </c>
      <c r="F574" t="s">
        <v>130</v>
      </c>
      <c r="G574" s="145">
        <v>1</v>
      </c>
      <c r="H574" s="118">
        <v>58.5</v>
      </c>
      <c r="I574" s="118"/>
      <c r="J574" s="118">
        <v>62.4</v>
      </c>
      <c r="K574" t="s">
        <v>1247</v>
      </c>
      <c r="L574" s="146" t="s">
        <v>1822</v>
      </c>
    </row>
    <row r="575" spans="1:12" x14ac:dyDescent="0.25">
      <c r="A575" t="s">
        <v>51</v>
      </c>
      <c r="B575" t="s">
        <v>59</v>
      </c>
      <c r="C575" t="s">
        <v>58</v>
      </c>
      <c r="D575" t="s">
        <v>1250</v>
      </c>
      <c r="E575" t="s">
        <v>824</v>
      </c>
      <c r="F575" t="s">
        <v>30</v>
      </c>
      <c r="G575" s="145"/>
      <c r="H575" s="118">
        <v>3.5</v>
      </c>
      <c r="I575" s="118"/>
      <c r="J575" s="118"/>
      <c r="L575" s="146" t="s">
        <v>1823</v>
      </c>
    </row>
    <row r="576" spans="1:12" x14ac:dyDescent="0.25">
      <c r="A576" t="s">
        <v>51</v>
      </c>
      <c r="B576" t="s">
        <v>59</v>
      </c>
      <c r="C576" t="s">
        <v>58</v>
      </c>
      <c r="D576" t="s">
        <v>1250</v>
      </c>
      <c r="E576" t="s">
        <v>820</v>
      </c>
      <c r="F576" t="s">
        <v>30</v>
      </c>
      <c r="G576" s="145"/>
      <c r="H576" s="118">
        <v>2.25</v>
      </c>
      <c r="I576" s="118"/>
      <c r="J576" s="118"/>
      <c r="L576" s="146" t="s">
        <v>1824</v>
      </c>
    </row>
    <row r="577" spans="1:12" x14ac:dyDescent="0.25">
      <c r="A577" t="s">
        <v>51</v>
      </c>
      <c r="B577" t="s">
        <v>59</v>
      </c>
      <c r="C577" t="s">
        <v>58</v>
      </c>
      <c r="D577" t="s">
        <v>1250</v>
      </c>
      <c r="E577" t="s">
        <v>834</v>
      </c>
      <c r="F577" t="s">
        <v>15</v>
      </c>
      <c r="G577" s="145"/>
      <c r="H577" s="118">
        <v>3</v>
      </c>
      <c r="I577" s="118"/>
      <c r="J577" s="118"/>
      <c r="L577" s="146" t="s">
        <v>1825</v>
      </c>
    </row>
    <row r="578" spans="1:12" x14ac:dyDescent="0.25">
      <c r="A578" t="s">
        <v>51</v>
      </c>
      <c r="B578" t="s">
        <v>59</v>
      </c>
      <c r="C578" t="s">
        <v>58</v>
      </c>
      <c r="D578" t="s">
        <v>1250</v>
      </c>
      <c r="E578" t="s">
        <v>846</v>
      </c>
      <c r="F578" t="s">
        <v>15</v>
      </c>
      <c r="G578" s="145"/>
      <c r="H578" s="118">
        <v>1</v>
      </c>
      <c r="I578" s="118"/>
      <c r="J578" s="118"/>
      <c r="L578" s="146" t="s">
        <v>1826</v>
      </c>
    </row>
    <row r="579" spans="1:12" x14ac:dyDescent="0.25">
      <c r="A579" t="s">
        <v>51</v>
      </c>
      <c r="B579" t="s">
        <v>59</v>
      </c>
      <c r="C579" t="s">
        <v>58</v>
      </c>
      <c r="D579" t="s">
        <v>1250</v>
      </c>
      <c r="E579" t="s">
        <v>606</v>
      </c>
      <c r="F579" t="s">
        <v>15</v>
      </c>
      <c r="G579" s="145"/>
      <c r="H579" s="118">
        <v>52</v>
      </c>
      <c r="I579" s="118"/>
      <c r="J579" s="118"/>
      <c r="L579" s="146" t="s">
        <v>1827</v>
      </c>
    </row>
    <row r="580" spans="1:12" x14ac:dyDescent="0.25">
      <c r="A580" t="s">
        <v>51</v>
      </c>
      <c r="B580" t="s">
        <v>59</v>
      </c>
      <c r="C580" t="s">
        <v>58</v>
      </c>
      <c r="D580" t="s">
        <v>1246</v>
      </c>
      <c r="E580" t="s">
        <v>52</v>
      </c>
      <c r="F580" t="s">
        <v>130</v>
      </c>
      <c r="G580" s="145"/>
      <c r="H580" s="118">
        <v>82.79</v>
      </c>
      <c r="I580" s="118"/>
      <c r="J580" s="118"/>
      <c r="L580" s="146" t="s">
        <v>1828</v>
      </c>
    </row>
    <row r="581" spans="1:12" x14ac:dyDescent="0.25">
      <c r="A581" t="s">
        <v>40</v>
      </c>
      <c r="B581" t="s">
        <v>50</v>
      </c>
      <c r="C581" t="s">
        <v>6</v>
      </c>
      <c r="D581" t="s">
        <v>1250</v>
      </c>
      <c r="E581" t="s">
        <v>785</v>
      </c>
      <c r="F581" t="s">
        <v>174</v>
      </c>
      <c r="G581" s="145">
        <v>0.27404768429706766</v>
      </c>
      <c r="H581" s="118">
        <v>1</v>
      </c>
      <c r="I581" s="118"/>
      <c r="J581" s="118"/>
      <c r="K581" t="s">
        <v>1251</v>
      </c>
      <c r="L581" s="146" t="s">
        <v>1829</v>
      </c>
    </row>
    <row r="582" spans="1:12" x14ac:dyDescent="0.25">
      <c r="A582" t="s">
        <v>40</v>
      </c>
      <c r="B582" t="s">
        <v>50</v>
      </c>
      <c r="C582" t="s">
        <v>6</v>
      </c>
      <c r="D582" t="s">
        <v>1250</v>
      </c>
      <c r="E582" t="s">
        <v>47</v>
      </c>
      <c r="F582" t="s">
        <v>6</v>
      </c>
      <c r="G582" s="145">
        <v>0.95916689503973696</v>
      </c>
      <c r="H582" s="118">
        <v>3.5</v>
      </c>
      <c r="I582" s="118"/>
      <c r="J582" s="118"/>
      <c r="K582" t="s">
        <v>1251</v>
      </c>
      <c r="L582" s="146" t="s">
        <v>1830</v>
      </c>
    </row>
    <row r="583" spans="1:12" x14ac:dyDescent="0.25">
      <c r="A583" t="s">
        <v>40</v>
      </c>
      <c r="B583" t="s">
        <v>50</v>
      </c>
      <c r="C583" t="s">
        <v>6</v>
      </c>
      <c r="D583" t="s">
        <v>1250</v>
      </c>
      <c r="E583" t="s">
        <v>953</v>
      </c>
      <c r="F583" t="s">
        <v>15</v>
      </c>
      <c r="G583" s="145">
        <v>0.27404768429706766</v>
      </c>
      <c r="H583" s="118">
        <v>1</v>
      </c>
      <c r="I583" s="118"/>
      <c r="J583" s="118"/>
      <c r="K583" t="s">
        <v>1251</v>
      </c>
      <c r="L583" s="146" t="s">
        <v>1831</v>
      </c>
    </row>
    <row r="584" spans="1:12" x14ac:dyDescent="0.25">
      <c r="A584" t="s">
        <v>40</v>
      </c>
      <c r="B584" t="s">
        <v>50</v>
      </c>
      <c r="C584" t="s">
        <v>6</v>
      </c>
      <c r="D584" t="s">
        <v>1250</v>
      </c>
      <c r="E584" t="s">
        <v>967</v>
      </c>
      <c r="F584" t="s">
        <v>6</v>
      </c>
      <c r="G584" s="145">
        <v>5.4809536859413539E-2</v>
      </c>
      <c r="H584" s="118">
        <v>0.2</v>
      </c>
      <c r="I584" s="118"/>
      <c r="J584" s="118"/>
      <c r="K584" t="s">
        <v>1251</v>
      </c>
      <c r="L584" s="146" t="s">
        <v>1832</v>
      </c>
    </row>
    <row r="585" spans="1:12" x14ac:dyDescent="0.25">
      <c r="A585" t="s">
        <v>40</v>
      </c>
      <c r="B585" t="s">
        <v>50</v>
      </c>
      <c r="C585" t="s">
        <v>6</v>
      </c>
      <c r="D585" t="s">
        <v>1250</v>
      </c>
      <c r="E585" t="s">
        <v>969</v>
      </c>
      <c r="F585" t="s">
        <v>6</v>
      </c>
      <c r="G585" s="145">
        <v>0.95916689503973696</v>
      </c>
      <c r="H585" s="118">
        <v>3.5</v>
      </c>
      <c r="I585" s="118"/>
      <c r="J585" s="118"/>
      <c r="K585" t="s">
        <v>1251</v>
      </c>
      <c r="L585" s="146" t="s">
        <v>1833</v>
      </c>
    </row>
    <row r="586" spans="1:12" x14ac:dyDescent="0.25">
      <c r="A586" t="s">
        <v>40</v>
      </c>
      <c r="B586" t="s">
        <v>50</v>
      </c>
      <c r="C586" t="s">
        <v>6</v>
      </c>
      <c r="D586" t="s">
        <v>1250</v>
      </c>
      <c r="E586" t="s">
        <v>1001</v>
      </c>
      <c r="F586" t="s">
        <v>15</v>
      </c>
      <c r="G586" s="145">
        <v>0.27404768429706766</v>
      </c>
      <c r="H586" s="118">
        <v>1</v>
      </c>
      <c r="I586" s="118"/>
      <c r="J586" s="118"/>
      <c r="K586" t="s">
        <v>1251</v>
      </c>
      <c r="L586" s="146" t="s">
        <v>1834</v>
      </c>
    </row>
    <row r="587" spans="1:12" x14ac:dyDescent="0.25">
      <c r="A587" t="s">
        <v>40</v>
      </c>
      <c r="B587" t="s">
        <v>50</v>
      </c>
      <c r="C587" t="s">
        <v>6</v>
      </c>
      <c r="D587" t="s">
        <v>1246</v>
      </c>
      <c r="E587" t="s">
        <v>591</v>
      </c>
      <c r="F587" t="s">
        <v>6</v>
      </c>
      <c r="G587" s="145">
        <v>1</v>
      </c>
      <c r="H587" s="118">
        <v>3.649</v>
      </c>
      <c r="I587" s="118"/>
      <c r="J587" s="118"/>
      <c r="K587" t="s">
        <v>1251</v>
      </c>
      <c r="L587" s="146" t="s">
        <v>1835</v>
      </c>
    </row>
    <row r="588" spans="1:12" x14ac:dyDescent="0.25">
      <c r="A588" t="s">
        <v>40</v>
      </c>
      <c r="B588" t="s">
        <v>50</v>
      </c>
      <c r="C588" t="s">
        <v>6</v>
      </c>
      <c r="D588" t="s">
        <v>1248</v>
      </c>
      <c r="E588" t="s">
        <v>1200</v>
      </c>
      <c r="F588" t="s">
        <v>15</v>
      </c>
      <c r="G588" s="145">
        <v>0.27404768429706766</v>
      </c>
      <c r="H588" s="118">
        <v>1</v>
      </c>
      <c r="I588" s="118"/>
      <c r="J588" s="118"/>
      <c r="K588" t="s">
        <v>1251</v>
      </c>
      <c r="L588" s="146" t="s">
        <v>1836</v>
      </c>
    </row>
    <row r="589" spans="1:12" x14ac:dyDescent="0.25">
      <c r="A589" t="s">
        <v>37</v>
      </c>
      <c r="B589" t="s">
        <v>39</v>
      </c>
      <c r="C589" t="s">
        <v>130</v>
      </c>
      <c r="D589" t="s">
        <v>1246</v>
      </c>
      <c r="E589" t="s">
        <v>38</v>
      </c>
      <c r="F589" t="s">
        <v>130</v>
      </c>
      <c r="G589" s="145">
        <v>1</v>
      </c>
      <c r="H589" s="118"/>
      <c r="I589" s="118">
        <v>43.07</v>
      </c>
      <c r="J589" s="118"/>
      <c r="K589" t="s">
        <v>1251</v>
      </c>
      <c r="L589" s="146" t="s">
        <v>1837</v>
      </c>
    </row>
    <row r="590" spans="1:12" x14ac:dyDescent="0.25">
      <c r="A590" t="s">
        <v>34</v>
      </c>
      <c r="B590" t="s">
        <v>36</v>
      </c>
      <c r="C590" t="s">
        <v>130</v>
      </c>
      <c r="D590" t="s">
        <v>1250</v>
      </c>
      <c r="E590" t="s">
        <v>695</v>
      </c>
      <c r="F590" t="s">
        <v>3</v>
      </c>
      <c r="G590" s="145">
        <v>0.11520329994107249</v>
      </c>
      <c r="H590" s="118"/>
      <c r="I590" s="118">
        <v>3.91</v>
      </c>
      <c r="J590" s="118"/>
      <c r="K590" t="s">
        <v>1251</v>
      </c>
      <c r="L590" s="146" t="s">
        <v>1838</v>
      </c>
    </row>
    <row r="591" spans="1:12" x14ac:dyDescent="0.25">
      <c r="A591" t="s">
        <v>34</v>
      </c>
      <c r="B591" t="s">
        <v>36</v>
      </c>
      <c r="C591" t="s">
        <v>130</v>
      </c>
      <c r="D591" t="s">
        <v>1250</v>
      </c>
      <c r="E591" t="s">
        <v>533</v>
      </c>
      <c r="F591" t="s">
        <v>3</v>
      </c>
      <c r="G591" s="145">
        <v>0.1756040070713023</v>
      </c>
      <c r="H591" s="118"/>
      <c r="I591" s="118">
        <v>5.96</v>
      </c>
      <c r="J591" s="118"/>
      <c r="K591" t="s">
        <v>1251</v>
      </c>
      <c r="L591" s="146" t="s">
        <v>1839</v>
      </c>
    </row>
    <row r="592" spans="1:12" x14ac:dyDescent="0.25">
      <c r="A592" t="s">
        <v>34</v>
      </c>
      <c r="B592" t="s">
        <v>36</v>
      </c>
      <c r="C592" t="s">
        <v>130</v>
      </c>
      <c r="D592" t="s">
        <v>1250</v>
      </c>
      <c r="E592" t="s">
        <v>699</v>
      </c>
      <c r="F592" t="s">
        <v>3</v>
      </c>
      <c r="G592" s="145">
        <v>0.25810253388332355</v>
      </c>
      <c r="H592" s="118"/>
      <c r="I592" s="118">
        <v>8.76</v>
      </c>
      <c r="J592" s="118"/>
      <c r="K592" t="s">
        <v>1251</v>
      </c>
      <c r="L592" s="146" t="s">
        <v>1840</v>
      </c>
    </row>
    <row r="593" spans="1:12" x14ac:dyDescent="0.25">
      <c r="A593" t="s">
        <v>34</v>
      </c>
      <c r="B593" t="s">
        <v>36</v>
      </c>
      <c r="C593" t="s">
        <v>130</v>
      </c>
      <c r="D593" t="s">
        <v>1250</v>
      </c>
      <c r="E593" t="s">
        <v>851</v>
      </c>
      <c r="F593" t="s">
        <v>15</v>
      </c>
      <c r="G593" s="145">
        <v>2.9463759575721865E-2</v>
      </c>
      <c r="H593" s="118"/>
      <c r="I593" s="118">
        <v>1</v>
      </c>
      <c r="J593" s="118"/>
      <c r="K593" t="s">
        <v>1251</v>
      </c>
      <c r="L593" s="146" t="s">
        <v>1841</v>
      </c>
    </row>
    <row r="594" spans="1:12" x14ac:dyDescent="0.25">
      <c r="A594" t="s">
        <v>34</v>
      </c>
      <c r="B594" t="s">
        <v>36</v>
      </c>
      <c r="C594" t="s">
        <v>130</v>
      </c>
      <c r="D594" t="s">
        <v>1250</v>
      </c>
      <c r="E594" t="s">
        <v>603</v>
      </c>
      <c r="F594" t="s">
        <v>6</v>
      </c>
      <c r="G594" s="145">
        <v>1.4731879787860933E-2</v>
      </c>
      <c r="H594" s="118"/>
      <c r="I594" s="118">
        <v>0.5</v>
      </c>
      <c r="J594" s="118"/>
      <c r="K594" t="s">
        <v>1251</v>
      </c>
      <c r="L594" s="146" t="s">
        <v>1842</v>
      </c>
    </row>
    <row r="595" spans="1:12" x14ac:dyDescent="0.25">
      <c r="A595" t="s">
        <v>34</v>
      </c>
      <c r="B595" t="s">
        <v>36</v>
      </c>
      <c r="C595" t="s">
        <v>130</v>
      </c>
      <c r="D595" t="s">
        <v>1246</v>
      </c>
      <c r="E595" t="s">
        <v>35</v>
      </c>
      <c r="F595" t="s">
        <v>130</v>
      </c>
      <c r="G595" s="145">
        <v>1</v>
      </c>
      <c r="H595" s="118"/>
      <c r="I595" s="118">
        <v>33.94</v>
      </c>
      <c r="J595" s="118"/>
      <c r="K595" t="s">
        <v>1251</v>
      </c>
      <c r="L595" s="146" t="s">
        <v>1843</v>
      </c>
    </row>
    <row r="596" spans="1:12" x14ac:dyDescent="0.25">
      <c r="A596" t="s">
        <v>34</v>
      </c>
      <c r="B596" t="s">
        <v>36</v>
      </c>
      <c r="C596" t="s">
        <v>130</v>
      </c>
      <c r="D596" t="s">
        <v>1248</v>
      </c>
      <c r="E596" t="s">
        <v>1234</v>
      </c>
      <c r="F596" t="s">
        <v>15</v>
      </c>
      <c r="G596" s="145">
        <v>1.8267530936947555E-2</v>
      </c>
      <c r="H596" s="118"/>
      <c r="I596" s="118">
        <v>0.62</v>
      </c>
      <c r="J596" s="118"/>
      <c r="K596" t="s">
        <v>1251</v>
      </c>
      <c r="L596" s="146" t="s">
        <v>1844</v>
      </c>
    </row>
    <row r="597" spans="1:12" x14ac:dyDescent="0.25">
      <c r="A597" t="s">
        <v>29</v>
      </c>
      <c r="B597" t="s">
        <v>33</v>
      </c>
      <c r="C597" t="s">
        <v>130</v>
      </c>
      <c r="D597" t="s">
        <v>1250</v>
      </c>
      <c r="E597" t="s">
        <v>818</v>
      </c>
      <c r="F597" t="s">
        <v>30</v>
      </c>
      <c r="G597" s="145">
        <v>2.2901637467078895E-2</v>
      </c>
      <c r="H597" s="118"/>
      <c r="I597" s="118">
        <v>2</v>
      </c>
      <c r="J597" s="118"/>
      <c r="K597" t="s">
        <v>1251</v>
      </c>
      <c r="L597" s="146" t="s">
        <v>1845</v>
      </c>
    </row>
    <row r="598" spans="1:12" x14ac:dyDescent="0.25">
      <c r="A598" t="s">
        <v>29</v>
      </c>
      <c r="B598" t="s">
        <v>33</v>
      </c>
      <c r="C598" t="s">
        <v>130</v>
      </c>
      <c r="D598" t="s">
        <v>1250</v>
      </c>
      <c r="E598" t="s">
        <v>822</v>
      </c>
      <c r="F598" t="s">
        <v>30</v>
      </c>
      <c r="G598" s="145">
        <v>1.1450818733539448E-2</v>
      </c>
      <c r="H598" s="118"/>
      <c r="I598" s="118">
        <v>1</v>
      </c>
      <c r="J598" s="118"/>
      <c r="K598" t="s">
        <v>1251</v>
      </c>
      <c r="L598" s="146" t="s">
        <v>1846</v>
      </c>
    </row>
    <row r="599" spans="1:12" x14ac:dyDescent="0.25">
      <c r="A599" t="s">
        <v>29</v>
      </c>
      <c r="B599" t="s">
        <v>33</v>
      </c>
      <c r="C599" t="s">
        <v>130</v>
      </c>
      <c r="D599" t="s">
        <v>1246</v>
      </c>
      <c r="E599" t="s">
        <v>27</v>
      </c>
      <c r="F599" t="s">
        <v>130</v>
      </c>
      <c r="G599" s="145">
        <v>1</v>
      </c>
      <c r="H599" s="118"/>
      <c r="I599" s="118">
        <v>87.33</v>
      </c>
      <c r="J599" s="118"/>
      <c r="K599" t="s">
        <v>1251</v>
      </c>
      <c r="L599" s="146" t="s">
        <v>1847</v>
      </c>
    </row>
    <row r="600" spans="1:12" x14ac:dyDescent="0.25">
      <c r="A600" t="s">
        <v>26</v>
      </c>
      <c r="B600" t="s">
        <v>28</v>
      </c>
      <c r="C600" t="s">
        <v>130</v>
      </c>
      <c r="D600" t="s">
        <v>1246</v>
      </c>
      <c r="E600" t="s">
        <v>27</v>
      </c>
      <c r="F600" t="s">
        <v>130</v>
      </c>
      <c r="G600" s="145">
        <v>1</v>
      </c>
      <c r="H600" s="118"/>
      <c r="I600" s="118">
        <v>107.34332999999999</v>
      </c>
      <c r="J600" s="118">
        <v>68.849999999999994</v>
      </c>
      <c r="K600" t="s">
        <v>1247</v>
      </c>
      <c r="L600" s="146" t="s">
        <v>1848</v>
      </c>
    </row>
    <row r="601" spans="1:12" x14ac:dyDescent="0.25">
      <c r="A601" t="s">
        <v>518</v>
      </c>
      <c r="B601" t="s">
        <v>25</v>
      </c>
      <c r="C601" t="s">
        <v>130</v>
      </c>
      <c r="D601" t="s">
        <v>1250</v>
      </c>
      <c r="E601" t="s">
        <v>876</v>
      </c>
      <c r="F601" t="s">
        <v>23</v>
      </c>
      <c r="G601" s="145">
        <v>1.1674060238150829E-2</v>
      </c>
      <c r="H601" s="118"/>
      <c r="I601" s="118">
        <v>1</v>
      </c>
      <c r="J601" s="118"/>
      <c r="K601" t="s">
        <v>1251</v>
      </c>
      <c r="L601" s="146" t="s">
        <v>1849</v>
      </c>
    </row>
    <row r="602" spans="1:12" x14ac:dyDescent="0.25">
      <c r="A602" t="s">
        <v>518</v>
      </c>
      <c r="B602" t="s">
        <v>25</v>
      </c>
      <c r="C602" t="s">
        <v>130</v>
      </c>
      <c r="D602" t="s">
        <v>1250</v>
      </c>
      <c r="E602" t="s">
        <v>889</v>
      </c>
      <c r="F602" t="s">
        <v>6</v>
      </c>
      <c r="G602" s="145">
        <v>0.18678496381041326</v>
      </c>
      <c r="H602" s="118"/>
      <c r="I602" s="118">
        <v>16</v>
      </c>
      <c r="J602" s="118"/>
      <c r="K602" t="s">
        <v>1251</v>
      </c>
      <c r="L602" s="146" t="s">
        <v>1850</v>
      </c>
    </row>
    <row r="603" spans="1:12" x14ac:dyDescent="0.25">
      <c r="A603" t="s">
        <v>518</v>
      </c>
      <c r="B603" t="s">
        <v>25</v>
      </c>
      <c r="C603" t="s">
        <v>130</v>
      </c>
      <c r="D603" t="s">
        <v>1246</v>
      </c>
      <c r="E603" t="s">
        <v>21</v>
      </c>
      <c r="F603" t="s">
        <v>130</v>
      </c>
      <c r="G603" s="145">
        <v>1</v>
      </c>
      <c r="H603" s="118"/>
      <c r="I603" s="118">
        <v>85.66</v>
      </c>
      <c r="J603" s="118"/>
      <c r="K603" t="s">
        <v>1251</v>
      </c>
      <c r="L603" s="146" t="s">
        <v>1851</v>
      </c>
    </row>
    <row r="604" spans="1:12" x14ac:dyDescent="0.25">
      <c r="A604" t="s">
        <v>518</v>
      </c>
      <c r="B604" t="s">
        <v>25</v>
      </c>
      <c r="C604" t="s">
        <v>130</v>
      </c>
      <c r="D604" t="s">
        <v>1248</v>
      </c>
      <c r="E604" t="s">
        <v>1188</v>
      </c>
      <c r="F604" t="s">
        <v>15</v>
      </c>
      <c r="G604" s="145">
        <v>3.502218071445249E-2</v>
      </c>
      <c r="H604" s="118"/>
      <c r="I604" s="118">
        <v>3</v>
      </c>
      <c r="J604" s="118"/>
      <c r="K604" t="s">
        <v>1251</v>
      </c>
      <c r="L604" s="146" t="s">
        <v>1852</v>
      </c>
    </row>
    <row r="605" spans="1:12" x14ac:dyDescent="0.25">
      <c r="A605" t="s">
        <v>519</v>
      </c>
      <c r="B605" t="s">
        <v>20</v>
      </c>
      <c r="C605" t="s">
        <v>130</v>
      </c>
      <c r="D605" t="s">
        <v>1250</v>
      </c>
      <c r="E605" t="s">
        <v>695</v>
      </c>
      <c r="F605" t="s">
        <v>3</v>
      </c>
      <c r="G605" s="145">
        <v>0.19940639771353194</v>
      </c>
      <c r="H605" s="118"/>
      <c r="I605" s="118">
        <v>18.14</v>
      </c>
      <c r="J605" s="118"/>
      <c r="K605" t="s">
        <v>1251</v>
      </c>
      <c r="L605" s="146" t="s">
        <v>1853</v>
      </c>
    </row>
    <row r="606" spans="1:12" x14ac:dyDescent="0.25">
      <c r="A606" t="s">
        <v>519</v>
      </c>
      <c r="B606" t="s">
        <v>20</v>
      </c>
      <c r="C606" t="s">
        <v>130</v>
      </c>
      <c r="D606" t="s">
        <v>1250</v>
      </c>
      <c r="E606" t="s">
        <v>533</v>
      </c>
      <c r="F606" t="s">
        <v>3</v>
      </c>
      <c r="G606" s="145">
        <v>0.32494228866659336</v>
      </c>
      <c r="H606" s="118"/>
      <c r="I606" s="118">
        <v>29.56</v>
      </c>
      <c r="J606" s="118"/>
      <c r="K606" t="s">
        <v>1251</v>
      </c>
      <c r="L606" s="146" t="s">
        <v>1854</v>
      </c>
    </row>
    <row r="607" spans="1:12" x14ac:dyDescent="0.25">
      <c r="A607" t="s">
        <v>519</v>
      </c>
      <c r="B607" t="s">
        <v>20</v>
      </c>
      <c r="C607" t="s">
        <v>130</v>
      </c>
      <c r="D607" t="s">
        <v>1250</v>
      </c>
      <c r="E607" t="s">
        <v>699</v>
      </c>
      <c r="F607" t="s">
        <v>3</v>
      </c>
      <c r="G607" s="145">
        <v>0.44619105199516329</v>
      </c>
      <c r="H607" s="118"/>
      <c r="I607" s="118">
        <v>40.590000000000003</v>
      </c>
      <c r="J607" s="118"/>
      <c r="K607" t="s">
        <v>1251</v>
      </c>
      <c r="L607" s="146" t="s">
        <v>1855</v>
      </c>
    </row>
    <row r="608" spans="1:12" x14ac:dyDescent="0.25">
      <c r="A608" t="s">
        <v>519</v>
      </c>
      <c r="B608" t="s">
        <v>20</v>
      </c>
      <c r="C608" t="s">
        <v>130</v>
      </c>
      <c r="D608" t="s">
        <v>1250</v>
      </c>
      <c r="E608" t="s">
        <v>851</v>
      </c>
      <c r="F608" t="s">
        <v>15</v>
      </c>
      <c r="G608" s="145">
        <v>1.0992634934593822E-2</v>
      </c>
      <c r="H608" s="118"/>
      <c r="I608" s="118">
        <v>1</v>
      </c>
      <c r="J608" s="118"/>
      <c r="K608" t="s">
        <v>1251</v>
      </c>
      <c r="L608" s="146" t="s">
        <v>1856</v>
      </c>
    </row>
    <row r="609" spans="1:12" x14ac:dyDescent="0.25">
      <c r="A609" t="s">
        <v>519</v>
      </c>
      <c r="B609" t="s">
        <v>20</v>
      </c>
      <c r="C609" t="s">
        <v>130</v>
      </c>
      <c r="D609" t="s">
        <v>1250</v>
      </c>
      <c r="E609" t="s">
        <v>603</v>
      </c>
      <c r="F609" t="s">
        <v>6</v>
      </c>
      <c r="G609" s="145">
        <v>1.736836319665824E-2</v>
      </c>
      <c r="H609" s="118"/>
      <c r="I609" s="118">
        <v>1.58</v>
      </c>
      <c r="J609" s="118"/>
      <c r="K609" t="s">
        <v>1251</v>
      </c>
      <c r="L609" s="146" t="s">
        <v>1857</v>
      </c>
    </row>
    <row r="610" spans="1:12" x14ac:dyDescent="0.25">
      <c r="A610" t="s">
        <v>519</v>
      </c>
      <c r="B610" t="s">
        <v>20</v>
      </c>
      <c r="C610" t="s">
        <v>130</v>
      </c>
      <c r="D610" t="s">
        <v>1246</v>
      </c>
      <c r="E610" t="s">
        <v>14</v>
      </c>
      <c r="F610" t="s">
        <v>130</v>
      </c>
      <c r="G610" s="145">
        <v>1</v>
      </c>
      <c r="H610" s="118"/>
      <c r="I610" s="118">
        <v>90.97</v>
      </c>
      <c r="J610" s="118"/>
      <c r="K610" t="s">
        <v>1251</v>
      </c>
      <c r="L610" s="146" t="s">
        <v>1858</v>
      </c>
    </row>
    <row r="611" spans="1:12" x14ac:dyDescent="0.25">
      <c r="A611" t="s">
        <v>519</v>
      </c>
      <c r="B611" t="s">
        <v>20</v>
      </c>
      <c r="C611" t="s">
        <v>130</v>
      </c>
      <c r="D611" t="s">
        <v>1248</v>
      </c>
      <c r="E611" t="s">
        <v>1234</v>
      </c>
      <c r="F611" t="s">
        <v>15</v>
      </c>
      <c r="G611" s="145">
        <v>3.8804001319116189E-2</v>
      </c>
      <c r="H611" s="118"/>
      <c r="I611" s="118">
        <v>3.53</v>
      </c>
      <c r="J611" s="118"/>
      <c r="K611" t="s">
        <v>1251</v>
      </c>
      <c r="L611" s="146" t="s">
        <v>1859</v>
      </c>
    </row>
    <row r="612" spans="1:12" x14ac:dyDescent="0.25">
      <c r="A612" t="s">
        <v>520</v>
      </c>
      <c r="B612" t="s">
        <v>12</v>
      </c>
      <c r="C612" t="s">
        <v>3</v>
      </c>
      <c r="D612" t="s">
        <v>1250</v>
      </c>
      <c r="E612" t="s">
        <v>741</v>
      </c>
      <c r="F612" t="s">
        <v>3</v>
      </c>
      <c r="G612" s="145">
        <v>0.55555555555555558</v>
      </c>
      <c r="H612" s="118"/>
      <c r="I612" s="118">
        <v>36</v>
      </c>
      <c r="J612" s="118"/>
      <c r="K612" t="s">
        <v>1251</v>
      </c>
      <c r="L612" s="146" t="s">
        <v>1860</v>
      </c>
    </row>
    <row r="613" spans="1:12" x14ac:dyDescent="0.25">
      <c r="A613" t="s">
        <v>520</v>
      </c>
      <c r="B613" t="s">
        <v>12</v>
      </c>
      <c r="C613" t="s">
        <v>3</v>
      </c>
      <c r="D613" t="s">
        <v>1250</v>
      </c>
      <c r="E613" t="s">
        <v>788</v>
      </c>
      <c r="F613" t="s">
        <v>8</v>
      </c>
      <c r="G613" s="145">
        <v>0.1234567901234568</v>
      </c>
      <c r="H613" s="118"/>
      <c r="I613" s="118">
        <v>8</v>
      </c>
      <c r="J613" s="118"/>
      <c r="K613" t="s">
        <v>1251</v>
      </c>
      <c r="L613" s="146" t="s">
        <v>1861</v>
      </c>
    </row>
    <row r="614" spans="1:12" x14ac:dyDescent="0.25">
      <c r="A614" t="s">
        <v>520</v>
      </c>
      <c r="B614" t="s">
        <v>12</v>
      </c>
      <c r="C614" t="s">
        <v>3</v>
      </c>
      <c r="D614" t="s">
        <v>1250</v>
      </c>
      <c r="E614" t="s">
        <v>603</v>
      </c>
      <c r="F614" t="s">
        <v>6</v>
      </c>
      <c r="G614" s="145">
        <v>1.9753086419753086E-2</v>
      </c>
      <c r="H614" s="118"/>
      <c r="I614" s="118">
        <v>1.28</v>
      </c>
      <c r="J614" s="118"/>
      <c r="K614" t="s">
        <v>1251</v>
      </c>
      <c r="L614" s="146" t="s">
        <v>1862</v>
      </c>
    </row>
    <row r="615" spans="1:12" x14ac:dyDescent="0.25">
      <c r="A615" t="s">
        <v>520</v>
      </c>
      <c r="B615" t="s">
        <v>12</v>
      </c>
      <c r="C615" t="s">
        <v>3</v>
      </c>
      <c r="D615" t="s">
        <v>1246</v>
      </c>
      <c r="E615" t="s">
        <v>4</v>
      </c>
      <c r="F615" t="s">
        <v>3</v>
      </c>
      <c r="G615" s="145">
        <v>1</v>
      </c>
      <c r="H615" s="118"/>
      <c r="I615" s="118">
        <v>64.8</v>
      </c>
      <c r="J615" s="118"/>
      <c r="K615" t="s">
        <v>1251</v>
      </c>
      <c r="L615" s="146" t="s">
        <v>1863</v>
      </c>
    </row>
    <row r="616" spans="1:12" x14ac:dyDescent="0.25">
      <c r="A616" t="s">
        <v>598</v>
      </c>
      <c r="B616" t="s">
        <v>600</v>
      </c>
      <c r="C616" t="s">
        <v>3</v>
      </c>
      <c r="D616" t="s">
        <v>1250</v>
      </c>
      <c r="E616" t="s">
        <v>601</v>
      </c>
      <c r="F616" t="s">
        <v>8</v>
      </c>
      <c r="G616" s="145">
        <v>1.310581234908589</v>
      </c>
      <c r="H616" s="118">
        <v>8.5</v>
      </c>
      <c r="I616" s="118">
        <v>11</v>
      </c>
      <c r="J616" s="118"/>
      <c r="L616" s="146" t="s">
        <v>1864</v>
      </c>
    </row>
    <row r="617" spans="1:12" x14ac:dyDescent="0.25">
      <c r="A617" t="s">
        <v>598</v>
      </c>
      <c r="B617" t="s">
        <v>600</v>
      </c>
      <c r="C617" t="s">
        <v>3</v>
      </c>
      <c r="D617" t="s">
        <v>1250</v>
      </c>
      <c r="E617" t="s">
        <v>607</v>
      </c>
      <c r="F617" t="s">
        <v>608</v>
      </c>
      <c r="G617" s="145">
        <v>0.11534149706795446</v>
      </c>
      <c r="H617" s="118">
        <v>0.5</v>
      </c>
      <c r="I617" s="118">
        <v>1.5</v>
      </c>
      <c r="J617" s="118"/>
      <c r="L617" s="146" t="s">
        <v>1865</v>
      </c>
    </row>
    <row r="618" spans="1:12" x14ac:dyDescent="0.25">
      <c r="A618" t="s">
        <v>598</v>
      </c>
      <c r="B618" t="s">
        <v>600</v>
      </c>
      <c r="C618" t="s">
        <v>3</v>
      </c>
      <c r="D618" t="s">
        <v>1250</v>
      </c>
      <c r="E618" t="s">
        <v>609</v>
      </c>
      <c r="F618" t="s">
        <v>605</v>
      </c>
      <c r="G618" s="145">
        <v>0.19230769230769229</v>
      </c>
      <c r="H618" s="118">
        <v>1</v>
      </c>
      <c r="I618" s="118"/>
      <c r="J618" s="118"/>
      <c r="K618" t="s">
        <v>1251</v>
      </c>
      <c r="L618" s="146" t="s">
        <v>1866</v>
      </c>
    </row>
    <row r="619" spans="1:12" x14ac:dyDescent="0.25">
      <c r="A619" t="s">
        <v>598</v>
      </c>
      <c r="B619" t="s">
        <v>600</v>
      </c>
      <c r="C619" t="s">
        <v>3</v>
      </c>
      <c r="D619" t="s">
        <v>1250</v>
      </c>
      <c r="E619" t="s">
        <v>604</v>
      </c>
      <c r="F619" t="s">
        <v>605</v>
      </c>
      <c r="G619" s="145">
        <v>7.0498447740600198E-2</v>
      </c>
      <c r="H619" s="118">
        <v>0.5</v>
      </c>
      <c r="I619" s="118">
        <v>0.5</v>
      </c>
      <c r="J619" s="118"/>
      <c r="L619" s="146" t="s">
        <v>1867</v>
      </c>
    </row>
    <row r="620" spans="1:12" x14ac:dyDescent="0.25">
      <c r="A620" t="s">
        <v>598</v>
      </c>
      <c r="B620" t="s">
        <v>600</v>
      </c>
      <c r="C620" t="s">
        <v>3</v>
      </c>
      <c r="D620" t="s">
        <v>1250</v>
      </c>
      <c r="E620" t="s">
        <v>610</v>
      </c>
      <c r="F620" t="s">
        <v>605</v>
      </c>
      <c r="G620" s="145">
        <v>4.4843049327354258E-2</v>
      </c>
      <c r="H620" s="118"/>
      <c r="I620" s="118">
        <v>0.5</v>
      </c>
      <c r="J620" s="118"/>
      <c r="K620" t="s">
        <v>1251</v>
      </c>
      <c r="L620" s="146" t="s">
        <v>1868</v>
      </c>
    </row>
    <row r="621" spans="1:12" x14ac:dyDescent="0.25">
      <c r="A621" t="s">
        <v>598</v>
      </c>
      <c r="B621" t="s">
        <v>600</v>
      </c>
      <c r="C621" t="s">
        <v>3</v>
      </c>
      <c r="D621" t="s">
        <v>1250</v>
      </c>
      <c r="E621" t="s">
        <v>603</v>
      </c>
      <c r="F621" t="s">
        <v>6</v>
      </c>
      <c r="G621" s="145">
        <v>8.2972576750603655E-2</v>
      </c>
      <c r="H621" s="118">
        <v>0.21</v>
      </c>
      <c r="I621" s="118">
        <v>1.4</v>
      </c>
      <c r="J621" s="118"/>
      <c r="K621" t="s">
        <v>1249</v>
      </c>
      <c r="L621" s="146" t="s">
        <v>1869</v>
      </c>
    </row>
    <row r="622" spans="1:12" x14ac:dyDescent="0.25">
      <c r="A622" t="s">
        <v>598</v>
      </c>
      <c r="B622" t="s">
        <v>600</v>
      </c>
      <c r="C622" t="s">
        <v>3</v>
      </c>
      <c r="D622" t="s">
        <v>1250</v>
      </c>
      <c r="E622" t="s">
        <v>602</v>
      </c>
      <c r="F622" t="s">
        <v>6</v>
      </c>
      <c r="G622" s="145">
        <v>1.9933597792342189E-2</v>
      </c>
      <c r="H622" s="118">
        <v>0.17</v>
      </c>
      <c r="I622" s="118">
        <v>0.08</v>
      </c>
      <c r="J622" s="118"/>
      <c r="K622" t="s">
        <v>1249</v>
      </c>
      <c r="L622" s="146" t="s">
        <v>1870</v>
      </c>
    </row>
    <row r="623" spans="1:12" x14ac:dyDescent="0.25">
      <c r="A623" t="s">
        <v>598</v>
      </c>
      <c r="B623" t="s">
        <v>600</v>
      </c>
      <c r="C623" t="s">
        <v>3</v>
      </c>
      <c r="D623" t="s">
        <v>1250</v>
      </c>
      <c r="E623" t="s">
        <v>606</v>
      </c>
      <c r="F623" t="s">
        <v>605</v>
      </c>
      <c r="G623" s="145">
        <v>0.21472921697136943</v>
      </c>
      <c r="H623" s="118">
        <v>2</v>
      </c>
      <c r="I623" s="118">
        <v>0.5</v>
      </c>
      <c r="J623" s="118"/>
      <c r="K623" t="s">
        <v>1249</v>
      </c>
      <c r="L623" s="146" t="s">
        <v>1871</v>
      </c>
    </row>
    <row r="624" spans="1:12" x14ac:dyDescent="0.25">
      <c r="A624" t="s">
        <v>598</v>
      </c>
      <c r="B624" t="s">
        <v>600</v>
      </c>
      <c r="C624" t="s">
        <v>3</v>
      </c>
      <c r="D624" t="s">
        <v>1246</v>
      </c>
      <c r="E624" t="s">
        <v>599</v>
      </c>
      <c r="F624" t="s">
        <v>3</v>
      </c>
      <c r="G624" s="145">
        <v>1</v>
      </c>
      <c r="H624" s="118">
        <v>5.2</v>
      </c>
      <c r="I624" s="118">
        <v>11.15</v>
      </c>
      <c r="J624" s="118"/>
      <c r="K624" t="s">
        <v>1247</v>
      </c>
      <c r="L624" s="146" t="s">
        <v>1872</v>
      </c>
    </row>
    <row r="625" spans="1:12" x14ac:dyDescent="0.25">
      <c r="A625" t="s">
        <v>537</v>
      </c>
      <c r="B625" t="s">
        <v>538</v>
      </c>
      <c r="C625" t="s">
        <v>130</v>
      </c>
      <c r="D625" t="s">
        <v>1250</v>
      </c>
      <c r="E625" t="s">
        <v>717</v>
      </c>
      <c r="F625" t="s">
        <v>6</v>
      </c>
      <c r="G625" s="145">
        <v>3.8279641684749351E-2</v>
      </c>
      <c r="H625" s="118"/>
      <c r="I625" s="118">
        <v>6.88</v>
      </c>
      <c r="J625" s="118"/>
      <c r="K625" t="s">
        <v>1251</v>
      </c>
      <c r="L625" s="146" t="s">
        <v>1873</v>
      </c>
    </row>
    <row r="626" spans="1:12" x14ac:dyDescent="0.25">
      <c r="A626" t="s">
        <v>537</v>
      </c>
      <c r="B626" t="s">
        <v>538</v>
      </c>
      <c r="C626" t="s">
        <v>130</v>
      </c>
      <c r="D626" t="s">
        <v>1250</v>
      </c>
      <c r="E626" t="s">
        <v>720</v>
      </c>
      <c r="F626" t="s">
        <v>6</v>
      </c>
      <c r="G626" s="145">
        <v>1.8694708729761308E-2</v>
      </c>
      <c r="H626" s="118"/>
      <c r="I626" s="118">
        <v>3.36</v>
      </c>
      <c r="J626" s="118"/>
      <c r="K626" t="s">
        <v>1251</v>
      </c>
      <c r="L626" s="146" t="s">
        <v>1874</v>
      </c>
    </row>
    <row r="627" spans="1:12" x14ac:dyDescent="0.25">
      <c r="A627" t="s">
        <v>537</v>
      </c>
      <c r="B627" t="s">
        <v>538</v>
      </c>
      <c r="C627" t="s">
        <v>130</v>
      </c>
      <c r="D627" t="s">
        <v>1250</v>
      </c>
      <c r="E627" t="s">
        <v>737</v>
      </c>
      <c r="F627" t="s">
        <v>15</v>
      </c>
      <c r="G627" s="145">
        <v>2.2255605630668227E-2</v>
      </c>
      <c r="H627" s="118"/>
      <c r="I627" s="118">
        <v>4</v>
      </c>
      <c r="J627" s="118"/>
      <c r="K627" t="s">
        <v>1251</v>
      </c>
      <c r="L627" s="146" t="s">
        <v>1875</v>
      </c>
    </row>
    <row r="628" spans="1:12" x14ac:dyDescent="0.25">
      <c r="A628" t="s">
        <v>537</v>
      </c>
      <c r="B628" t="s">
        <v>538</v>
      </c>
      <c r="C628" t="s">
        <v>130</v>
      </c>
      <c r="D628" t="s">
        <v>1250</v>
      </c>
      <c r="E628" t="s">
        <v>788</v>
      </c>
      <c r="F628" t="s">
        <v>8</v>
      </c>
      <c r="G628" s="145">
        <v>0.33383408446002338</v>
      </c>
      <c r="H628" s="118"/>
      <c r="I628" s="118">
        <v>60</v>
      </c>
      <c r="J628" s="118"/>
      <c r="K628" t="s">
        <v>1251</v>
      </c>
      <c r="L628" s="146" t="s">
        <v>1876</v>
      </c>
    </row>
    <row r="629" spans="1:12" x14ac:dyDescent="0.25">
      <c r="A629" t="s">
        <v>537</v>
      </c>
      <c r="B629" t="s">
        <v>538</v>
      </c>
      <c r="C629" t="s">
        <v>130</v>
      </c>
      <c r="D629" t="s">
        <v>1250</v>
      </c>
      <c r="E629" t="s">
        <v>540</v>
      </c>
      <c r="F629" t="s">
        <v>15</v>
      </c>
      <c r="G629" s="145">
        <v>20.113503588716409</v>
      </c>
      <c r="H629" s="118"/>
      <c r="I629" s="118">
        <v>3615</v>
      </c>
      <c r="J629" s="118"/>
      <c r="K629" t="s">
        <v>1251</v>
      </c>
      <c r="L629" s="146" t="s">
        <v>1877</v>
      </c>
    </row>
    <row r="630" spans="1:12" x14ac:dyDescent="0.25">
      <c r="A630" t="s">
        <v>537</v>
      </c>
      <c r="B630" t="s">
        <v>538</v>
      </c>
      <c r="C630" t="s">
        <v>130</v>
      </c>
      <c r="D630" t="s">
        <v>1250</v>
      </c>
      <c r="E630" t="s">
        <v>897</v>
      </c>
      <c r="F630" t="s">
        <v>15</v>
      </c>
      <c r="G630" s="145">
        <v>8.3458521115005846E-2</v>
      </c>
      <c r="H630" s="118"/>
      <c r="I630" s="118">
        <v>15</v>
      </c>
      <c r="J630" s="118"/>
      <c r="K630" t="s">
        <v>1251</v>
      </c>
      <c r="L630" s="146" t="s">
        <v>1878</v>
      </c>
    </row>
    <row r="631" spans="1:12" x14ac:dyDescent="0.25">
      <c r="A631" t="s">
        <v>537</v>
      </c>
      <c r="B631" t="s">
        <v>538</v>
      </c>
      <c r="C631" t="s">
        <v>130</v>
      </c>
      <c r="D631" t="s">
        <v>1250</v>
      </c>
      <c r="E631" t="s">
        <v>928</v>
      </c>
      <c r="F631" t="s">
        <v>15</v>
      </c>
      <c r="G631" s="145">
        <v>2.2255605630668227E-2</v>
      </c>
      <c r="H631" s="118"/>
      <c r="I631" s="118">
        <v>4</v>
      </c>
      <c r="J631" s="118"/>
      <c r="K631" t="s">
        <v>1251</v>
      </c>
      <c r="L631" s="146" t="s">
        <v>1879</v>
      </c>
    </row>
    <row r="632" spans="1:12" x14ac:dyDescent="0.25">
      <c r="A632" t="s">
        <v>537</v>
      </c>
      <c r="B632" t="s">
        <v>538</v>
      </c>
      <c r="C632" t="s">
        <v>130</v>
      </c>
      <c r="D632" t="s">
        <v>1246</v>
      </c>
      <c r="E632" t="s">
        <v>590</v>
      </c>
      <c r="F632" t="s">
        <v>130</v>
      </c>
      <c r="G632" s="145">
        <v>1</v>
      </c>
      <c r="H632" s="118"/>
      <c r="I632" s="118">
        <v>179.73</v>
      </c>
      <c r="J632" s="118"/>
      <c r="K632" t="s">
        <v>1251</v>
      </c>
      <c r="L632" s="146" t="s">
        <v>1880</v>
      </c>
    </row>
    <row r="633" spans="1:12" x14ac:dyDescent="0.25">
      <c r="A633" t="s">
        <v>537</v>
      </c>
      <c r="B633" t="s">
        <v>538</v>
      </c>
      <c r="C633" t="s">
        <v>130</v>
      </c>
      <c r="D633" t="s">
        <v>1248</v>
      </c>
      <c r="E633" t="s">
        <v>1186</v>
      </c>
      <c r="F633" t="s">
        <v>15</v>
      </c>
      <c r="G633" s="145">
        <v>1.7025538307461192</v>
      </c>
      <c r="H633" s="118"/>
      <c r="I633" s="118">
        <v>306</v>
      </c>
      <c r="J633" s="118"/>
      <c r="K633" t="s">
        <v>1251</v>
      </c>
      <c r="L633" s="146" t="s">
        <v>1881</v>
      </c>
    </row>
    <row r="634" spans="1:12" x14ac:dyDescent="0.25">
      <c r="A634" t="s">
        <v>537</v>
      </c>
      <c r="B634" t="s">
        <v>538</v>
      </c>
      <c r="C634" t="s">
        <v>130</v>
      </c>
      <c r="D634" t="s">
        <v>1248</v>
      </c>
      <c r="E634" t="s">
        <v>1198</v>
      </c>
      <c r="F634" t="s">
        <v>15</v>
      </c>
      <c r="G634" s="145">
        <v>1.7025538307461192</v>
      </c>
      <c r="H634" s="118"/>
      <c r="I634" s="118">
        <v>306</v>
      </c>
      <c r="J634" s="118"/>
      <c r="K634" t="s">
        <v>1251</v>
      </c>
      <c r="L634" s="146" t="s">
        <v>1882</v>
      </c>
    </row>
    <row r="635" spans="1:12" x14ac:dyDescent="0.25">
      <c r="A635" t="s">
        <v>576</v>
      </c>
      <c r="B635" t="s">
        <v>577</v>
      </c>
      <c r="C635" t="s">
        <v>88</v>
      </c>
      <c r="D635" t="s">
        <v>1250</v>
      </c>
      <c r="E635" t="s">
        <v>543</v>
      </c>
      <c r="F635" t="s">
        <v>105</v>
      </c>
      <c r="G635" s="145"/>
      <c r="H635" s="118"/>
      <c r="I635" s="118"/>
      <c r="J635" s="118">
        <v>1</v>
      </c>
      <c r="L635" s="146" t="s">
        <v>1883</v>
      </c>
    </row>
    <row r="636" spans="1:12" x14ac:dyDescent="0.25">
      <c r="A636" t="s">
        <v>576</v>
      </c>
      <c r="B636" t="s">
        <v>577</v>
      </c>
      <c r="C636" t="s">
        <v>88</v>
      </c>
      <c r="D636" t="s">
        <v>1250</v>
      </c>
      <c r="E636" t="s">
        <v>720</v>
      </c>
      <c r="F636" t="s">
        <v>6</v>
      </c>
      <c r="G636" s="145"/>
      <c r="H636" s="118"/>
      <c r="I636" s="118"/>
      <c r="J636" s="118">
        <v>1.28</v>
      </c>
      <c r="L636" s="146" t="s">
        <v>1884</v>
      </c>
    </row>
    <row r="637" spans="1:12" x14ac:dyDescent="0.25">
      <c r="A637" t="s">
        <v>576</v>
      </c>
      <c r="B637" t="s">
        <v>577</v>
      </c>
      <c r="C637" t="s">
        <v>88</v>
      </c>
      <c r="D637" t="s">
        <v>1250</v>
      </c>
      <c r="E637" t="s">
        <v>788</v>
      </c>
      <c r="F637" t="s">
        <v>8</v>
      </c>
      <c r="G637" s="145"/>
      <c r="H637" s="118"/>
      <c r="I637" s="118"/>
      <c r="J637" s="118">
        <v>12</v>
      </c>
      <c r="L637" s="146" t="s">
        <v>1885</v>
      </c>
    </row>
    <row r="638" spans="1:12" x14ac:dyDescent="0.25">
      <c r="A638" t="s">
        <v>576</v>
      </c>
      <c r="B638" t="s">
        <v>577</v>
      </c>
      <c r="C638" t="s">
        <v>88</v>
      </c>
      <c r="D638" t="s">
        <v>1250</v>
      </c>
      <c r="E638" t="s">
        <v>47</v>
      </c>
      <c r="F638" t="s">
        <v>6</v>
      </c>
      <c r="G638" s="145"/>
      <c r="H638" s="118"/>
      <c r="I638" s="118"/>
      <c r="J638" s="118">
        <v>14.5</v>
      </c>
      <c r="L638" s="146" t="s">
        <v>1886</v>
      </c>
    </row>
    <row r="639" spans="1:12" x14ac:dyDescent="0.25">
      <c r="A639" t="s">
        <v>576</v>
      </c>
      <c r="B639" t="s">
        <v>577</v>
      </c>
      <c r="C639" t="s">
        <v>88</v>
      </c>
      <c r="D639" t="s">
        <v>1250</v>
      </c>
      <c r="E639" t="s">
        <v>370</v>
      </c>
      <c r="F639" t="s">
        <v>144</v>
      </c>
      <c r="G639" s="145"/>
      <c r="H639" s="118"/>
      <c r="I639" s="118"/>
      <c r="J639" s="118">
        <v>0.08</v>
      </c>
      <c r="L639" s="146" t="s">
        <v>1887</v>
      </c>
    </row>
    <row r="640" spans="1:12" x14ac:dyDescent="0.25">
      <c r="A640" t="s">
        <v>576</v>
      </c>
      <c r="B640" t="s">
        <v>577</v>
      </c>
      <c r="C640" t="s">
        <v>88</v>
      </c>
      <c r="D640" t="s">
        <v>1250</v>
      </c>
      <c r="E640" t="s">
        <v>603</v>
      </c>
      <c r="F640" t="s">
        <v>6</v>
      </c>
      <c r="G640" s="145"/>
      <c r="H640" s="118"/>
      <c r="I640" s="118"/>
      <c r="J640" s="118">
        <v>0.44</v>
      </c>
      <c r="L640" s="146" t="s">
        <v>1888</v>
      </c>
    </row>
    <row r="641" spans="1:12" x14ac:dyDescent="0.25">
      <c r="A641" t="s">
        <v>576</v>
      </c>
      <c r="B641" t="s">
        <v>577</v>
      </c>
      <c r="C641" t="s">
        <v>88</v>
      </c>
      <c r="D641" t="s">
        <v>1250</v>
      </c>
      <c r="E641" t="s">
        <v>969</v>
      </c>
      <c r="F641" t="s">
        <v>6</v>
      </c>
      <c r="G641" s="145"/>
      <c r="H641" s="118"/>
      <c r="I641" s="118"/>
      <c r="J641" s="118">
        <v>4.5</v>
      </c>
      <c r="L641" s="146" t="s">
        <v>1889</v>
      </c>
    </row>
    <row r="642" spans="1:12" x14ac:dyDescent="0.25">
      <c r="A642" t="s">
        <v>576</v>
      </c>
      <c r="B642" t="s">
        <v>577</v>
      </c>
      <c r="C642" t="s">
        <v>88</v>
      </c>
      <c r="D642" t="s">
        <v>1250</v>
      </c>
      <c r="E642" t="s">
        <v>602</v>
      </c>
      <c r="F642" t="s">
        <v>6</v>
      </c>
      <c r="G642" s="145"/>
      <c r="H642" s="118"/>
      <c r="I642" s="118"/>
      <c r="J642" s="118">
        <v>0.56000000000000005</v>
      </c>
      <c r="L642" s="146" t="s">
        <v>1890</v>
      </c>
    </row>
    <row r="643" spans="1:12" x14ac:dyDescent="0.25">
      <c r="A643" t="s">
        <v>576</v>
      </c>
      <c r="B643" t="s">
        <v>577</v>
      </c>
      <c r="C643" t="s">
        <v>88</v>
      </c>
      <c r="D643" t="s">
        <v>1250</v>
      </c>
      <c r="E643" t="s">
        <v>989</v>
      </c>
      <c r="F643" t="s">
        <v>15</v>
      </c>
      <c r="G643" s="145"/>
      <c r="H643" s="118"/>
      <c r="I643" s="118"/>
      <c r="J643" s="118">
        <v>1</v>
      </c>
      <c r="L643" s="146" t="s">
        <v>1891</v>
      </c>
    </row>
    <row r="644" spans="1:12" x14ac:dyDescent="0.25">
      <c r="A644" t="s">
        <v>576</v>
      </c>
      <c r="B644" t="s">
        <v>577</v>
      </c>
      <c r="C644" t="s">
        <v>88</v>
      </c>
      <c r="D644" t="s">
        <v>1250</v>
      </c>
      <c r="E644" t="s">
        <v>1029</v>
      </c>
      <c r="F644" t="s">
        <v>15</v>
      </c>
      <c r="G644" s="145"/>
      <c r="H644" s="118"/>
      <c r="I644" s="118"/>
      <c r="J644" s="118">
        <v>2</v>
      </c>
      <c r="L644" s="146" t="s">
        <v>1892</v>
      </c>
    </row>
    <row r="645" spans="1:12" x14ac:dyDescent="0.25">
      <c r="A645" t="s">
        <v>576</v>
      </c>
      <c r="B645" t="s">
        <v>577</v>
      </c>
      <c r="C645" t="s">
        <v>88</v>
      </c>
      <c r="D645" t="s">
        <v>1250</v>
      </c>
      <c r="E645" t="s">
        <v>1047</v>
      </c>
      <c r="F645" t="s">
        <v>236</v>
      </c>
      <c r="G645" s="145"/>
      <c r="H645" s="118"/>
      <c r="I645" s="118"/>
      <c r="J645" s="118">
        <v>104</v>
      </c>
      <c r="L645" s="146" t="s">
        <v>1893</v>
      </c>
    </row>
    <row r="646" spans="1:12" x14ac:dyDescent="0.25">
      <c r="A646" t="s">
        <v>576</v>
      </c>
      <c r="B646" t="s">
        <v>577</v>
      </c>
      <c r="C646" t="s">
        <v>88</v>
      </c>
      <c r="D646" t="s">
        <v>1246</v>
      </c>
      <c r="E646" t="s">
        <v>578</v>
      </c>
      <c r="F646" t="s">
        <v>579</v>
      </c>
      <c r="G646" s="145"/>
      <c r="H646" s="118"/>
      <c r="I646" s="118"/>
      <c r="J646" s="118">
        <v>1</v>
      </c>
      <c r="L646" s="146" t="s">
        <v>1894</v>
      </c>
    </row>
    <row r="647" spans="1:12" x14ac:dyDescent="0.25">
      <c r="A647" t="s">
        <v>576</v>
      </c>
      <c r="B647" t="s">
        <v>577</v>
      </c>
      <c r="C647" t="s">
        <v>88</v>
      </c>
      <c r="D647" t="s">
        <v>1248</v>
      </c>
      <c r="E647" t="s">
        <v>328</v>
      </c>
      <c r="F647" t="s">
        <v>78</v>
      </c>
      <c r="G647" s="145"/>
      <c r="H647" s="118"/>
      <c r="I647" s="118"/>
      <c r="J647" s="118">
        <v>10</v>
      </c>
      <c r="L647" s="146" t="s">
        <v>1895</v>
      </c>
    </row>
    <row r="648" spans="1:12" x14ac:dyDescent="0.25">
      <c r="A648" t="s">
        <v>576</v>
      </c>
      <c r="B648" t="s">
        <v>577</v>
      </c>
      <c r="C648" t="s">
        <v>88</v>
      </c>
      <c r="D648" t="s">
        <v>1248</v>
      </c>
      <c r="E648" t="s">
        <v>1200</v>
      </c>
      <c r="F648" t="s">
        <v>15</v>
      </c>
      <c r="G648" s="145"/>
      <c r="H648" s="118"/>
      <c r="I648" s="118"/>
      <c r="J648" s="118">
        <v>1</v>
      </c>
      <c r="L648" s="146" t="s">
        <v>1896</v>
      </c>
    </row>
    <row r="649" spans="1:12" x14ac:dyDescent="0.25">
      <c r="A649" t="s">
        <v>576</v>
      </c>
      <c r="B649" t="s">
        <v>577</v>
      </c>
      <c r="C649" t="s">
        <v>88</v>
      </c>
      <c r="D649" t="s">
        <v>1248</v>
      </c>
      <c r="E649" t="s">
        <v>1203</v>
      </c>
      <c r="F649" t="s">
        <v>6</v>
      </c>
      <c r="G649" s="145"/>
      <c r="H649" s="118"/>
      <c r="I649" s="118"/>
      <c r="J649" s="118">
        <v>12</v>
      </c>
      <c r="L649" s="146" t="s">
        <v>1897</v>
      </c>
    </row>
    <row r="650" spans="1:12" x14ac:dyDescent="0.25">
      <c r="A650" t="s">
        <v>576</v>
      </c>
      <c r="B650" t="s">
        <v>577</v>
      </c>
      <c r="C650" t="s">
        <v>88</v>
      </c>
      <c r="D650" t="s">
        <v>1248</v>
      </c>
      <c r="E650" t="s">
        <v>563</v>
      </c>
      <c r="F650" t="s">
        <v>564</v>
      </c>
      <c r="G650" s="145"/>
      <c r="H650" s="118"/>
      <c r="I650" s="118"/>
      <c r="J650" s="118">
        <v>3</v>
      </c>
      <c r="L650" s="146" t="s">
        <v>1898</v>
      </c>
    </row>
    <row r="651" spans="1:12" x14ac:dyDescent="0.25">
      <c r="A651" t="s">
        <v>576</v>
      </c>
      <c r="B651" t="s">
        <v>581</v>
      </c>
      <c r="C651" t="s">
        <v>88</v>
      </c>
      <c r="D651" t="s">
        <v>1250</v>
      </c>
      <c r="E651" t="s">
        <v>543</v>
      </c>
      <c r="F651" t="s">
        <v>105</v>
      </c>
      <c r="G651" s="145"/>
      <c r="H651" s="118"/>
      <c r="I651" s="118"/>
      <c r="J651" s="118">
        <v>2</v>
      </c>
      <c r="L651" s="146" t="s">
        <v>1883</v>
      </c>
    </row>
    <row r="652" spans="1:12" x14ac:dyDescent="0.25">
      <c r="A652" t="s">
        <v>576</v>
      </c>
      <c r="B652" t="s">
        <v>581</v>
      </c>
      <c r="C652" t="s">
        <v>88</v>
      </c>
      <c r="D652" t="s">
        <v>1250</v>
      </c>
      <c r="E652" t="s">
        <v>717</v>
      </c>
      <c r="F652" t="s">
        <v>6</v>
      </c>
      <c r="G652" s="145"/>
      <c r="H652" s="118"/>
      <c r="I652" s="118"/>
      <c r="J652" s="118">
        <v>3.12</v>
      </c>
      <c r="L652" s="146" t="s">
        <v>1899</v>
      </c>
    </row>
    <row r="653" spans="1:12" x14ac:dyDescent="0.25">
      <c r="A653" t="s">
        <v>576</v>
      </c>
      <c r="B653" t="s">
        <v>581</v>
      </c>
      <c r="C653" t="s">
        <v>88</v>
      </c>
      <c r="D653" t="s">
        <v>1250</v>
      </c>
      <c r="E653" t="s">
        <v>720</v>
      </c>
      <c r="F653" t="s">
        <v>6</v>
      </c>
      <c r="G653" s="145"/>
      <c r="H653" s="118"/>
      <c r="I653" s="118"/>
      <c r="J653" s="118">
        <v>1.92</v>
      </c>
      <c r="L653" s="146" t="s">
        <v>1884</v>
      </c>
    </row>
    <row r="654" spans="1:12" x14ac:dyDescent="0.25">
      <c r="A654" t="s">
        <v>576</v>
      </c>
      <c r="B654" t="s">
        <v>581</v>
      </c>
      <c r="C654" t="s">
        <v>88</v>
      </c>
      <c r="D654" t="s">
        <v>1250</v>
      </c>
      <c r="E654" t="s">
        <v>733</v>
      </c>
      <c r="F654" t="s">
        <v>15</v>
      </c>
      <c r="G654" s="145"/>
      <c r="H654" s="118"/>
      <c r="I654" s="118"/>
      <c r="J654" s="118">
        <v>40</v>
      </c>
      <c r="L654" s="146" t="s">
        <v>1900</v>
      </c>
    </row>
    <row r="655" spans="1:12" x14ac:dyDescent="0.25">
      <c r="A655" t="s">
        <v>576</v>
      </c>
      <c r="B655" t="s">
        <v>581</v>
      </c>
      <c r="C655" t="s">
        <v>88</v>
      </c>
      <c r="D655" t="s">
        <v>1250</v>
      </c>
      <c r="E655" t="s">
        <v>739</v>
      </c>
      <c r="F655" t="s">
        <v>15</v>
      </c>
      <c r="G655" s="145"/>
      <c r="H655" s="118"/>
      <c r="I655" s="118"/>
      <c r="J655" s="118">
        <v>2</v>
      </c>
      <c r="L655" s="146" t="s">
        <v>1901</v>
      </c>
    </row>
    <row r="656" spans="1:12" x14ac:dyDescent="0.25">
      <c r="A656" t="s">
        <v>576</v>
      </c>
      <c r="B656" t="s">
        <v>581</v>
      </c>
      <c r="C656" t="s">
        <v>88</v>
      </c>
      <c r="D656" t="s">
        <v>1250</v>
      </c>
      <c r="E656" t="s">
        <v>788</v>
      </c>
      <c r="F656" t="s">
        <v>8</v>
      </c>
      <c r="G656" s="145"/>
      <c r="H656" s="118"/>
      <c r="I656" s="118"/>
      <c r="J656" s="118">
        <v>69</v>
      </c>
      <c r="L656" s="146" t="s">
        <v>1885</v>
      </c>
    </row>
    <row r="657" spans="1:12" x14ac:dyDescent="0.25">
      <c r="A657" t="s">
        <v>576</v>
      </c>
      <c r="B657" t="s">
        <v>581</v>
      </c>
      <c r="C657" t="s">
        <v>88</v>
      </c>
      <c r="D657" t="s">
        <v>1250</v>
      </c>
      <c r="E657" t="s">
        <v>798</v>
      </c>
      <c r="F657" t="s">
        <v>15</v>
      </c>
      <c r="G657" s="145"/>
      <c r="H657" s="118"/>
      <c r="I657" s="118"/>
      <c r="J657" s="118">
        <v>14</v>
      </c>
      <c r="L657" s="146" t="s">
        <v>1902</v>
      </c>
    </row>
    <row r="658" spans="1:12" x14ac:dyDescent="0.25">
      <c r="A658" t="s">
        <v>576</v>
      </c>
      <c r="B658" t="s">
        <v>581</v>
      </c>
      <c r="C658" t="s">
        <v>88</v>
      </c>
      <c r="D658" t="s">
        <v>1250</v>
      </c>
      <c r="E658" t="s">
        <v>814</v>
      </c>
      <c r="F658" t="s">
        <v>30</v>
      </c>
      <c r="G658" s="145"/>
      <c r="H658" s="118"/>
      <c r="I658" s="118"/>
      <c r="J658" s="118">
        <v>1</v>
      </c>
      <c r="L658" s="146" t="s">
        <v>1903</v>
      </c>
    </row>
    <row r="659" spans="1:12" x14ac:dyDescent="0.25">
      <c r="A659" t="s">
        <v>576</v>
      </c>
      <c r="B659" t="s">
        <v>581</v>
      </c>
      <c r="C659" t="s">
        <v>88</v>
      </c>
      <c r="D659" t="s">
        <v>1250</v>
      </c>
      <c r="E659" t="s">
        <v>818</v>
      </c>
      <c r="F659" t="s">
        <v>30</v>
      </c>
      <c r="G659" s="145"/>
      <c r="H659" s="118"/>
      <c r="I659" s="118"/>
      <c r="J659" s="118">
        <v>2</v>
      </c>
      <c r="L659" s="146" t="s">
        <v>1904</v>
      </c>
    </row>
    <row r="660" spans="1:12" x14ac:dyDescent="0.25">
      <c r="A660" t="s">
        <v>576</v>
      </c>
      <c r="B660" t="s">
        <v>581</v>
      </c>
      <c r="C660" t="s">
        <v>88</v>
      </c>
      <c r="D660" t="s">
        <v>1250</v>
      </c>
      <c r="E660" t="s">
        <v>822</v>
      </c>
      <c r="F660" t="s">
        <v>30</v>
      </c>
      <c r="G660" s="145"/>
      <c r="H660" s="118"/>
      <c r="I660" s="118"/>
      <c r="J660" s="118">
        <v>3</v>
      </c>
      <c r="L660" s="146" t="s">
        <v>1905</v>
      </c>
    </row>
    <row r="661" spans="1:12" x14ac:dyDescent="0.25">
      <c r="A661" t="s">
        <v>576</v>
      </c>
      <c r="B661" t="s">
        <v>581</v>
      </c>
      <c r="C661" t="s">
        <v>88</v>
      </c>
      <c r="D661" t="s">
        <v>1250</v>
      </c>
      <c r="E661" t="s">
        <v>407</v>
      </c>
      <c r="F661" t="s">
        <v>15</v>
      </c>
      <c r="G661" s="145"/>
      <c r="H661" s="118"/>
      <c r="I661" s="118"/>
      <c r="J661" s="118">
        <v>12</v>
      </c>
      <c r="L661" s="146" t="s">
        <v>1906</v>
      </c>
    </row>
    <row r="662" spans="1:12" x14ac:dyDescent="0.25">
      <c r="A662" t="s">
        <v>576</v>
      </c>
      <c r="B662" t="s">
        <v>581</v>
      </c>
      <c r="C662" t="s">
        <v>88</v>
      </c>
      <c r="D662" t="s">
        <v>1250</v>
      </c>
      <c r="E662" t="s">
        <v>876</v>
      </c>
      <c r="F662" t="s">
        <v>23</v>
      </c>
      <c r="G662" s="145"/>
      <c r="H662" s="118"/>
      <c r="I662" s="118"/>
      <c r="J662" s="118">
        <v>2.08</v>
      </c>
      <c r="L662" s="146" t="s">
        <v>1907</v>
      </c>
    </row>
    <row r="663" spans="1:12" x14ac:dyDescent="0.25">
      <c r="A663" t="s">
        <v>576</v>
      </c>
      <c r="B663" t="s">
        <v>581</v>
      </c>
      <c r="C663" t="s">
        <v>88</v>
      </c>
      <c r="D663" t="s">
        <v>1250</v>
      </c>
      <c r="E663" t="s">
        <v>47</v>
      </c>
      <c r="F663" t="s">
        <v>6</v>
      </c>
      <c r="G663" s="145"/>
      <c r="H663" s="118"/>
      <c r="I663" s="118"/>
      <c r="J663" s="118">
        <v>72.5</v>
      </c>
      <c r="L663" s="146" t="s">
        <v>1886</v>
      </c>
    </row>
    <row r="664" spans="1:12" x14ac:dyDescent="0.25">
      <c r="A664" t="s">
        <v>576</v>
      </c>
      <c r="B664" t="s">
        <v>581</v>
      </c>
      <c r="C664" t="s">
        <v>88</v>
      </c>
      <c r="D664" t="s">
        <v>1250</v>
      </c>
      <c r="E664" t="s">
        <v>572</v>
      </c>
      <c r="F664" t="s">
        <v>15</v>
      </c>
      <c r="G664" s="145"/>
      <c r="H664" s="118"/>
      <c r="I664" s="118"/>
      <c r="J664" s="118">
        <v>1</v>
      </c>
      <c r="L664" s="146" t="s">
        <v>1908</v>
      </c>
    </row>
    <row r="665" spans="1:12" x14ac:dyDescent="0.25">
      <c r="A665" t="s">
        <v>576</v>
      </c>
      <c r="B665" t="s">
        <v>581</v>
      </c>
      <c r="C665" t="s">
        <v>88</v>
      </c>
      <c r="D665" t="s">
        <v>1250</v>
      </c>
      <c r="E665" t="s">
        <v>64</v>
      </c>
      <c r="F665" t="s">
        <v>15</v>
      </c>
      <c r="G665" s="145"/>
      <c r="H665" s="118"/>
      <c r="I665" s="118"/>
      <c r="J665" s="118">
        <v>24</v>
      </c>
      <c r="L665" s="146" t="s">
        <v>1909</v>
      </c>
    </row>
    <row r="666" spans="1:12" x14ac:dyDescent="0.25">
      <c r="A666" t="s">
        <v>576</v>
      </c>
      <c r="B666" t="s">
        <v>581</v>
      </c>
      <c r="C666" t="s">
        <v>88</v>
      </c>
      <c r="D666" t="s">
        <v>1250</v>
      </c>
      <c r="E666" t="s">
        <v>919</v>
      </c>
      <c r="F666" t="s">
        <v>15</v>
      </c>
      <c r="G666" s="145"/>
      <c r="H666" s="118"/>
      <c r="I666" s="118"/>
      <c r="J666" s="118">
        <v>1</v>
      </c>
      <c r="L666" s="146" t="s">
        <v>1910</v>
      </c>
    </row>
    <row r="667" spans="1:12" x14ac:dyDescent="0.25">
      <c r="A667" t="s">
        <v>576</v>
      </c>
      <c r="B667" t="s">
        <v>581</v>
      </c>
      <c r="C667" t="s">
        <v>88</v>
      </c>
      <c r="D667" t="s">
        <v>1250</v>
      </c>
      <c r="E667" t="s">
        <v>921</v>
      </c>
      <c r="F667" t="s">
        <v>15</v>
      </c>
      <c r="G667" s="145"/>
      <c r="H667" s="118"/>
      <c r="I667" s="118"/>
      <c r="J667" s="118">
        <v>1</v>
      </c>
      <c r="L667" s="146" t="s">
        <v>1911</v>
      </c>
    </row>
    <row r="668" spans="1:12" x14ac:dyDescent="0.25">
      <c r="A668" t="s">
        <v>576</v>
      </c>
      <c r="B668" t="s">
        <v>581</v>
      </c>
      <c r="C668" t="s">
        <v>88</v>
      </c>
      <c r="D668" t="s">
        <v>1250</v>
      </c>
      <c r="E668" t="s">
        <v>937</v>
      </c>
      <c r="F668" t="s">
        <v>6</v>
      </c>
      <c r="G668" s="145"/>
      <c r="H668" s="118"/>
      <c r="I668" s="118"/>
      <c r="J668" s="118">
        <v>12</v>
      </c>
      <c r="L668" s="146" t="s">
        <v>1912</v>
      </c>
    </row>
    <row r="669" spans="1:12" x14ac:dyDescent="0.25">
      <c r="A669" t="s">
        <v>576</v>
      </c>
      <c r="B669" t="s">
        <v>581</v>
      </c>
      <c r="C669" t="s">
        <v>88</v>
      </c>
      <c r="D669" t="s">
        <v>1250</v>
      </c>
      <c r="E669" t="s">
        <v>370</v>
      </c>
      <c r="F669" t="s">
        <v>144</v>
      </c>
      <c r="G669" s="145"/>
      <c r="H669" s="118"/>
      <c r="I669" s="118"/>
      <c r="J669" s="118">
        <v>0.22</v>
      </c>
      <c r="L669" s="146" t="s">
        <v>1887</v>
      </c>
    </row>
    <row r="670" spans="1:12" x14ac:dyDescent="0.25">
      <c r="A670" t="s">
        <v>576</v>
      </c>
      <c r="B670" t="s">
        <v>581</v>
      </c>
      <c r="C670" t="s">
        <v>88</v>
      </c>
      <c r="D670" t="s">
        <v>1250</v>
      </c>
      <c r="E670" t="s">
        <v>603</v>
      </c>
      <c r="F670" t="s">
        <v>6</v>
      </c>
      <c r="G670" s="145"/>
      <c r="H670" s="118"/>
      <c r="I670" s="118"/>
      <c r="J670" s="118">
        <v>1.1200000000000001</v>
      </c>
      <c r="L670" s="146" t="s">
        <v>1888</v>
      </c>
    </row>
    <row r="671" spans="1:12" x14ac:dyDescent="0.25">
      <c r="A671" t="s">
        <v>576</v>
      </c>
      <c r="B671" t="s">
        <v>581</v>
      </c>
      <c r="C671" t="s">
        <v>88</v>
      </c>
      <c r="D671" t="s">
        <v>1250</v>
      </c>
      <c r="E671" t="s">
        <v>969</v>
      </c>
      <c r="F671" t="s">
        <v>6</v>
      </c>
      <c r="G671" s="145"/>
      <c r="H671" s="118"/>
      <c r="I671" s="118"/>
      <c r="J671" s="118">
        <v>7.5</v>
      </c>
      <c r="L671" s="146" t="s">
        <v>1889</v>
      </c>
    </row>
    <row r="672" spans="1:12" x14ac:dyDescent="0.25">
      <c r="A672" t="s">
        <v>576</v>
      </c>
      <c r="B672" t="s">
        <v>581</v>
      </c>
      <c r="C672" t="s">
        <v>88</v>
      </c>
      <c r="D672" t="s">
        <v>1250</v>
      </c>
      <c r="E672" t="s">
        <v>973</v>
      </c>
      <c r="F672" t="s">
        <v>15</v>
      </c>
      <c r="G672" s="145"/>
      <c r="H672" s="118"/>
      <c r="I672" s="118"/>
      <c r="J672" s="118">
        <v>2</v>
      </c>
      <c r="L672" s="146" t="s">
        <v>1913</v>
      </c>
    </row>
    <row r="673" spans="1:12" x14ac:dyDescent="0.25">
      <c r="A673" t="s">
        <v>576</v>
      </c>
      <c r="B673" t="s">
        <v>581</v>
      </c>
      <c r="C673" t="s">
        <v>88</v>
      </c>
      <c r="D673" t="s">
        <v>1250</v>
      </c>
      <c r="E673" t="s">
        <v>259</v>
      </c>
      <c r="F673" t="s">
        <v>15</v>
      </c>
      <c r="G673" s="145"/>
      <c r="H673" s="118"/>
      <c r="I673" s="118"/>
      <c r="J673" s="118">
        <v>2</v>
      </c>
      <c r="L673" s="146" t="s">
        <v>1914</v>
      </c>
    </row>
    <row r="674" spans="1:12" x14ac:dyDescent="0.25">
      <c r="A674" t="s">
        <v>576</v>
      </c>
      <c r="B674" t="s">
        <v>581</v>
      </c>
      <c r="C674" t="s">
        <v>88</v>
      </c>
      <c r="D674" t="s">
        <v>1250</v>
      </c>
      <c r="E674" t="s">
        <v>602</v>
      </c>
      <c r="F674" t="s">
        <v>6</v>
      </c>
      <c r="G674" s="145"/>
      <c r="H674" s="118"/>
      <c r="I674" s="118"/>
      <c r="J674" s="118">
        <v>2.38</v>
      </c>
      <c r="L674" s="146" t="s">
        <v>1890</v>
      </c>
    </row>
    <row r="675" spans="1:12" x14ac:dyDescent="0.25">
      <c r="A675" t="s">
        <v>576</v>
      </c>
      <c r="B675" t="s">
        <v>581</v>
      </c>
      <c r="C675" t="s">
        <v>88</v>
      </c>
      <c r="D675" t="s">
        <v>1250</v>
      </c>
      <c r="E675" t="s">
        <v>989</v>
      </c>
      <c r="F675" t="s">
        <v>15</v>
      </c>
      <c r="G675" s="145"/>
      <c r="H675" s="118"/>
      <c r="I675" s="118"/>
      <c r="J675" s="118">
        <v>1</v>
      </c>
      <c r="L675" s="146" t="s">
        <v>1891</v>
      </c>
    </row>
    <row r="676" spans="1:12" x14ac:dyDescent="0.25">
      <c r="A676" t="s">
        <v>576</v>
      </c>
      <c r="B676" t="s">
        <v>581</v>
      </c>
      <c r="C676" t="s">
        <v>88</v>
      </c>
      <c r="D676" t="s">
        <v>1250</v>
      </c>
      <c r="E676" t="s">
        <v>991</v>
      </c>
      <c r="F676" t="s">
        <v>15</v>
      </c>
      <c r="G676" s="145"/>
      <c r="H676" s="118"/>
      <c r="I676" s="118"/>
      <c r="J676" s="118">
        <v>2</v>
      </c>
      <c r="L676" s="146" t="s">
        <v>1915</v>
      </c>
    </row>
    <row r="677" spans="1:12" x14ac:dyDescent="0.25">
      <c r="A677" t="s">
        <v>576</v>
      </c>
      <c r="B677" t="s">
        <v>581</v>
      </c>
      <c r="C677" t="s">
        <v>88</v>
      </c>
      <c r="D677" t="s">
        <v>1250</v>
      </c>
      <c r="E677" t="s">
        <v>360</v>
      </c>
      <c r="F677" t="s">
        <v>15</v>
      </c>
      <c r="G677" s="145"/>
      <c r="H677" s="118"/>
      <c r="I677" s="118"/>
      <c r="J677" s="118">
        <v>1</v>
      </c>
      <c r="L677" s="146" t="s">
        <v>1916</v>
      </c>
    </row>
    <row r="678" spans="1:12" x14ac:dyDescent="0.25">
      <c r="A678" t="s">
        <v>576</v>
      </c>
      <c r="B678" t="s">
        <v>581</v>
      </c>
      <c r="C678" t="s">
        <v>88</v>
      </c>
      <c r="D678" t="s">
        <v>1250</v>
      </c>
      <c r="E678" t="s">
        <v>1029</v>
      </c>
      <c r="F678" t="s">
        <v>15</v>
      </c>
      <c r="G678" s="145"/>
      <c r="H678" s="118"/>
      <c r="I678" s="118"/>
      <c r="J678" s="118">
        <v>10</v>
      </c>
      <c r="L678" s="146" t="s">
        <v>1892</v>
      </c>
    </row>
    <row r="679" spans="1:12" x14ac:dyDescent="0.25">
      <c r="A679" t="s">
        <v>576</v>
      </c>
      <c r="B679" t="s">
        <v>581</v>
      </c>
      <c r="C679" t="s">
        <v>88</v>
      </c>
      <c r="D679" t="s">
        <v>1250</v>
      </c>
      <c r="E679" t="s">
        <v>1044</v>
      </c>
      <c r="F679" t="s">
        <v>62</v>
      </c>
      <c r="G679" s="145"/>
      <c r="H679" s="118"/>
      <c r="I679" s="118"/>
      <c r="J679" s="118">
        <v>35</v>
      </c>
      <c r="L679" s="146" t="s">
        <v>1917</v>
      </c>
    </row>
    <row r="680" spans="1:12" x14ac:dyDescent="0.25">
      <c r="A680" t="s">
        <v>576</v>
      </c>
      <c r="B680" t="s">
        <v>581</v>
      </c>
      <c r="C680" t="s">
        <v>88</v>
      </c>
      <c r="D680" t="s">
        <v>1250</v>
      </c>
      <c r="E680" t="s">
        <v>1047</v>
      </c>
      <c r="F680" t="s">
        <v>236</v>
      </c>
      <c r="G680" s="145"/>
      <c r="H680" s="118"/>
      <c r="I680" s="118"/>
      <c r="J680" s="118">
        <v>180</v>
      </c>
      <c r="L680" s="146" t="s">
        <v>1893</v>
      </c>
    </row>
    <row r="681" spans="1:12" x14ac:dyDescent="0.25">
      <c r="A681" t="s">
        <v>576</v>
      </c>
      <c r="B681" t="s">
        <v>581</v>
      </c>
      <c r="C681" t="s">
        <v>88</v>
      </c>
      <c r="D681" t="s">
        <v>1250</v>
      </c>
      <c r="E681" t="s">
        <v>1051</v>
      </c>
      <c r="F681" t="s">
        <v>71</v>
      </c>
      <c r="G681" s="145"/>
      <c r="H681" s="118"/>
      <c r="I681" s="118"/>
      <c r="J681" s="118">
        <v>46</v>
      </c>
      <c r="L681" s="146" t="s">
        <v>1918</v>
      </c>
    </row>
    <row r="682" spans="1:12" x14ac:dyDescent="0.25">
      <c r="A682" t="s">
        <v>576</v>
      </c>
      <c r="B682" t="s">
        <v>581</v>
      </c>
      <c r="C682" t="s">
        <v>88</v>
      </c>
      <c r="D682" t="s">
        <v>1246</v>
      </c>
      <c r="E682" t="s">
        <v>588</v>
      </c>
      <c r="F682" t="s">
        <v>579</v>
      </c>
      <c r="G682" s="145"/>
      <c r="H682" s="118"/>
      <c r="I682" s="118"/>
      <c r="J682" s="118">
        <v>1</v>
      </c>
      <c r="L682" s="146" t="s">
        <v>1919</v>
      </c>
    </row>
    <row r="683" spans="1:12" x14ac:dyDescent="0.25">
      <c r="A683" t="s">
        <v>576</v>
      </c>
      <c r="B683" t="s">
        <v>581</v>
      </c>
      <c r="C683" t="s">
        <v>88</v>
      </c>
      <c r="D683" t="s">
        <v>1248</v>
      </c>
      <c r="E683" t="s">
        <v>328</v>
      </c>
      <c r="F683" t="s">
        <v>78</v>
      </c>
      <c r="G683" s="145"/>
      <c r="H683" s="118"/>
      <c r="I683" s="118"/>
      <c r="J683" s="118">
        <v>58.5</v>
      </c>
      <c r="L683" s="146" t="s">
        <v>1895</v>
      </c>
    </row>
    <row r="684" spans="1:12" x14ac:dyDescent="0.25">
      <c r="A684" t="s">
        <v>576</v>
      </c>
      <c r="B684" t="s">
        <v>581</v>
      </c>
      <c r="C684" t="s">
        <v>88</v>
      </c>
      <c r="D684" t="s">
        <v>1248</v>
      </c>
      <c r="E684" t="s">
        <v>1200</v>
      </c>
      <c r="F684" t="s">
        <v>15</v>
      </c>
      <c r="G684" s="145"/>
      <c r="H684" s="118"/>
      <c r="I684" s="118"/>
      <c r="J684" s="118">
        <v>3</v>
      </c>
      <c r="L684" s="146" t="s">
        <v>1896</v>
      </c>
    </row>
    <row r="685" spans="1:12" x14ac:dyDescent="0.25">
      <c r="A685" t="s">
        <v>576</v>
      </c>
      <c r="B685" t="s">
        <v>581</v>
      </c>
      <c r="C685" t="s">
        <v>88</v>
      </c>
      <c r="D685" t="s">
        <v>1248</v>
      </c>
      <c r="E685" t="s">
        <v>1203</v>
      </c>
      <c r="F685" t="s">
        <v>6</v>
      </c>
      <c r="G685" s="145"/>
      <c r="H685" s="118"/>
      <c r="I685" s="118"/>
      <c r="J685" s="118">
        <v>86</v>
      </c>
      <c r="L685" s="146" t="s">
        <v>1897</v>
      </c>
    </row>
    <row r="686" spans="1:12" x14ac:dyDescent="0.25">
      <c r="A686" t="s">
        <v>484</v>
      </c>
      <c r="B686" t="s">
        <v>483</v>
      </c>
      <c r="C686" t="s">
        <v>88</v>
      </c>
      <c r="D686" t="s">
        <v>1246</v>
      </c>
      <c r="E686" t="s">
        <v>1923</v>
      </c>
      <c r="F686" t="s">
        <v>88</v>
      </c>
      <c r="G686" s="145">
        <v>1</v>
      </c>
      <c r="K686" t="s">
        <v>1247</v>
      </c>
      <c r="L686" t="s">
        <v>1928</v>
      </c>
    </row>
    <row r="687" spans="1:12" x14ac:dyDescent="0.25">
      <c r="A687" t="s">
        <v>482</v>
      </c>
      <c r="B687" t="s">
        <v>481</v>
      </c>
      <c r="C687" t="s">
        <v>88</v>
      </c>
      <c r="D687" t="s">
        <v>1246</v>
      </c>
      <c r="E687" t="s">
        <v>1925</v>
      </c>
      <c r="F687" t="s">
        <v>88</v>
      </c>
      <c r="G687" s="145">
        <v>1</v>
      </c>
      <c r="K687" t="s">
        <v>1247</v>
      </c>
      <c r="L687" t="s">
        <v>1929</v>
      </c>
    </row>
    <row r="688" spans="1:12" x14ac:dyDescent="0.25">
      <c r="A688" t="s">
        <v>159</v>
      </c>
      <c r="B688" t="s">
        <v>158</v>
      </c>
      <c r="C688" t="s">
        <v>130</v>
      </c>
      <c r="D688" t="s">
        <v>1246</v>
      </c>
      <c r="E688" t="s">
        <v>1927</v>
      </c>
      <c r="F688" t="s">
        <v>130</v>
      </c>
      <c r="G688" s="145">
        <v>1</v>
      </c>
      <c r="K688" t="s">
        <v>1247</v>
      </c>
      <c r="L688" t="s">
        <v>1930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2524-C33F-44D9-89FA-2A3FC0B0164C}">
  <dimension ref="A1:C44"/>
  <sheetViews>
    <sheetView workbookViewId="0">
      <pane ySplit="4" topLeftCell="A9" activePane="bottomLeft" state="frozen"/>
      <selection pane="bottomLeft" activeCell="R12" sqref="R12"/>
    </sheetView>
  </sheetViews>
  <sheetFormatPr baseColWidth="10" defaultRowHeight="15" x14ac:dyDescent="0.25"/>
  <cols>
    <col min="1" max="1" width="3.85546875" customWidth="1"/>
    <col min="2" max="2" width="26.7109375" customWidth="1"/>
    <col min="3" max="3" width="161.85546875" customWidth="1"/>
  </cols>
  <sheetData>
    <row r="1" spans="1:3" ht="30" customHeight="1" x14ac:dyDescent="0.25">
      <c r="A1" s="190"/>
      <c r="B1" s="191"/>
      <c r="C1" s="191"/>
    </row>
    <row r="2" spans="1:3" x14ac:dyDescent="0.25">
      <c r="A2" s="192"/>
      <c r="B2" s="191"/>
      <c r="C2" s="191"/>
    </row>
    <row r="3" spans="1:3" x14ac:dyDescent="0.25">
      <c r="A3" s="189"/>
      <c r="B3" s="189"/>
      <c r="C3" s="189"/>
    </row>
    <row r="4" spans="1:3" x14ac:dyDescent="0.25">
      <c r="A4" s="197" t="s">
        <v>1933</v>
      </c>
      <c r="B4" s="197" t="s">
        <v>1934</v>
      </c>
      <c r="C4" s="197" t="s">
        <v>1935</v>
      </c>
    </row>
    <row r="5" spans="1:3" ht="30" customHeight="1" x14ac:dyDescent="0.25">
      <c r="A5" s="193">
        <v>1</v>
      </c>
      <c r="B5" s="193" t="s">
        <v>1936</v>
      </c>
      <c r="C5" s="199" t="s">
        <v>1937</v>
      </c>
    </row>
    <row r="6" spans="1:3" ht="249.95" customHeight="1" x14ac:dyDescent="0.25">
      <c r="A6" s="194">
        <v>2</v>
      </c>
      <c r="B6" s="194" t="s">
        <v>1938</v>
      </c>
      <c r="C6" s="200" t="s">
        <v>1939</v>
      </c>
    </row>
    <row r="7" spans="1:3" ht="30" customHeight="1" x14ac:dyDescent="0.25">
      <c r="A7" s="193">
        <v>3</v>
      </c>
      <c r="B7" s="193" t="s">
        <v>1940</v>
      </c>
      <c r="C7" s="199" t="s">
        <v>1941</v>
      </c>
    </row>
    <row r="8" spans="1:3" ht="138" customHeight="1" x14ac:dyDescent="0.25">
      <c r="A8" s="194">
        <v>4</v>
      </c>
      <c r="B8" s="194" t="s">
        <v>1942</v>
      </c>
      <c r="C8" s="200" t="s">
        <v>1943</v>
      </c>
    </row>
    <row r="9" spans="1:3" ht="30" customHeight="1" x14ac:dyDescent="0.25">
      <c r="A9" s="193">
        <v>5</v>
      </c>
      <c r="B9" s="193" t="s">
        <v>1944</v>
      </c>
      <c r="C9" s="199" t="s">
        <v>1945</v>
      </c>
    </row>
    <row r="10" spans="1:3" ht="138" customHeight="1" x14ac:dyDescent="0.25">
      <c r="A10" s="194">
        <v>6</v>
      </c>
      <c r="B10" s="194" t="s">
        <v>1946</v>
      </c>
      <c r="C10" s="200" t="s">
        <v>1947</v>
      </c>
    </row>
    <row r="11" spans="1:3" ht="74.099999999999994" customHeight="1" x14ac:dyDescent="0.25">
      <c r="A11" s="194">
        <v>7</v>
      </c>
      <c r="B11" s="194" t="s">
        <v>1948</v>
      </c>
      <c r="C11" s="200" t="s">
        <v>1949</v>
      </c>
    </row>
    <row r="12" spans="1:3" ht="122.1" customHeight="1" x14ac:dyDescent="0.25">
      <c r="A12" s="194">
        <v>8</v>
      </c>
      <c r="B12" s="194" t="s">
        <v>1950</v>
      </c>
      <c r="C12" s="200" t="s">
        <v>1951</v>
      </c>
    </row>
    <row r="13" spans="1:3" ht="30" customHeight="1" x14ac:dyDescent="0.25">
      <c r="A13" s="193">
        <v>9</v>
      </c>
      <c r="B13" s="193" t="s">
        <v>1952</v>
      </c>
      <c r="C13" s="199" t="s">
        <v>1953</v>
      </c>
    </row>
    <row r="14" spans="1:3" ht="186" customHeight="1" x14ac:dyDescent="0.25">
      <c r="A14" s="194">
        <v>10</v>
      </c>
      <c r="B14" s="194" t="s">
        <v>1954</v>
      </c>
      <c r="C14" s="200" t="s">
        <v>1955</v>
      </c>
    </row>
    <row r="15" spans="1:3" ht="30" customHeight="1" x14ac:dyDescent="0.25">
      <c r="A15" s="193">
        <v>11</v>
      </c>
      <c r="B15" s="193" t="s">
        <v>1956</v>
      </c>
      <c r="C15" s="199" t="s">
        <v>1957</v>
      </c>
    </row>
    <row r="16" spans="1:3" ht="362.1" customHeight="1" x14ac:dyDescent="0.25">
      <c r="A16" s="194">
        <v>12</v>
      </c>
      <c r="B16" s="194" t="s">
        <v>1958</v>
      </c>
      <c r="C16" s="200" t="s">
        <v>1959</v>
      </c>
    </row>
    <row r="17" spans="1:3" ht="170.1" customHeight="1" x14ac:dyDescent="0.25">
      <c r="A17" s="194">
        <v>13</v>
      </c>
      <c r="B17" s="194" t="s">
        <v>1960</v>
      </c>
      <c r="C17" s="200" t="s">
        <v>1961</v>
      </c>
    </row>
    <row r="18" spans="1:3" ht="30" customHeight="1" x14ac:dyDescent="0.25">
      <c r="A18" s="193">
        <v>14</v>
      </c>
      <c r="B18" s="193" t="s">
        <v>1962</v>
      </c>
      <c r="C18" s="199" t="s">
        <v>1963</v>
      </c>
    </row>
    <row r="19" spans="1:3" ht="30" customHeight="1" x14ac:dyDescent="0.25">
      <c r="A19" s="194">
        <v>15</v>
      </c>
      <c r="B19" s="194" t="s">
        <v>1964</v>
      </c>
      <c r="C19" s="200" t="s">
        <v>1965</v>
      </c>
    </row>
    <row r="20" spans="1:3" x14ac:dyDescent="0.25">
      <c r="A20" s="195"/>
      <c r="B20" s="195"/>
      <c r="C20" s="195"/>
    </row>
    <row r="21" spans="1:3" x14ac:dyDescent="0.25">
      <c r="A21" s="195"/>
      <c r="B21" s="195" t="s">
        <v>1966</v>
      </c>
      <c r="C21" s="195"/>
    </row>
    <row r="22" spans="1:3" ht="18.75" x14ac:dyDescent="0.25">
      <c r="A22" s="198"/>
      <c r="B22" s="196"/>
      <c r="C22" s="196"/>
    </row>
    <row r="23" spans="1:3" ht="30" x14ac:dyDescent="0.25">
      <c r="A23" s="195"/>
      <c r="B23" s="195" t="s">
        <v>1967</v>
      </c>
      <c r="C23" s="195"/>
    </row>
    <row r="24" spans="1:3" x14ac:dyDescent="0.25">
      <c r="A24" s="195"/>
      <c r="B24" s="195" t="s">
        <v>1968</v>
      </c>
      <c r="C24" s="195" t="s">
        <v>1969</v>
      </c>
    </row>
    <row r="25" spans="1:3" x14ac:dyDescent="0.25">
      <c r="A25" s="195"/>
      <c r="B25" s="195" t="s">
        <v>1970</v>
      </c>
      <c r="C25" s="195" t="s">
        <v>1971</v>
      </c>
    </row>
    <row r="26" spans="1:3" x14ac:dyDescent="0.25">
      <c r="A26" s="195"/>
      <c r="B26" s="195" t="s">
        <v>1972</v>
      </c>
      <c r="C26" s="195" t="s">
        <v>1973</v>
      </c>
    </row>
    <row r="27" spans="1:3" x14ac:dyDescent="0.25">
      <c r="A27" s="195"/>
      <c r="B27" s="195" t="s">
        <v>1974</v>
      </c>
      <c r="C27" s="195" t="s">
        <v>1975</v>
      </c>
    </row>
    <row r="28" spans="1:3" x14ac:dyDescent="0.25">
      <c r="A28" s="195"/>
      <c r="B28" s="195" t="s">
        <v>1976</v>
      </c>
      <c r="C28" s="195" t="s">
        <v>1977</v>
      </c>
    </row>
    <row r="29" spans="1:3" x14ac:dyDescent="0.25">
      <c r="A29" s="195"/>
      <c r="B29" s="195" t="s">
        <v>1978</v>
      </c>
      <c r="C29" s="195" t="s">
        <v>1979</v>
      </c>
    </row>
    <row r="30" spans="1:3" ht="30" x14ac:dyDescent="0.25">
      <c r="A30" s="195"/>
      <c r="B30" s="195" t="s">
        <v>1980</v>
      </c>
      <c r="C30" s="195" t="s">
        <v>1981</v>
      </c>
    </row>
    <row r="31" spans="1:3" ht="30" x14ac:dyDescent="0.25">
      <c r="A31" s="195"/>
      <c r="B31" s="195" t="s">
        <v>1982</v>
      </c>
      <c r="C31" s="195" t="s">
        <v>1983</v>
      </c>
    </row>
    <row r="32" spans="1:3" x14ac:dyDescent="0.25">
      <c r="A32" s="195"/>
      <c r="B32" s="195"/>
      <c r="C32" s="195"/>
    </row>
    <row r="33" spans="1:3" x14ac:dyDescent="0.25">
      <c r="A33" s="195"/>
      <c r="B33" s="195" t="s">
        <v>1984</v>
      </c>
      <c r="C33" s="195"/>
    </row>
    <row r="34" spans="1:3" x14ac:dyDescent="0.25">
      <c r="A34" s="195"/>
      <c r="B34" s="195" t="s">
        <v>1985</v>
      </c>
      <c r="C34" s="195" t="s">
        <v>1986</v>
      </c>
    </row>
    <row r="35" spans="1:3" x14ac:dyDescent="0.25">
      <c r="A35" s="195"/>
      <c r="B35" s="195" t="s">
        <v>1987</v>
      </c>
      <c r="C35" s="195" t="s">
        <v>1988</v>
      </c>
    </row>
    <row r="36" spans="1:3" x14ac:dyDescent="0.25">
      <c r="A36" s="195"/>
      <c r="B36" s="195" t="s">
        <v>1989</v>
      </c>
      <c r="C36" s="195" t="s">
        <v>1990</v>
      </c>
    </row>
    <row r="37" spans="1:3" x14ac:dyDescent="0.25">
      <c r="A37" s="195"/>
      <c r="B37" s="195" t="s">
        <v>1991</v>
      </c>
      <c r="C37" s="195" t="s">
        <v>1992</v>
      </c>
    </row>
    <row r="38" spans="1:3" x14ac:dyDescent="0.25">
      <c r="A38" s="195"/>
      <c r="B38" s="195"/>
      <c r="C38" s="195"/>
    </row>
    <row r="39" spans="1:3" x14ac:dyDescent="0.25">
      <c r="A39" s="195"/>
      <c r="B39" s="195" t="s">
        <v>1993</v>
      </c>
      <c r="C39" s="195"/>
    </row>
    <row r="40" spans="1:3" x14ac:dyDescent="0.25">
      <c r="A40" s="195"/>
      <c r="B40" s="195">
        <v>1</v>
      </c>
      <c r="C40" s="195" t="s">
        <v>1994</v>
      </c>
    </row>
    <row r="41" spans="1:3" x14ac:dyDescent="0.25">
      <c r="A41" s="195"/>
      <c r="B41" s="195">
        <v>2</v>
      </c>
      <c r="C41" s="195" t="s">
        <v>1995</v>
      </c>
    </row>
    <row r="42" spans="1:3" x14ac:dyDescent="0.25">
      <c r="A42" s="195"/>
      <c r="B42" s="195">
        <v>3</v>
      </c>
      <c r="C42" s="195" t="s">
        <v>1996</v>
      </c>
    </row>
    <row r="43" spans="1:3" x14ac:dyDescent="0.25">
      <c r="A43" s="195"/>
      <c r="B43" s="195">
        <v>4</v>
      </c>
      <c r="C43" s="195" t="s">
        <v>1997</v>
      </c>
    </row>
    <row r="44" spans="1:3" x14ac:dyDescent="0.25">
      <c r="A44" s="195"/>
      <c r="B44" s="195">
        <v>5</v>
      </c>
      <c r="C44" s="195" t="s">
        <v>1998</v>
      </c>
    </row>
  </sheetData>
  <mergeCells count="3">
    <mergeCell ref="A1:C1"/>
    <mergeCell ref="A2:C2"/>
    <mergeCell ref="A22:C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5157-6FA3-4F2D-ADF6-3F1B9B6FBF69}">
  <dimension ref="A1:L94"/>
  <sheetViews>
    <sheetView workbookViewId="0">
      <pane ySplit="1" topLeftCell="A2" activePane="bottomLeft" state="frozen"/>
      <selection pane="bottomLeft" activeCell="R12" sqref="R12"/>
    </sheetView>
  </sheetViews>
  <sheetFormatPr baseColWidth="10" defaultRowHeight="15" x14ac:dyDescent="0.25"/>
  <cols>
    <col min="1" max="1" width="13.28515625" customWidth="1"/>
    <col min="2" max="2" width="10.42578125" customWidth="1"/>
    <col min="3" max="3" width="61" customWidth="1"/>
    <col min="4" max="4" width="9.5703125" customWidth="1"/>
    <col min="5" max="8" width="14.28515625" customWidth="1"/>
    <col min="9" max="12" width="13.28515625" customWidth="1"/>
  </cols>
  <sheetData>
    <row r="1" spans="1:12" x14ac:dyDescent="0.25">
      <c r="A1" t="s">
        <v>1999</v>
      </c>
      <c r="B1" t="s">
        <v>2000</v>
      </c>
      <c r="C1" t="s">
        <v>2001</v>
      </c>
      <c r="D1" t="s">
        <v>2002</v>
      </c>
      <c r="E1" t="s">
        <v>2003</v>
      </c>
      <c r="F1" t="s">
        <v>2004</v>
      </c>
      <c r="G1" t="s">
        <v>2005</v>
      </c>
      <c r="H1" t="s">
        <v>2006</v>
      </c>
      <c r="I1" t="s">
        <v>2007</v>
      </c>
      <c r="J1" t="s">
        <v>2008</v>
      </c>
      <c r="K1" t="s">
        <v>2009</v>
      </c>
      <c r="L1" t="s">
        <v>2010</v>
      </c>
    </row>
    <row r="2" spans="1:12" x14ac:dyDescent="0.25">
      <c r="A2" t="s">
        <v>494</v>
      </c>
      <c r="B2">
        <v>1</v>
      </c>
      <c r="C2" t="s">
        <v>493</v>
      </c>
      <c r="D2" t="s">
        <v>88</v>
      </c>
      <c r="E2" s="106">
        <v>160</v>
      </c>
      <c r="F2" s="106">
        <v>0.73757644672546796</v>
      </c>
      <c r="G2" s="106">
        <v>0.48171490506202103</v>
      </c>
      <c r="H2" s="106">
        <v>0.12609280430396799</v>
      </c>
      <c r="I2">
        <v>1</v>
      </c>
      <c r="J2">
        <v>0</v>
      </c>
      <c r="K2">
        <v>1</v>
      </c>
      <c r="L2">
        <v>1</v>
      </c>
    </row>
    <row r="3" spans="1:12" x14ac:dyDescent="0.25">
      <c r="A3" t="s">
        <v>491</v>
      </c>
      <c r="B3">
        <v>1</v>
      </c>
      <c r="C3" t="s">
        <v>2011</v>
      </c>
      <c r="D3" t="s">
        <v>130</v>
      </c>
      <c r="E3" s="106">
        <v>1.50747926787519</v>
      </c>
      <c r="F3" s="106">
        <v>1.4155222963213401</v>
      </c>
      <c r="G3" s="106">
        <v>1.1585612781502099</v>
      </c>
      <c r="H3" s="106">
        <v>0.97282132649630104</v>
      </c>
      <c r="I3">
        <v>17</v>
      </c>
      <c r="J3">
        <v>1</v>
      </c>
      <c r="K3">
        <v>1</v>
      </c>
      <c r="L3">
        <v>0</v>
      </c>
    </row>
    <row r="4" spans="1:12" x14ac:dyDescent="0.25">
      <c r="A4" t="s">
        <v>484</v>
      </c>
      <c r="B4">
        <v>1</v>
      </c>
      <c r="C4" t="s">
        <v>483</v>
      </c>
      <c r="D4" t="s">
        <v>88</v>
      </c>
      <c r="E4" s="106">
        <v>300</v>
      </c>
      <c r="F4" s="106">
        <v>0.92197055840683495</v>
      </c>
      <c r="G4" s="106">
        <v>1.20428726265505</v>
      </c>
      <c r="H4" s="106">
        <v>0.31523201075991902</v>
      </c>
      <c r="I4">
        <v>1</v>
      </c>
      <c r="J4">
        <v>0</v>
      </c>
      <c r="K4">
        <v>1</v>
      </c>
      <c r="L4">
        <v>1</v>
      </c>
    </row>
    <row r="5" spans="1:12" x14ac:dyDescent="0.25">
      <c r="A5" t="s">
        <v>482</v>
      </c>
      <c r="B5">
        <v>1</v>
      </c>
      <c r="C5" t="s">
        <v>481</v>
      </c>
      <c r="D5" t="s">
        <v>88</v>
      </c>
      <c r="E5" s="106">
        <v>300</v>
      </c>
      <c r="F5" s="106">
        <v>300</v>
      </c>
      <c r="G5" s="106">
        <v>300</v>
      </c>
      <c r="H5" s="106">
        <v>300</v>
      </c>
      <c r="I5">
        <v>1</v>
      </c>
      <c r="J5">
        <v>0</v>
      </c>
      <c r="K5">
        <v>1</v>
      </c>
      <c r="L5">
        <v>0</v>
      </c>
    </row>
    <row r="6" spans="1:12" x14ac:dyDescent="0.25">
      <c r="A6" t="s">
        <v>480</v>
      </c>
      <c r="B6">
        <v>1</v>
      </c>
      <c r="C6" t="s">
        <v>479</v>
      </c>
      <c r="D6" t="s">
        <v>88</v>
      </c>
      <c r="E6" s="106">
        <v>1282.36348632524</v>
      </c>
      <c r="F6" s="106">
        <v>3.09463413135007</v>
      </c>
      <c r="G6" s="106">
        <v>2.4544618843081398</v>
      </c>
      <c r="H6" s="106">
        <v>0.93983156102891696</v>
      </c>
      <c r="I6">
        <v>27</v>
      </c>
      <c r="J6">
        <v>1</v>
      </c>
      <c r="K6">
        <v>1</v>
      </c>
      <c r="L6">
        <v>0</v>
      </c>
    </row>
    <row r="7" spans="1:12" x14ac:dyDescent="0.25">
      <c r="A7" t="s">
        <v>458</v>
      </c>
      <c r="B7">
        <v>1</v>
      </c>
      <c r="C7" t="s">
        <v>457</v>
      </c>
      <c r="D7" t="s">
        <v>3</v>
      </c>
      <c r="E7" s="106">
        <v>26.061315763976499</v>
      </c>
      <c r="F7" s="106">
        <v>4.4366229029905204</v>
      </c>
      <c r="G7" s="106">
        <v>3.5902645108412199</v>
      </c>
      <c r="H7" s="106">
        <v>3.0924760383386598</v>
      </c>
      <c r="I7">
        <v>11</v>
      </c>
      <c r="J7">
        <v>1</v>
      </c>
      <c r="K7">
        <v>1</v>
      </c>
      <c r="L7">
        <v>0</v>
      </c>
    </row>
    <row r="8" spans="1:12" x14ac:dyDescent="0.25">
      <c r="A8" t="s">
        <v>452</v>
      </c>
      <c r="B8">
        <v>1</v>
      </c>
      <c r="C8" t="s">
        <v>451</v>
      </c>
      <c r="D8" t="s">
        <v>88</v>
      </c>
      <c r="E8" s="106">
        <v>89.29</v>
      </c>
      <c r="F8" s="106"/>
      <c r="G8" s="106"/>
      <c r="H8" s="106">
        <v>89.29</v>
      </c>
      <c r="I8">
        <v>1</v>
      </c>
      <c r="J8">
        <v>0</v>
      </c>
      <c r="K8">
        <v>1</v>
      </c>
      <c r="L8">
        <v>0</v>
      </c>
    </row>
    <row r="9" spans="1:12" x14ac:dyDescent="0.25">
      <c r="A9" t="s">
        <v>447</v>
      </c>
      <c r="B9">
        <v>2</v>
      </c>
      <c r="C9" t="s">
        <v>446</v>
      </c>
      <c r="D9" t="s">
        <v>6</v>
      </c>
      <c r="E9" s="106">
        <v>1.1599999999999999</v>
      </c>
      <c r="F9" s="106"/>
      <c r="G9" s="106">
        <v>1.25</v>
      </c>
      <c r="H9" s="106">
        <v>1.07</v>
      </c>
      <c r="I9">
        <v>1</v>
      </c>
      <c r="J9">
        <v>0</v>
      </c>
      <c r="K9">
        <v>0</v>
      </c>
      <c r="L9">
        <v>1</v>
      </c>
    </row>
    <row r="10" spans="1:12" x14ac:dyDescent="0.25">
      <c r="A10" t="s">
        <v>444</v>
      </c>
      <c r="B10">
        <v>2</v>
      </c>
      <c r="C10" t="s">
        <v>443</v>
      </c>
      <c r="D10" t="s">
        <v>6</v>
      </c>
      <c r="E10" s="106">
        <v>20.285</v>
      </c>
      <c r="F10" s="106"/>
      <c r="G10" s="106">
        <v>36.78</v>
      </c>
      <c r="H10" s="106">
        <v>3.79</v>
      </c>
      <c r="I10">
        <v>1</v>
      </c>
      <c r="J10">
        <v>0</v>
      </c>
      <c r="K10">
        <v>0</v>
      </c>
      <c r="L10">
        <v>1</v>
      </c>
    </row>
    <row r="11" spans="1:12" x14ac:dyDescent="0.25">
      <c r="A11" t="s">
        <v>441</v>
      </c>
      <c r="B11">
        <v>2</v>
      </c>
      <c r="C11" t="s">
        <v>440</v>
      </c>
      <c r="D11" t="s">
        <v>6</v>
      </c>
      <c r="E11" s="106">
        <v>2.8833333333333302</v>
      </c>
      <c r="F11" s="106">
        <v>3</v>
      </c>
      <c r="G11" s="106">
        <v>3</v>
      </c>
      <c r="H11" s="106">
        <v>2.65</v>
      </c>
      <c r="I11">
        <v>1</v>
      </c>
      <c r="J11">
        <v>0</v>
      </c>
      <c r="K11">
        <v>1</v>
      </c>
      <c r="L11">
        <v>0</v>
      </c>
    </row>
    <row r="12" spans="1:12" x14ac:dyDescent="0.25">
      <c r="A12" t="s">
        <v>438</v>
      </c>
      <c r="B12">
        <v>2</v>
      </c>
      <c r="C12" t="s">
        <v>2012</v>
      </c>
      <c r="D12" t="s">
        <v>130</v>
      </c>
      <c r="E12" s="106">
        <v>0.62666666666666704</v>
      </c>
      <c r="F12" s="106">
        <v>0.65</v>
      </c>
      <c r="G12" s="106">
        <v>0.65</v>
      </c>
      <c r="H12" s="106">
        <v>0.57999999999999996</v>
      </c>
      <c r="I12">
        <v>1</v>
      </c>
      <c r="J12">
        <v>0</v>
      </c>
      <c r="K12">
        <v>0</v>
      </c>
      <c r="L12">
        <v>1</v>
      </c>
    </row>
    <row r="13" spans="1:12" x14ac:dyDescent="0.25">
      <c r="A13" t="s">
        <v>435</v>
      </c>
      <c r="B13">
        <v>2</v>
      </c>
      <c r="C13" t="s">
        <v>434</v>
      </c>
      <c r="D13" t="s">
        <v>130</v>
      </c>
      <c r="E13" s="106">
        <v>0.74052311659605796</v>
      </c>
      <c r="F13" s="106">
        <v>0.7</v>
      </c>
      <c r="G13" s="106">
        <v>0.7</v>
      </c>
      <c r="H13" s="106">
        <v>0.74052311659605796</v>
      </c>
      <c r="I13">
        <v>2</v>
      </c>
      <c r="J13">
        <v>0</v>
      </c>
      <c r="K13">
        <v>1</v>
      </c>
      <c r="L13">
        <v>1</v>
      </c>
    </row>
    <row r="14" spans="1:12" x14ac:dyDescent="0.25">
      <c r="A14" t="s">
        <v>431</v>
      </c>
      <c r="B14">
        <v>2</v>
      </c>
      <c r="C14" t="s">
        <v>430</v>
      </c>
      <c r="D14" t="s">
        <v>6</v>
      </c>
      <c r="E14" s="106">
        <v>3.92</v>
      </c>
      <c r="F14" s="106">
        <v>3.92</v>
      </c>
      <c r="G14" s="106"/>
      <c r="H14" s="106"/>
      <c r="I14">
        <v>1</v>
      </c>
      <c r="J14">
        <v>0</v>
      </c>
      <c r="K14">
        <v>0</v>
      </c>
      <c r="L14">
        <v>1</v>
      </c>
    </row>
    <row r="15" spans="1:12" x14ac:dyDescent="0.25">
      <c r="A15" t="s">
        <v>428</v>
      </c>
      <c r="B15">
        <v>2</v>
      </c>
      <c r="C15" t="s">
        <v>427</v>
      </c>
      <c r="D15" t="s">
        <v>88</v>
      </c>
      <c r="E15" s="106">
        <v>400</v>
      </c>
      <c r="F15" s="106">
        <v>350</v>
      </c>
      <c r="G15" s="106">
        <v>350</v>
      </c>
      <c r="H15" s="106">
        <v>500</v>
      </c>
      <c r="I15">
        <v>1</v>
      </c>
      <c r="J15">
        <v>0</v>
      </c>
      <c r="K15">
        <v>0</v>
      </c>
      <c r="L15">
        <v>1</v>
      </c>
    </row>
    <row r="16" spans="1:12" x14ac:dyDescent="0.25">
      <c r="A16" t="s">
        <v>425</v>
      </c>
      <c r="B16">
        <v>2</v>
      </c>
      <c r="C16" t="s">
        <v>424</v>
      </c>
      <c r="D16" t="s">
        <v>3</v>
      </c>
      <c r="E16" s="106">
        <v>3.9</v>
      </c>
      <c r="F16" s="106"/>
      <c r="G16" s="106">
        <v>3.9</v>
      </c>
      <c r="H16" s="106">
        <v>3.9</v>
      </c>
      <c r="I16">
        <v>1</v>
      </c>
      <c r="J16">
        <v>0</v>
      </c>
      <c r="K16">
        <v>1</v>
      </c>
      <c r="L16">
        <v>0</v>
      </c>
    </row>
    <row r="17" spans="1:12" x14ac:dyDescent="0.25">
      <c r="A17" t="s">
        <v>422</v>
      </c>
      <c r="B17">
        <v>2</v>
      </c>
      <c r="C17" t="s">
        <v>421</v>
      </c>
      <c r="D17" t="s">
        <v>3</v>
      </c>
      <c r="E17" s="106">
        <v>3.9</v>
      </c>
      <c r="F17" s="106"/>
      <c r="G17" s="106">
        <v>3.9</v>
      </c>
      <c r="H17" s="106"/>
      <c r="I17">
        <v>1</v>
      </c>
      <c r="J17">
        <v>0</v>
      </c>
      <c r="K17">
        <v>1</v>
      </c>
      <c r="L17">
        <v>0</v>
      </c>
    </row>
    <row r="18" spans="1:12" x14ac:dyDescent="0.25">
      <c r="A18" t="s">
        <v>417</v>
      </c>
      <c r="B18">
        <v>2</v>
      </c>
      <c r="C18" t="s">
        <v>416</v>
      </c>
      <c r="D18" t="s">
        <v>6</v>
      </c>
      <c r="E18" s="106">
        <v>12.641903446743299</v>
      </c>
      <c r="F18" s="106">
        <v>14.251991641635099</v>
      </c>
      <c r="G18" s="106">
        <v>7.5</v>
      </c>
      <c r="H18" s="106">
        <v>11.365148585184899</v>
      </c>
      <c r="I18">
        <v>2</v>
      </c>
      <c r="J18">
        <v>0</v>
      </c>
      <c r="K18">
        <v>1</v>
      </c>
      <c r="L18">
        <v>1</v>
      </c>
    </row>
    <row r="19" spans="1:12" x14ac:dyDescent="0.25">
      <c r="A19" t="s">
        <v>414</v>
      </c>
      <c r="B19">
        <v>2</v>
      </c>
      <c r="C19" t="s">
        <v>413</v>
      </c>
      <c r="D19" t="s">
        <v>6</v>
      </c>
      <c r="E19" s="106">
        <v>13.0761018046361</v>
      </c>
      <c r="F19" s="106">
        <v>15.3294190871369</v>
      </c>
      <c r="G19" s="106">
        <v>13.622624113475201</v>
      </c>
      <c r="H19" s="106">
        <v>10.157457205963601</v>
      </c>
      <c r="I19">
        <v>3</v>
      </c>
      <c r="J19">
        <v>1</v>
      </c>
      <c r="K19">
        <v>1</v>
      </c>
      <c r="L19">
        <v>1</v>
      </c>
    </row>
    <row r="20" spans="1:12" x14ac:dyDescent="0.25">
      <c r="A20" t="s">
        <v>409</v>
      </c>
      <c r="B20">
        <v>2</v>
      </c>
      <c r="C20" t="s">
        <v>408</v>
      </c>
      <c r="D20" t="s">
        <v>130</v>
      </c>
      <c r="E20" s="106">
        <v>3.4203636644087401</v>
      </c>
      <c r="F20" s="106"/>
      <c r="G20" s="106"/>
      <c r="H20" s="106">
        <v>3.4999172967863901</v>
      </c>
      <c r="I20">
        <v>5</v>
      </c>
      <c r="J20">
        <v>1</v>
      </c>
      <c r="K20">
        <v>1</v>
      </c>
      <c r="L20">
        <v>1</v>
      </c>
    </row>
    <row r="21" spans="1:12" x14ac:dyDescent="0.25">
      <c r="A21" t="s">
        <v>403</v>
      </c>
      <c r="B21">
        <v>3</v>
      </c>
      <c r="C21" t="s">
        <v>402</v>
      </c>
      <c r="D21" t="s">
        <v>130</v>
      </c>
      <c r="E21" s="106">
        <v>3.04900678532083</v>
      </c>
      <c r="F21" s="106">
        <v>3.22806920134069</v>
      </c>
      <c r="G21" s="106">
        <v>3.0403731807438699</v>
      </c>
      <c r="H21" s="106">
        <v>2.7852165745008199</v>
      </c>
      <c r="I21">
        <v>5</v>
      </c>
      <c r="J21">
        <v>1</v>
      </c>
      <c r="K21">
        <v>1</v>
      </c>
      <c r="L21">
        <v>1</v>
      </c>
    </row>
    <row r="22" spans="1:12" x14ac:dyDescent="0.25">
      <c r="A22" t="s">
        <v>399</v>
      </c>
      <c r="B22">
        <v>3</v>
      </c>
      <c r="C22" t="s">
        <v>398</v>
      </c>
      <c r="D22" t="s">
        <v>30</v>
      </c>
      <c r="E22" s="106">
        <v>1.38751054852321</v>
      </c>
      <c r="F22" s="106">
        <v>1.38751054852321</v>
      </c>
      <c r="G22" s="106"/>
      <c r="H22" s="106"/>
      <c r="I22">
        <v>2</v>
      </c>
      <c r="J22">
        <v>1</v>
      </c>
      <c r="K22">
        <v>1</v>
      </c>
      <c r="L22">
        <v>0</v>
      </c>
    </row>
    <row r="23" spans="1:12" x14ac:dyDescent="0.25">
      <c r="A23" t="s">
        <v>395</v>
      </c>
      <c r="B23">
        <v>3</v>
      </c>
      <c r="C23" t="s">
        <v>394</v>
      </c>
      <c r="D23" t="s">
        <v>30</v>
      </c>
      <c r="E23" s="106">
        <v>1.24568328649337</v>
      </c>
      <c r="F23" s="106">
        <v>1.3946657592059799</v>
      </c>
      <c r="G23" s="106">
        <v>1.18177456826011</v>
      </c>
      <c r="H23" s="106">
        <v>1.12649661774475</v>
      </c>
      <c r="I23">
        <v>8</v>
      </c>
      <c r="J23">
        <v>1</v>
      </c>
      <c r="K23">
        <v>1</v>
      </c>
      <c r="L23">
        <v>1</v>
      </c>
    </row>
    <row r="24" spans="1:12" x14ac:dyDescent="0.25">
      <c r="A24" t="s">
        <v>392</v>
      </c>
      <c r="B24">
        <v>3</v>
      </c>
      <c r="C24" t="s">
        <v>391</v>
      </c>
      <c r="D24" t="s">
        <v>30</v>
      </c>
      <c r="E24" s="106">
        <v>1.6140944473511301</v>
      </c>
      <c r="F24" s="106">
        <v>1.55258901629451</v>
      </c>
      <c r="G24" s="106">
        <v>1.4692080173620701</v>
      </c>
      <c r="H24" s="106">
        <v>1.82927114675164</v>
      </c>
      <c r="I24">
        <v>8</v>
      </c>
      <c r="J24">
        <v>1</v>
      </c>
      <c r="K24">
        <v>1</v>
      </c>
      <c r="L24">
        <v>1</v>
      </c>
    </row>
    <row r="25" spans="1:12" x14ac:dyDescent="0.25">
      <c r="A25" t="s">
        <v>389</v>
      </c>
      <c r="B25">
        <v>3</v>
      </c>
      <c r="C25" t="s">
        <v>388</v>
      </c>
      <c r="D25" t="s">
        <v>30</v>
      </c>
      <c r="E25" s="106">
        <v>1.22296755810155</v>
      </c>
      <c r="F25" s="106">
        <v>1.2175225340309901</v>
      </c>
      <c r="G25" s="106">
        <v>1.24725784742748</v>
      </c>
      <c r="H25" s="106">
        <v>0.41154082210618598</v>
      </c>
      <c r="I25">
        <v>6</v>
      </c>
      <c r="J25">
        <v>1</v>
      </c>
      <c r="K25">
        <v>1</v>
      </c>
      <c r="L25">
        <v>0</v>
      </c>
    </row>
    <row r="26" spans="1:12" x14ac:dyDescent="0.25">
      <c r="A26" t="s">
        <v>385</v>
      </c>
      <c r="B26">
        <v>3</v>
      </c>
      <c r="C26" t="s">
        <v>384</v>
      </c>
      <c r="D26" t="s">
        <v>30</v>
      </c>
      <c r="E26" s="106">
        <v>1.6492449482352101</v>
      </c>
      <c r="F26" s="106">
        <v>1.4141139599733501</v>
      </c>
      <c r="G26" s="106">
        <v>1.52869736606343</v>
      </c>
      <c r="H26" s="106">
        <v>1.92085455723853</v>
      </c>
      <c r="I26">
        <v>7</v>
      </c>
      <c r="J26">
        <v>1</v>
      </c>
      <c r="K26">
        <v>1</v>
      </c>
      <c r="L26">
        <v>0</v>
      </c>
    </row>
    <row r="27" spans="1:12" x14ac:dyDescent="0.25">
      <c r="A27" t="s">
        <v>379</v>
      </c>
      <c r="B27">
        <v>3</v>
      </c>
      <c r="C27" t="s">
        <v>378</v>
      </c>
      <c r="D27" t="s">
        <v>30</v>
      </c>
      <c r="E27" s="106">
        <v>1.4161791362153699</v>
      </c>
      <c r="F27" s="106"/>
      <c r="G27" s="106">
        <v>1.40834576794443</v>
      </c>
      <c r="H27" s="106">
        <v>1.42402068735402</v>
      </c>
      <c r="I27">
        <v>2</v>
      </c>
      <c r="J27">
        <v>1</v>
      </c>
      <c r="K27">
        <v>1</v>
      </c>
      <c r="L27">
        <v>0</v>
      </c>
    </row>
    <row r="28" spans="1:12" x14ac:dyDescent="0.25">
      <c r="A28" t="s">
        <v>374</v>
      </c>
      <c r="B28">
        <v>3</v>
      </c>
      <c r="C28" t="s">
        <v>373</v>
      </c>
      <c r="D28" t="s">
        <v>130</v>
      </c>
      <c r="E28" s="106">
        <v>1.1723939408112001</v>
      </c>
      <c r="F28" s="106">
        <v>0.84771182273579404</v>
      </c>
      <c r="G28" s="106">
        <v>0.80298194862300398</v>
      </c>
      <c r="H28" s="106">
        <v>0.53723370695551398</v>
      </c>
      <c r="I28">
        <v>6</v>
      </c>
      <c r="J28">
        <v>1</v>
      </c>
      <c r="K28">
        <v>1</v>
      </c>
      <c r="L28">
        <v>0</v>
      </c>
    </row>
    <row r="29" spans="1:12" x14ac:dyDescent="0.25">
      <c r="A29" t="s">
        <v>368</v>
      </c>
      <c r="B29">
        <v>3</v>
      </c>
      <c r="C29" t="s">
        <v>2013</v>
      </c>
      <c r="D29" t="s">
        <v>130</v>
      </c>
      <c r="E29" s="106">
        <v>19.648491299411202</v>
      </c>
      <c r="F29" s="106">
        <v>17.0600771382034</v>
      </c>
      <c r="G29" s="106">
        <v>19.162520249942101</v>
      </c>
      <c r="H29" s="106">
        <v>17.8176649877052</v>
      </c>
      <c r="I29">
        <v>24</v>
      </c>
      <c r="J29">
        <v>1</v>
      </c>
      <c r="K29">
        <v>1</v>
      </c>
      <c r="L29">
        <v>1</v>
      </c>
    </row>
    <row r="30" spans="1:12" x14ac:dyDescent="0.25">
      <c r="A30" t="s">
        <v>355</v>
      </c>
      <c r="B30">
        <v>3</v>
      </c>
      <c r="C30" t="s">
        <v>354</v>
      </c>
      <c r="D30" t="s">
        <v>58</v>
      </c>
      <c r="E30" s="106">
        <v>6.7753546099290798</v>
      </c>
      <c r="F30" s="106"/>
      <c r="G30" s="106">
        <v>7.03475177304965</v>
      </c>
      <c r="H30" s="106"/>
      <c r="I30">
        <v>2</v>
      </c>
      <c r="J30">
        <v>1</v>
      </c>
      <c r="K30">
        <v>1</v>
      </c>
      <c r="L30">
        <v>0</v>
      </c>
    </row>
    <row r="31" spans="1:12" x14ac:dyDescent="0.25">
      <c r="A31" t="s">
        <v>351</v>
      </c>
      <c r="B31">
        <v>3</v>
      </c>
      <c r="C31" t="s">
        <v>350</v>
      </c>
      <c r="D31" t="s">
        <v>6</v>
      </c>
      <c r="E31" s="106">
        <v>60.760625986413501</v>
      </c>
      <c r="F31" s="106">
        <v>82.378475336322893</v>
      </c>
      <c r="G31" s="106">
        <v>57.001845018450197</v>
      </c>
      <c r="H31" s="106">
        <v>29.869281045751599</v>
      </c>
      <c r="I31">
        <v>4</v>
      </c>
      <c r="J31">
        <v>1</v>
      </c>
      <c r="K31">
        <v>1</v>
      </c>
      <c r="L31">
        <v>0</v>
      </c>
    </row>
    <row r="32" spans="1:12" x14ac:dyDescent="0.25">
      <c r="A32" t="s">
        <v>347</v>
      </c>
      <c r="B32">
        <v>3</v>
      </c>
      <c r="C32" t="s">
        <v>346</v>
      </c>
      <c r="D32" t="s">
        <v>6</v>
      </c>
      <c r="E32" s="106">
        <v>113.401151276768</v>
      </c>
      <c r="F32" s="106">
        <v>113.623636363636</v>
      </c>
      <c r="G32" s="106">
        <v>113.786</v>
      </c>
      <c r="H32" s="106">
        <v>112.79381746666699</v>
      </c>
      <c r="I32">
        <v>4</v>
      </c>
      <c r="J32">
        <v>1</v>
      </c>
      <c r="K32">
        <v>1</v>
      </c>
      <c r="L32">
        <v>1</v>
      </c>
    </row>
    <row r="33" spans="1:12" x14ac:dyDescent="0.25">
      <c r="A33" t="s">
        <v>343</v>
      </c>
      <c r="B33">
        <v>3</v>
      </c>
      <c r="C33" t="s">
        <v>342</v>
      </c>
      <c r="D33" t="s">
        <v>6</v>
      </c>
      <c r="E33" s="106">
        <v>116.405752999725</v>
      </c>
      <c r="F33" s="106">
        <v>117.591492234976</v>
      </c>
      <c r="G33" s="106">
        <v>34.417333333333303</v>
      </c>
      <c r="H33" s="106">
        <v>112.10638666666701</v>
      </c>
      <c r="I33">
        <v>5</v>
      </c>
      <c r="J33">
        <v>1</v>
      </c>
      <c r="K33">
        <v>1</v>
      </c>
      <c r="L33">
        <v>1</v>
      </c>
    </row>
    <row r="34" spans="1:12" x14ac:dyDescent="0.25">
      <c r="A34" t="s">
        <v>341</v>
      </c>
      <c r="B34">
        <v>3</v>
      </c>
      <c r="C34" t="s">
        <v>2014</v>
      </c>
      <c r="D34" t="s">
        <v>6</v>
      </c>
      <c r="E34" s="106">
        <v>94.736132276383501</v>
      </c>
      <c r="F34" s="106">
        <v>133.15651189127999</v>
      </c>
      <c r="G34" s="106"/>
      <c r="H34" s="106">
        <v>114.099811381132</v>
      </c>
      <c r="I34">
        <v>10</v>
      </c>
      <c r="J34">
        <v>1</v>
      </c>
      <c r="K34">
        <v>1</v>
      </c>
      <c r="L34">
        <v>1</v>
      </c>
    </row>
    <row r="35" spans="1:12" x14ac:dyDescent="0.25">
      <c r="A35" t="s">
        <v>337</v>
      </c>
      <c r="B35">
        <v>3</v>
      </c>
      <c r="C35" t="s">
        <v>336</v>
      </c>
      <c r="D35" t="s">
        <v>6</v>
      </c>
      <c r="E35" s="106">
        <v>150.20853383999199</v>
      </c>
      <c r="F35" s="106">
        <v>78.033076800000003</v>
      </c>
      <c r="G35" s="106">
        <v>110.222996515679</v>
      </c>
      <c r="H35" s="106">
        <v>139.11428571428601</v>
      </c>
      <c r="I35">
        <v>9</v>
      </c>
      <c r="J35">
        <v>1</v>
      </c>
      <c r="K35">
        <v>1</v>
      </c>
      <c r="L35">
        <v>1</v>
      </c>
    </row>
    <row r="36" spans="1:12" x14ac:dyDescent="0.25">
      <c r="A36" t="s">
        <v>333</v>
      </c>
      <c r="B36">
        <v>3</v>
      </c>
      <c r="C36" t="s">
        <v>332</v>
      </c>
      <c r="D36" t="s">
        <v>6</v>
      </c>
      <c r="E36" s="106">
        <v>152.40665414396099</v>
      </c>
      <c r="F36" s="106">
        <v>110.73527777777799</v>
      </c>
      <c r="G36" s="106">
        <v>102.10379241517001</v>
      </c>
      <c r="H36" s="106">
        <v>382.37799840000002</v>
      </c>
      <c r="I36">
        <v>11</v>
      </c>
      <c r="J36">
        <v>1</v>
      </c>
      <c r="K36">
        <v>1</v>
      </c>
      <c r="L36">
        <v>1</v>
      </c>
    </row>
    <row r="37" spans="1:12" x14ac:dyDescent="0.25">
      <c r="A37" t="s">
        <v>327</v>
      </c>
      <c r="B37">
        <v>3</v>
      </c>
      <c r="C37" t="s">
        <v>2015</v>
      </c>
      <c r="D37" t="s">
        <v>6</v>
      </c>
      <c r="E37" s="106">
        <v>126.383900055409</v>
      </c>
      <c r="F37" s="106">
        <v>125.76333333333299</v>
      </c>
      <c r="G37" s="106">
        <v>116.94305263157899</v>
      </c>
      <c r="H37" s="106"/>
      <c r="I37">
        <v>16</v>
      </c>
      <c r="J37">
        <v>1</v>
      </c>
      <c r="K37">
        <v>1</v>
      </c>
      <c r="L37">
        <v>1</v>
      </c>
    </row>
    <row r="38" spans="1:12" x14ac:dyDescent="0.25">
      <c r="A38" t="s">
        <v>319</v>
      </c>
      <c r="B38">
        <v>3</v>
      </c>
      <c r="C38" t="s">
        <v>318</v>
      </c>
      <c r="D38" t="s">
        <v>6</v>
      </c>
      <c r="E38" s="106">
        <v>103.289238867843</v>
      </c>
      <c r="F38" s="106">
        <v>90.225789047747497</v>
      </c>
      <c r="G38" s="106">
        <v>93.932389937106905</v>
      </c>
      <c r="H38" s="106">
        <v>115.412744186046</v>
      </c>
      <c r="I38">
        <v>11</v>
      </c>
      <c r="J38">
        <v>1</v>
      </c>
      <c r="K38">
        <v>1</v>
      </c>
      <c r="L38">
        <v>1</v>
      </c>
    </row>
    <row r="39" spans="1:12" x14ac:dyDescent="0.25">
      <c r="A39" t="s">
        <v>314</v>
      </c>
      <c r="B39">
        <v>3</v>
      </c>
      <c r="C39" t="s">
        <v>313</v>
      </c>
      <c r="D39" t="s">
        <v>6</v>
      </c>
      <c r="E39" s="106">
        <v>90.201550771252798</v>
      </c>
      <c r="F39" s="106">
        <v>103.11343978709201</v>
      </c>
      <c r="G39" s="106">
        <v>68.681954152574207</v>
      </c>
      <c r="H39" s="106"/>
      <c r="I39">
        <v>13</v>
      </c>
      <c r="J39">
        <v>1</v>
      </c>
      <c r="K39">
        <v>1</v>
      </c>
      <c r="L39">
        <v>1</v>
      </c>
    </row>
    <row r="40" spans="1:12" x14ac:dyDescent="0.25">
      <c r="A40" t="s">
        <v>309</v>
      </c>
      <c r="B40">
        <v>3</v>
      </c>
      <c r="C40" t="s">
        <v>308</v>
      </c>
      <c r="D40" t="s">
        <v>3</v>
      </c>
      <c r="E40" s="106">
        <v>6.5580859282150303</v>
      </c>
      <c r="F40" s="106">
        <v>6.5793726768517402</v>
      </c>
      <c r="G40" s="106">
        <v>4.25</v>
      </c>
      <c r="H40" s="106"/>
      <c r="I40">
        <v>8</v>
      </c>
      <c r="J40">
        <v>1</v>
      </c>
      <c r="K40">
        <v>1</v>
      </c>
      <c r="L40">
        <v>1</v>
      </c>
    </row>
    <row r="41" spans="1:12" x14ac:dyDescent="0.25">
      <c r="A41" t="s">
        <v>305</v>
      </c>
      <c r="B41">
        <v>3</v>
      </c>
      <c r="C41" t="s">
        <v>304</v>
      </c>
      <c r="D41" t="s">
        <v>88</v>
      </c>
      <c r="E41" s="106">
        <v>60</v>
      </c>
      <c r="F41" s="106">
        <v>60</v>
      </c>
      <c r="G41" s="106">
        <v>40</v>
      </c>
      <c r="H41" s="106">
        <v>80</v>
      </c>
      <c r="I41">
        <v>1</v>
      </c>
      <c r="J41">
        <v>0</v>
      </c>
      <c r="K41">
        <v>0</v>
      </c>
      <c r="L41">
        <v>1</v>
      </c>
    </row>
    <row r="42" spans="1:12" x14ac:dyDescent="0.25">
      <c r="A42" t="s">
        <v>302</v>
      </c>
      <c r="B42">
        <v>3</v>
      </c>
      <c r="C42" t="s">
        <v>301</v>
      </c>
      <c r="D42" t="s">
        <v>6</v>
      </c>
      <c r="E42" s="106">
        <v>59.914443476543298</v>
      </c>
      <c r="F42" s="106"/>
      <c r="G42" s="106">
        <v>58.989974937343398</v>
      </c>
      <c r="H42" s="106"/>
      <c r="I42">
        <v>4</v>
      </c>
      <c r="J42">
        <v>1</v>
      </c>
      <c r="K42">
        <v>1</v>
      </c>
      <c r="L42">
        <v>0</v>
      </c>
    </row>
    <row r="43" spans="1:12" x14ac:dyDescent="0.25">
      <c r="A43" t="s">
        <v>299</v>
      </c>
      <c r="B43">
        <v>3</v>
      </c>
      <c r="C43" t="s">
        <v>298</v>
      </c>
      <c r="D43" t="s">
        <v>6</v>
      </c>
      <c r="E43" s="106">
        <v>15</v>
      </c>
      <c r="F43" s="106"/>
      <c r="G43" s="106">
        <v>15</v>
      </c>
      <c r="H43" s="106"/>
      <c r="I43">
        <v>1</v>
      </c>
      <c r="J43">
        <v>0</v>
      </c>
      <c r="K43">
        <v>1</v>
      </c>
      <c r="L43">
        <v>0</v>
      </c>
    </row>
    <row r="44" spans="1:12" x14ac:dyDescent="0.25">
      <c r="A44" t="s">
        <v>295</v>
      </c>
      <c r="B44">
        <v>4</v>
      </c>
      <c r="C44" t="s">
        <v>294</v>
      </c>
      <c r="D44" t="s">
        <v>130</v>
      </c>
      <c r="E44" s="106">
        <v>11.25</v>
      </c>
      <c r="F44" s="106">
        <v>13.89</v>
      </c>
      <c r="G44" s="106">
        <v>9.93</v>
      </c>
      <c r="H44" s="106">
        <v>9.93</v>
      </c>
      <c r="I44">
        <v>1</v>
      </c>
      <c r="J44">
        <v>0</v>
      </c>
      <c r="K44">
        <v>1</v>
      </c>
      <c r="L44">
        <v>0</v>
      </c>
    </row>
    <row r="45" spans="1:12" x14ac:dyDescent="0.25">
      <c r="A45" t="s">
        <v>289</v>
      </c>
      <c r="B45">
        <v>4</v>
      </c>
      <c r="C45" t="s">
        <v>288</v>
      </c>
      <c r="D45" t="s">
        <v>130</v>
      </c>
      <c r="E45" s="106">
        <v>11.6661079267686</v>
      </c>
      <c r="F45" s="106">
        <v>25.87</v>
      </c>
      <c r="G45" s="106">
        <v>11.166285412634201</v>
      </c>
      <c r="H45" s="106">
        <v>11.5</v>
      </c>
      <c r="I45">
        <v>3</v>
      </c>
      <c r="J45">
        <v>0</v>
      </c>
      <c r="K45">
        <v>1</v>
      </c>
      <c r="L45">
        <v>1</v>
      </c>
    </row>
    <row r="46" spans="1:12" x14ac:dyDescent="0.25">
      <c r="A46" t="s">
        <v>506</v>
      </c>
      <c r="B46">
        <v>4</v>
      </c>
      <c r="C46" t="s">
        <v>286</v>
      </c>
      <c r="D46" t="s">
        <v>130</v>
      </c>
      <c r="E46" s="106">
        <v>12.565</v>
      </c>
      <c r="F46" s="106"/>
      <c r="G46" s="106">
        <v>11.5</v>
      </c>
      <c r="H46" s="106"/>
      <c r="I46">
        <v>1</v>
      </c>
      <c r="J46">
        <v>0</v>
      </c>
      <c r="K46">
        <v>1</v>
      </c>
      <c r="L46">
        <v>0</v>
      </c>
    </row>
    <row r="47" spans="1:12" x14ac:dyDescent="0.25">
      <c r="A47" t="s">
        <v>284</v>
      </c>
      <c r="B47">
        <v>4</v>
      </c>
      <c r="C47" t="s">
        <v>283</v>
      </c>
      <c r="D47" t="s">
        <v>3</v>
      </c>
      <c r="E47" s="106">
        <v>3.87</v>
      </c>
      <c r="F47" s="106">
        <v>3.85</v>
      </c>
      <c r="G47" s="106">
        <v>3.88</v>
      </c>
      <c r="H47" s="106">
        <v>3.88</v>
      </c>
      <c r="I47">
        <v>1</v>
      </c>
      <c r="J47">
        <v>0</v>
      </c>
      <c r="K47">
        <v>1</v>
      </c>
      <c r="L47">
        <v>0</v>
      </c>
    </row>
    <row r="48" spans="1:12" x14ac:dyDescent="0.25">
      <c r="A48" t="s">
        <v>282</v>
      </c>
      <c r="B48">
        <v>4</v>
      </c>
      <c r="C48" t="s">
        <v>281</v>
      </c>
      <c r="D48" t="s">
        <v>130</v>
      </c>
      <c r="E48" s="106">
        <v>11.285</v>
      </c>
      <c r="F48" s="106">
        <v>12.77</v>
      </c>
      <c r="G48" s="106"/>
      <c r="H48" s="106">
        <v>9.8000000000000007</v>
      </c>
      <c r="I48">
        <v>1</v>
      </c>
      <c r="J48">
        <v>0</v>
      </c>
      <c r="K48">
        <v>1</v>
      </c>
      <c r="L48">
        <v>0</v>
      </c>
    </row>
    <row r="49" spans="1:12" x14ac:dyDescent="0.25">
      <c r="A49" t="s">
        <v>279</v>
      </c>
      <c r="B49">
        <v>4</v>
      </c>
      <c r="C49" t="s">
        <v>278</v>
      </c>
      <c r="D49" t="s">
        <v>130</v>
      </c>
      <c r="E49" s="106">
        <v>1.54</v>
      </c>
      <c r="F49" s="106">
        <v>1.9</v>
      </c>
      <c r="G49" s="106">
        <v>1.36</v>
      </c>
      <c r="H49" s="106">
        <v>1.36</v>
      </c>
      <c r="I49">
        <v>1</v>
      </c>
      <c r="J49">
        <v>0</v>
      </c>
      <c r="K49">
        <v>1</v>
      </c>
      <c r="L49">
        <v>0</v>
      </c>
    </row>
    <row r="50" spans="1:12" x14ac:dyDescent="0.25">
      <c r="A50" t="s">
        <v>276</v>
      </c>
      <c r="B50">
        <v>4</v>
      </c>
      <c r="C50" t="s">
        <v>2016</v>
      </c>
      <c r="D50" t="s">
        <v>3</v>
      </c>
      <c r="E50" s="106">
        <v>31.842388634533702</v>
      </c>
      <c r="F50" s="106">
        <v>6.7875215534922004</v>
      </c>
      <c r="G50" s="106">
        <v>34.416761904761898</v>
      </c>
      <c r="H50" s="106">
        <v>6.5</v>
      </c>
      <c r="I50">
        <v>9</v>
      </c>
      <c r="J50">
        <v>1</v>
      </c>
      <c r="K50">
        <v>1</v>
      </c>
      <c r="L50">
        <v>1</v>
      </c>
    </row>
    <row r="51" spans="1:12" x14ac:dyDescent="0.25">
      <c r="A51" t="s">
        <v>271</v>
      </c>
      <c r="B51">
        <v>5</v>
      </c>
      <c r="C51" t="s">
        <v>270</v>
      </c>
      <c r="D51" t="s">
        <v>130</v>
      </c>
      <c r="E51" s="106">
        <v>13.118031909016899</v>
      </c>
      <c r="F51" s="106">
        <v>16.034280607565801</v>
      </c>
      <c r="G51" s="106">
        <v>8.9156208973296796</v>
      </c>
      <c r="H51" s="106">
        <v>12.3279920629841</v>
      </c>
      <c r="I51">
        <v>11</v>
      </c>
      <c r="J51">
        <v>1</v>
      </c>
      <c r="K51">
        <v>1</v>
      </c>
      <c r="L51">
        <v>1</v>
      </c>
    </row>
    <row r="52" spans="1:12" x14ac:dyDescent="0.25">
      <c r="A52" t="s">
        <v>267</v>
      </c>
      <c r="B52">
        <v>5</v>
      </c>
      <c r="C52" t="s">
        <v>2017</v>
      </c>
      <c r="D52" t="s">
        <v>130</v>
      </c>
      <c r="E52" s="106">
        <v>11.8804690670797</v>
      </c>
      <c r="F52" s="106">
        <v>13.5079091114288</v>
      </c>
      <c r="G52" s="106">
        <v>11.4793955784278</v>
      </c>
      <c r="H52" s="106">
        <v>10.466325408241</v>
      </c>
      <c r="I52">
        <v>12</v>
      </c>
      <c r="J52">
        <v>1</v>
      </c>
      <c r="K52">
        <v>1</v>
      </c>
      <c r="L52">
        <v>1</v>
      </c>
    </row>
    <row r="53" spans="1:12" x14ac:dyDescent="0.25">
      <c r="A53" t="s">
        <v>263</v>
      </c>
      <c r="B53">
        <v>5</v>
      </c>
      <c r="C53" t="s">
        <v>262</v>
      </c>
      <c r="D53" t="s">
        <v>130</v>
      </c>
      <c r="E53" s="106">
        <v>12.9230717993187</v>
      </c>
      <c r="F53" s="106">
        <v>12.834391010149799</v>
      </c>
      <c r="G53" s="106">
        <v>10.4454376959937</v>
      </c>
      <c r="H53" s="106">
        <v>13.674655190080999</v>
      </c>
      <c r="I53">
        <v>10</v>
      </c>
      <c r="J53">
        <v>1</v>
      </c>
      <c r="K53">
        <v>1</v>
      </c>
      <c r="L53">
        <v>1</v>
      </c>
    </row>
    <row r="54" spans="1:12" x14ac:dyDescent="0.25">
      <c r="A54" t="s">
        <v>257</v>
      </c>
      <c r="B54">
        <v>5</v>
      </c>
      <c r="C54" t="s">
        <v>256</v>
      </c>
      <c r="D54" t="s">
        <v>58</v>
      </c>
      <c r="E54" s="106">
        <v>23.357449165343098</v>
      </c>
      <c r="F54" s="106">
        <v>21.224617828773201</v>
      </c>
      <c r="G54" s="106">
        <v>12.4249933462995</v>
      </c>
      <c r="H54" s="106">
        <v>23.190336416185001</v>
      </c>
      <c r="I54">
        <v>30</v>
      </c>
      <c r="J54">
        <v>1</v>
      </c>
      <c r="K54">
        <v>1</v>
      </c>
      <c r="L54">
        <v>1</v>
      </c>
    </row>
    <row r="55" spans="1:12" x14ac:dyDescent="0.25">
      <c r="A55" t="s">
        <v>254</v>
      </c>
      <c r="B55">
        <v>5</v>
      </c>
      <c r="C55" t="s">
        <v>253</v>
      </c>
      <c r="D55" t="s">
        <v>3</v>
      </c>
      <c r="E55" s="106">
        <v>16.5473917154224</v>
      </c>
      <c r="F55" s="106">
        <v>13.3097294797688</v>
      </c>
      <c r="G55" s="106">
        <v>14.7984002549395</v>
      </c>
      <c r="H55" s="106"/>
      <c r="I55">
        <v>31</v>
      </c>
      <c r="J55">
        <v>1</v>
      </c>
      <c r="K55">
        <v>1</v>
      </c>
      <c r="L55">
        <v>1</v>
      </c>
    </row>
    <row r="56" spans="1:12" x14ac:dyDescent="0.25">
      <c r="A56" t="s">
        <v>232</v>
      </c>
      <c r="B56">
        <v>5</v>
      </c>
      <c r="C56" t="s">
        <v>231</v>
      </c>
      <c r="D56" t="s">
        <v>3</v>
      </c>
      <c r="E56" s="106">
        <v>16.0670975603038</v>
      </c>
      <c r="F56" s="106">
        <v>14.397042796201999</v>
      </c>
      <c r="G56" s="106">
        <v>15.246262534184099</v>
      </c>
      <c r="H56" s="106"/>
      <c r="I56">
        <v>19</v>
      </c>
      <c r="J56">
        <v>1</v>
      </c>
      <c r="K56">
        <v>1</v>
      </c>
      <c r="L56">
        <v>1</v>
      </c>
    </row>
    <row r="57" spans="1:12" x14ac:dyDescent="0.25">
      <c r="A57" t="s">
        <v>220</v>
      </c>
      <c r="B57">
        <v>5</v>
      </c>
      <c r="C57" t="s">
        <v>219</v>
      </c>
      <c r="D57" t="s">
        <v>3</v>
      </c>
      <c r="E57" s="106">
        <v>2.8</v>
      </c>
      <c r="F57" s="106"/>
      <c r="G57" s="106">
        <v>2.8</v>
      </c>
      <c r="H57" s="106"/>
      <c r="I57">
        <v>1</v>
      </c>
      <c r="J57">
        <v>0</v>
      </c>
      <c r="K57">
        <v>1</v>
      </c>
      <c r="L57">
        <v>0</v>
      </c>
    </row>
    <row r="58" spans="1:12" x14ac:dyDescent="0.25">
      <c r="A58" t="s">
        <v>217</v>
      </c>
      <c r="B58">
        <v>5</v>
      </c>
      <c r="C58" t="s">
        <v>216</v>
      </c>
      <c r="D58" t="s">
        <v>3</v>
      </c>
      <c r="E58" s="106">
        <v>8.0123190448744097</v>
      </c>
      <c r="F58" s="106">
        <v>6.9706250000000001</v>
      </c>
      <c r="G58" s="106">
        <v>8.3483852380299108</v>
      </c>
      <c r="H58" s="106">
        <v>7.4620174257986802</v>
      </c>
      <c r="I58">
        <v>8</v>
      </c>
      <c r="J58">
        <v>1</v>
      </c>
      <c r="K58">
        <v>1</v>
      </c>
      <c r="L58">
        <v>0</v>
      </c>
    </row>
    <row r="59" spans="1:12" x14ac:dyDescent="0.25">
      <c r="A59" t="s">
        <v>214</v>
      </c>
      <c r="B59">
        <v>5</v>
      </c>
      <c r="C59" t="s">
        <v>213</v>
      </c>
      <c r="D59" t="s">
        <v>210</v>
      </c>
      <c r="E59" s="106">
        <v>33.135478592542398</v>
      </c>
      <c r="F59" s="106">
        <v>28.945</v>
      </c>
      <c r="G59" s="106">
        <v>28.158104649086301</v>
      </c>
      <c r="H59" s="106">
        <v>31.969150326797401</v>
      </c>
      <c r="I59">
        <v>6</v>
      </c>
      <c r="J59">
        <v>1</v>
      </c>
      <c r="K59">
        <v>1</v>
      </c>
      <c r="L59">
        <v>0</v>
      </c>
    </row>
    <row r="60" spans="1:12" x14ac:dyDescent="0.25">
      <c r="A60" t="s">
        <v>209</v>
      </c>
      <c r="B60">
        <v>5</v>
      </c>
      <c r="C60" t="s">
        <v>208</v>
      </c>
      <c r="D60" t="s">
        <v>130</v>
      </c>
      <c r="E60" s="106">
        <v>17.9358673953273</v>
      </c>
      <c r="F60" s="106">
        <v>17.453893129771</v>
      </c>
      <c r="G60" s="106">
        <v>17.334</v>
      </c>
      <c r="H60" s="106">
        <v>13.26</v>
      </c>
      <c r="I60">
        <v>3</v>
      </c>
      <c r="J60">
        <v>1</v>
      </c>
      <c r="K60">
        <v>1</v>
      </c>
      <c r="L60">
        <v>0</v>
      </c>
    </row>
    <row r="61" spans="1:12" x14ac:dyDescent="0.25">
      <c r="A61" t="s">
        <v>206</v>
      </c>
      <c r="B61">
        <v>5</v>
      </c>
      <c r="C61" t="s">
        <v>205</v>
      </c>
      <c r="D61" t="s">
        <v>130</v>
      </c>
      <c r="E61" s="106">
        <v>5.5439144136602501</v>
      </c>
      <c r="F61" s="106"/>
      <c r="G61" s="106">
        <v>4.21800507751857</v>
      </c>
      <c r="H61" s="106">
        <v>5.3626911314984698</v>
      </c>
      <c r="I61">
        <v>8</v>
      </c>
      <c r="J61">
        <v>1</v>
      </c>
      <c r="K61">
        <v>1</v>
      </c>
      <c r="L61">
        <v>0</v>
      </c>
    </row>
    <row r="62" spans="1:12" x14ac:dyDescent="0.25">
      <c r="A62" t="s">
        <v>200</v>
      </c>
      <c r="B62">
        <v>6</v>
      </c>
      <c r="C62" t="s">
        <v>199</v>
      </c>
      <c r="D62" t="s">
        <v>130</v>
      </c>
      <c r="E62" s="106">
        <v>7.4633333333333303</v>
      </c>
      <c r="F62" s="106">
        <v>7.99</v>
      </c>
      <c r="G62" s="106">
        <v>6.8</v>
      </c>
      <c r="H62" s="106">
        <v>7.6</v>
      </c>
      <c r="I62">
        <v>1</v>
      </c>
      <c r="J62">
        <v>0</v>
      </c>
      <c r="K62">
        <v>1</v>
      </c>
      <c r="L62">
        <v>0</v>
      </c>
    </row>
    <row r="63" spans="1:12" x14ac:dyDescent="0.25">
      <c r="A63" t="s">
        <v>197</v>
      </c>
      <c r="B63">
        <v>6</v>
      </c>
      <c r="C63" t="s">
        <v>196</v>
      </c>
      <c r="D63" t="s">
        <v>3</v>
      </c>
      <c r="E63" s="106">
        <v>3.25</v>
      </c>
      <c r="F63" s="106">
        <v>3.4</v>
      </c>
      <c r="G63" s="106">
        <v>3.1</v>
      </c>
      <c r="H63" s="106"/>
      <c r="I63">
        <v>1</v>
      </c>
      <c r="J63">
        <v>0</v>
      </c>
      <c r="K63">
        <v>1</v>
      </c>
      <c r="L63">
        <v>0</v>
      </c>
    </row>
    <row r="64" spans="1:12" x14ac:dyDescent="0.25">
      <c r="A64" t="s">
        <v>191</v>
      </c>
      <c r="B64">
        <v>6</v>
      </c>
      <c r="C64" t="s">
        <v>190</v>
      </c>
      <c r="D64" t="s">
        <v>130</v>
      </c>
      <c r="E64" s="106">
        <v>4.8899999999999997</v>
      </c>
      <c r="F64" s="106">
        <v>5.0199999999999996</v>
      </c>
      <c r="G64" s="106">
        <v>4.8</v>
      </c>
      <c r="H64" s="106">
        <v>4.8499999999999996</v>
      </c>
      <c r="I64">
        <v>1</v>
      </c>
      <c r="J64">
        <v>0</v>
      </c>
      <c r="K64">
        <v>1</v>
      </c>
      <c r="L64">
        <v>0</v>
      </c>
    </row>
    <row r="65" spans="1:12" x14ac:dyDescent="0.25">
      <c r="A65" t="s">
        <v>188</v>
      </c>
      <c r="B65">
        <v>6</v>
      </c>
      <c r="C65" t="s">
        <v>187</v>
      </c>
      <c r="D65" t="s">
        <v>3</v>
      </c>
      <c r="E65" s="106">
        <v>3</v>
      </c>
      <c r="F65" s="106">
        <v>3.1</v>
      </c>
      <c r="G65" s="106">
        <v>2.9</v>
      </c>
      <c r="H65" s="106"/>
      <c r="I65">
        <v>1</v>
      </c>
      <c r="J65">
        <v>0</v>
      </c>
      <c r="K65">
        <v>1</v>
      </c>
      <c r="L65">
        <v>0</v>
      </c>
    </row>
    <row r="66" spans="1:12" x14ac:dyDescent="0.25">
      <c r="A66" t="s">
        <v>185</v>
      </c>
      <c r="B66">
        <v>6</v>
      </c>
      <c r="C66" t="s">
        <v>184</v>
      </c>
      <c r="D66" t="s">
        <v>3</v>
      </c>
      <c r="E66" s="106">
        <v>1.45</v>
      </c>
      <c r="F66" s="106">
        <v>1.6</v>
      </c>
      <c r="G66" s="106">
        <v>1.3</v>
      </c>
      <c r="H66" s="106"/>
      <c r="I66">
        <v>1</v>
      </c>
      <c r="J66">
        <v>0</v>
      </c>
      <c r="K66">
        <v>1</v>
      </c>
      <c r="L66">
        <v>0</v>
      </c>
    </row>
    <row r="67" spans="1:12" x14ac:dyDescent="0.25">
      <c r="A67" t="s">
        <v>182</v>
      </c>
      <c r="B67">
        <v>6</v>
      </c>
      <c r="C67" t="s">
        <v>2018</v>
      </c>
      <c r="D67" t="s">
        <v>130</v>
      </c>
      <c r="E67" s="106">
        <v>2.4681997982148598</v>
      </c>
      <c r="F67" s="106">
        <v>1.22145257901631</v>
      </c>
      <c r="G67" s="106">
        <v>1.14286475573397</v>
      </c>
      <c r="H67" s="106">
        <v>2.7693820936770401</v>
      </c>
      <c r="I67">
        <v>11</v>
      </c>
      <c r="J67">
        <v>1</v>
      </c>
      <c r="K67">
        <v>1</v>
      </c>
      <c r="L67">
        <v>1</v>
      </c>
    </row>
    <row r="68" spans="1:12" x14ac:dyDescent="0.25">
      <c r="A68" t="s">
        <v>178</v>
      </c>
      <c r="B68">
        <v>6</v>
      </c>
      <c r="C68" t="s">
        <v>2019</v>
      </c>
      <c r="D68" t="s">
        <v>3</v>
      </c>
      <c r="E68" s="106">
        <v>2.5235102279527299</v>
      </c>
      <c r="F68" s="106">
        <v>2.91605088881143</v>
      </c>
      <c r="G68" s="106">
        <v>1.2208000000000001</v>
      </c>
      <c r="H68" s="106">
        <v>1.41022742857143</v>
      </c>
      <c r="I68">
        <v>13</v>
      </c>
      <c r="J68">
        <v>1</v>
      </c>
      <c r="K68">
        <v>1</v>
      </c>
      <c r="L68">
        <v>0</v>
      </c>
    </row>
    <row r="69" spans="1:12" x14ac:dyDescent="0.25">
      <c r="A69" t="s">
        <v>168</v>
      </c>
      <c r="B69">
        <v>6</v>
      </c>
      <c r="C69" t="s">
        <v>167</v>
      </c>
      <c r="D69" t="s">
        <v>3</v>
      </c>
      <c r="E69" s="106">
        <v>1.34</v>
      </c>
      <c r="F69" s="106">
        <v>1.5</v>
      </c>
      <c r="G69" s="106">
        <v>1.26</v>
      </c>
      <c r="H69" s="106">
        <v>1.26</v>
      </c>
      <c r="I69">
        <v>1</v>
      </c>
      <c r="J69">
        <v>0</v>
      </c>
      <c r="K69">
        <v>1</v>
      </c>
      <c r="L69">
        <v>0</v>
      </c>
    </row>
    <row r="70" spans="1:12" x14ac:dyDescent="0.25">
      <c r="A70" t="s">
        <v>507</v>
      </c>
      <c r="B70">
        <v>6</v>
      </c>
      <c r="C70" t="s">
        <v>165</v>
      </c>
      <c r="D70" t="s">
        <v>130</v>
      </c>
      <c r="E70" s="106">
        <v>3.95</v>
      </c>
      <c r="F70" s="106"/>
      <c r="G70" s="106">
        <v>3.1</v>
      </c>
      <c r="H70" s="106">
        <v>4.8</v>
      </c>
      <c r="I70">
        <v>1</v>
      </c>
      <c r="J70">
        <v>0</v>
      </c>
      <c r="K70">
        <v>1</v>
      </c>
      <c r="L70">
        <v>0</v>
      </c>
    </row>
    <row r="71" spans="1:12" x14ac:dyDescent="0.25">
      <c r="A71" t="s">
        <v>163</v>
      </c>
      <c r="B71">
        <v>6</v>
      </c>
      <c r="C71" t="s">
        <v>162</v>
      </c>
      <c r="D71" t="s">
        <v>130</v>
      </c>
      <c r="E71" s="106">
        <v>5.4</v>
      </c>
      <c r="F71" s="106">
        <v>5.4</v>
      </c>
      <c r="G71" s="106"/>
      <c r="H71" s="106"/>
      <c r="I71">
        <v>1</v>
      </c>
      <c r="J71">
        <v>0</v>
      </c>
      <c r="K71">
        <v>1</v>
      </c>
      <c r="L71">
        <v>0</v>
      </c>
    </row>
    <row r="72" spans="1:12" x14ac:dyDescent="0.25">
      <c r="A72" t="s">
        <v>159</v>
      </c>
      <c r="B72">
        <v>7</v>
      </c>
      <c r="C72" t="s">
        <v>158</v>
      </c>
      <c r="D72" t="s">
        <v>130</v>
      </c>
      <c r="E72" s="106">
        <v>47.958536643380697</v>
      </c>
      <c r="F72" s="106"/>
      <c r="G72" s="106">
        <v>44.839945973112201</v>
      </c>
      <c r="H72" s="106">
        <v>47.898852571149398</v>
      </c>
      <c r="I72">
        <v>13</v>
      </c>
      <c r="J72">
        <v>1</v>
      </c>
      <c r="K72">
        <v>1</v>
      </c>
      <c r="L72">
        <v>1</v>
      </c>
    </row>
    <row r="73" spans="1:12" x14ac:dyDescent="0.25">
      <c r="A73" t="s">
        <v>151</v>
      </c>
      <c r="B73">
        <v>8</v>
      </c>
      <c r="C73" t="s">
        <v>150</v>
      </c>
      <c r="D73" t="s">
        <v>130</v>
      </c>
      <c r="E73" s="106">
        <v>2.12532833519702</v>
      </c>
      <c r="F73" s="106"/>
      <c r="G73" s="106">
        <v>3.3897417057911299</v>
      </c>
      <c r="H73" s="106">
        <v>0.37686586050196402</v>
      </c>
      <c r="I73">
        <v>9</v>
      </c>
      <c r="J73">
        <v>1</v>
      </c>
      <c r="K73">
        <v>1</v>
      </c>
      <c r="L73">
        <v>0</v>
      </c>
    </row>
    <row r="74" spans="1:12" x14ac:dyDescent="0.25">
      <c r="A74" t="s">
        <v>141</v>
      </c>
      <c r="B74">
        <v>13</v>
      </c>
      <c r="C74" t="s">
        <v>140</v>
      </c>
      <c r="D74" t="s">
        <v>88</v>
      </c>
      <c r="E74" s="106">
        <v>1152.14188116371</v>
      </c>
      <c r="F74" s="106">
        <v>250.29499999999999</v>
      </c>
      <c r="G74" s="106">
        <v>1092.47</v>
      </c>
      <c r="H74" s="106">
        <v>1123.00591715976</v>
      </c>
      <c r="I74">
        <v>26</v>
      </c>
      <c r="J74">
        <v>1</v>
      </c>
      <c r="K74">
        <v>1</v>
      </c>
      <c r="L74">
        <v>1</v>
      </c>
    </row>
    <row r="75" spans="1:12" x14ac:dyDescent="0.25">
      <c r="A75" t="s">
        <v>124</v>
      </c>
      <c r="B75">
        <v>13</v>
      </c>
      <c r="C75" t="s">
        <v>123</v>
      </c>
      <c r="D75" t="s">
        <v>122</v>
      </c>
      <c r="E75" s="106">
        <v>55.107649023002701</v>
      </c>
      <c r="F75" s="106">
        <v>50.505000000000003</v>
      </c>
      <c r="G75" s="106">
        <v>74.809523809523796</v>
      </c>
      <c r="H75" s="106">
        <v>53.325995547860501</v>
      </c>
      <c r="I75">
        <v>3</v>
      </c>
      <c r="J75">
        <v>1</v>
      </c>
      <c r="K75">
        <v>0</v>
      </c>
      <c r="L75">
        <v>1</v>
      </c>
    </row>
    <row r="76" spans="1:12" x14ac:dyDescent="0.25">
      <c r="A76" t="s">
        <v>112</v>
      </c>
      <c r="B76">
        <v>13</v>
      </c>
      <c r="C76" t="s">
        <v>111</v>
      </c>
      <c r="D76" t="s">
        <v>88</v>
      </c>
      <c r="E76" s="106">
        <v>5753.4683918540604</v>
      </c>
      <c r="F76" s="106">
        <v>0.166020501551984</v>
      </c>
      <c r="G76" s="106">
        <v>4.3005901007586997</v>
      </c>
      <c r="H76" s="106">
        <v>1.80389416610625</v>
      </c>
      <c r="I76">
        <v>27</v>
      </c>
      <c r="J76">
        <v>1</v>
      </c>
      <c r="K76">
        <v>1</v>
      </c>
      <c r="L76">
        <v>1</v>
      </c>
    </row>
    <row r="77" spans="1:12" x14ac:dyDescent="0.25">
      <c r="A77" t="s">
        <v>511</v>
      </c>
      <c r="B77">
        <v>14</v>
      </c>
      <c r="C77" t="s">
        <v>512</v>
      </c>
      <c r="D77" t="s">
        <v>84</v>
      </c>
      <c r="E77" s="106">
        <v>81.213800000000006</v>
      </c>
      <c r="F77" s="106">
        <v>29.331900000000001</v>
      </c>
      <c r="G77" s="106">
        <v>148.3032</v>
      </c>
      <c r="H77" s="106">
        <v>48.92</v>
      </c>
      <c r="I77">
        <v>3</v>
      </c>
      <c r="J77">
        <v>1</v>
      </c>
      <c r="K77">
        <v>1</v>
      </c>
      <c r="L77">
        <v>1</v>
      </c>
    </row>
    <row r="78" spans="1:12" x14ac:dyDescent="0.25">
      <c r="A78" t="s">
        <v>513</v>
      </c>
      <c r="B78">
        <v>14</v>
      </c>
      <c r="C78" t="s">
        <v>514</v>
      </c>
      <c r="D78" t="s">
        <v>84</v>
      </c>
      <c r="E78" s="106">
        <v>35</v>
      </c>
      <c r="F78" s="106">
        <v>35</v>
      </c>
      <c r="G78" s="106"/>
      <c r="H78" s="106"/>
      <c r="I78">
        <v>1</v>
      </c>
      <c r="J78">
        <v>0</v>
      </c>
      <c r="K78">
        <v>1</v>
      </c>
      <c r="L78">
        <v>0</v>
      </c>
    </row>
    <row r="79" spans="1:12" x14ac:dyDescent="0.25">
      <c r="A79" t="s">
        <v>82</v>
      </c>
      <c r="B79">
        <v>15</v>
      </c>
      <c r="C79" t="s">
        <v>81</v>
      </c>
      <c r="D79" t="s">
        <v>130</v>
      </c>
      <c r="E79" s="106">
        <v>1.2113176031144799</v>
      </c>
      <c r="F79" s="106">
        <v>1.7516970566140799</v>
      </c>
      <c r="G79" s="106">
        <v>1.20154320987654</v>
      </c>
      <c r="H79" s="106">
        <v>0.81157499259547805</v>
      </c>
      <c r="I79">
        <v>2</v>
      </c>
      <c r="J79">
        <v>0</v>
      </c>
      <c r="K79">
        <v>1</v>
      </c>
      <c r="L79">
        <v>1</v>
      </c>
    </row>
    <row r="80" spans="1:12" x14ac:dyDescent="0.25">
      <c r="A80" t="s">
        <v>77</v>
      </c>
      <c r="B80">
        <v>15</v>
      </c>
      <c r="C80" t="s">
        <v>76</v>
      </c>
      <c r="D80" t="s">
        <v>130</v>
      </c>
      <c r="E80" s="106">
        <v>0.87293123543123496</v>
      </c>
      <c r="F80" s="106">
        <v>0.72</v>
      </c>
      <c r="G80" s="106">
        <v>0.88888111888111898</v>
      </c>
      <c r="H80" s="106"/>
      <c r="I80">
        <v>2</v>
      </c>
      <c r="J80">
        <v>1</v>
      </c>
      <c r="K80">
        <v>1</v>
      </c>
      <c r="L80">
        <v>0</v>
      </c>
    </row>
    <row r="81" spans="1:12" x14ac:dyDescent="0.25">
      <c r="A81" t="s">
        <v>74</v>
      </c>
      <c r="B81">
        <v>15</v>
      </c>
      <c r="C81" t="s">
        <v>73</v>
      </c>
      <c r="D81" t="s">
        <v>130</v>
      </c>
      <c r="E81" s="106">
        <v>6.9309391264783002</v>
      </c>
      <c r="F81" s="106">
        <v>0.7</v>
      </c>
      <c r="G81" s="106">
        <v>6.3472727272727303</v>
      </c>
      <c r="H81" s="106">
        <v>1.33397435897436</v>
      </c>
      <c r="I81">
        <v>6</v>
      </c>
      <c r="J81">
        <v>1</v>
      </c>
      <c r="K81">
        <v>1</v>
      </c>
      <c r="L81">
        <v>0</v>
      </c>
    </row>
    <row r="82" spans="1:12" x14ac:dyDescent="0.25">
      <c r="A82" t="s">
        <v>69</v>
      </c>
      <c r="B82">
        <v>15</v>
      </c>
      <c r="C82" t="s">
        <v>516</v>
      </c>
      <c r="D82" t="s">
        <v>130</v>
      </c>
      <c r="E82" s="106">
        <v>26.669532061986398</v>
      </c>
      <c r="F82" s="106">
        <v>7</v>
      </c>
      <c r="G82" s="106"/>
      <c r="H82" s="106">
        <v>27.347596153846201</v>
      </c>
      <c r="I82">
        <v>14</v>
      </c>
      <c r="J82">
        <v>1</v>
      </c>
      <c r="K82">
        <v>1</v>
      </c>
      <c r="L82">
        <v>1</v>
      </c>
    </row>
    <row r="83" spans="1:12" x14ac:dyDescent="0.25">
      <c r="A83" t="s">
        <v>66</v>
      </c>
      <c r="B83">
        <v>15</v>
      </c>
      <c r="C83" t="s">
        <v>68</v>
      </c>
      <c r="D83" t="s">
        <v>130</v>
      </c>
      <c r="E83" s="106">
        <v>2.1601726938185299</v>
      </c>
      <c r="F83" s="106">
        <v>0.36</v>
      </c>
      <c r="G83" s="106"/>
      <c r="H83" s="106">
        <v>1.61282051282051</v>
      </c>
      <c r="I83">
        <v>6</v>
      </c>
      <c r="J83">
        <v>1</v>
      </c>
      <c r="K83">
        <v>1</v>
      </c>
      <c r="L83">
        <v>0</v>
      </c>
    </row>
    <row r="84" spans="1:12" x14ac:dyDescent="0.25">
      <c r="A84" t="s">
        <v>60</v>
      </c>
      <c r="B84">
        <v>15</v>
      </c>
      <c r="C84" t="s">
        <v>65</v>
      </c>
      <c r="D84" t="s">
        <v>130</v>
      </c>
      <c r="E84" s="106">
        <v>5.3298004373664503</v>
      </c>
      <c r="F84" s="106">
        <v>3.8348717948717899</v>
      </c>
      <c r="G84" s="106"/>
      <c r="H84" s="106">
        <v>3.1921474358974402</v>
      </c>
      <c r="I84">
        <v>4</v>
      </c>
      <c r="J84">
        <v>1</v>
      </c>
      <c r="K84">
        <v>1</v>
      </c>
      <c r="L84">
        <v>0</v>
      </c>
    </row>
    <row r="85" spans="1:12" x14ac:dyDescent="0.25">
      <c r="A85" t="s">
        <v>40</v>
      </c>
      <c r="B85">
        <v>15</v>
      </c>
      <c r="C85" t="s">
        <v>50</v>
      </c>
      <c r="D85" t="s">
        <v>6</v>
      </c>
      <c r="E85" s="106">
        <v>136.76249200694301</v>
      </c>
      <c r="F85" s="106">
        <v>135.36229103864099</v>
      </c>
      <c r="G85" s="106"/>
      <c r="H85" s="106"/>
      <c r="I85">
        <v>8</v>
      </c>
      <c r="J85">
        <v>1</v>
      </c>
      <c r="K85">
        <v>1</v>
      </c>
      <c r="L85">
        <v>1</v>
      </c>
    </row>
    <row r="86" spans="1:12" x14ac:dyDescent="0.25">
      <c r="A86" t="s">
        <v>37</v>
      </c>
      <c r="B86">
        <v>15</v>
      </c>
      <c r="C86" t="s">
        <v>39</v>
      </c>
      <c r="D86" t="s">
        <v>130</v>
      </c>
      <c r="E86" s="106">
        <v>2</v>
      </c>
      <c r="F86" s="106"/>
      <c r="G86" s="106">
        <v>2</v>
      </c>
      <c r="H86" s="106"/>
      <c r="I86">
        <v>1</v>
      </c>
      <c r="J86">
        <v>0</v>
      </c>
      <c r="K86">
        <v>1</v>
      </c>
      <c r="L86">
        <v>0</v>
      </c>
    </row>
    <row r="87" spans="1:12" x14ac:dyDescent="0.25">
      <c r="A87" t="s">
        <v>34</v>
      </c>
      <c r="B87">
        <v>15</v>
      </c>
      <c r="C87" t="s">
        <v>36</v>
      </c>
      <c r="D87" t="s">
        <v>130</v>
      </c>
      <c r="E87" s="106">
        <v>12.410565328866101</v>
      </c>
      <c r="F87" s="106"/>
      <c r="G87" s="106">
        <v>12.4459281084266</v>
      </c>
      <c r="H87" s="106"/>
      <c r="I87">
        <v>7</v>
      </c>
      <c r="J87">
        <v>1</v>
      </c>
      <c r="K87">
        <v>1</v>
      </c>
      <c r="L87">
        <v>1</v>
      </c>
    </row>
    <row r="88" spans="1:12" x14ac:dyDescent="0.25">
      <c r="A88" t="s">
        <v>29</v>
      </c>
      <c r="B88">
        <v>15</v>
      </c>
      <c r="C88" t="s">
        <v>33</v>
      </c>
      <c r="D88" t="s">
        <v>130</v>
      </c>
      <c r="E88" s="106">
        <v>0.80607440487550397</v>
      </c>
      <c r="F88" s="106"/>
      <c r="G88" s="106">
        <v>0.78755983052788303</v>
      </c>
      <c r="H88" s="106"/>
      <c r="I88">
        <v>3</v>
      </c>
      <c r="J88">
        <v>1</v>
      </c>
      <c r="K88">
        <v>1</v>
      </c>
      <c r="L88">
        <v>0</v>
      </c>
    </row>
    <row r="89" spans="1:12" x14ac:dyDescent="0.25">
      <c r="A89" t="s">
        <v>26</v>
      </c>
      <c r="B89">
        <v>15</v>
      </c>
      <c r="C89" t="s">
        <v>28</v>
      </c>
      <c r="D89" t="s">
        <v>130</v>
      </c>
      <c r="E89" s="106">
        <v>0.74</v>
      </c>
      <c r="F89" s="106"/>
      <c r="G89" s="106">
        <v>0.75</v>
      </c>
      <c r="H89" s="106">
        <v>0.75</v>
      </c>
      <c r="I89">
        <v>1</v>
      </c>
      <c r="J89">
        <v>0</v>
      </c>
      <c r="K89">
        <v>1</v>
      </c>
      <c r="L89">
        <v>0</v>
      </c>
    </row>
    <row r="90" spans="1:12" x14ac:dyDescent="0.25">
      <c r="A90" t="s">
        <v>518</v>
      </c>
      <c r="B90">
        <v>15</v>
      </c>
      <c r="C90" t="s">
        <v>25</v>
      </c>
      <c r="D90" t="s">
        <v>130</v>
      </c>
      <c r="E90" s="106">
        <v>5.2426647988170298</v>
      </c>
      <c r="F90" s="106"/>
      <c r="G90" s="106">
        <v>5.32874153630633</v>
      </c>
      <c r="H90" s="106"/>
      <c r="I90">
        <v>4</v>
      </c>
      <c r="J90">
        <v>1</v>
      </c>
      <c r="K90">
        <v>1</v>
      </c>
      <c r="L90">
        <v>1</v>
      </c>
    </row>
    <row r="91" spans="1:12" x14ac:dyDescent="0.25">
      <c r="A91" t="s">
        <v>519</v>
      </c>
      <c r="B91">
        <v>15</v>
      </c>
      <c r="C91" t="s">
        <v>20</v>
      </c>
      <c r="D91" t="s">
        <v>130</v>
      </c>
      <c r="E91" s="106">
        <v>19.592937976772799</v>
      </c>
      <c r="F91" s="106"/>
      <c r="G91" s="106">
        <v>19.628899637242998</v>
      </c>
      <c r="H91" s="106"/>
      <c r="I91">
        <v>7</v>
      </c>
      <c r="J91">
        <v>1</v>
      </c>
      <c r="K91">
        <v>1</v>
      </c>
      <c r="L91">
        <v>1</v>
      </c>
    </row>
    <row r="92" spans="1:12" x14ac:dyDescent="0.25">
      <c r="A92" t="s">
        <v>520</v>
      </c>
      <c r="B92">
        <v>15</v>
      </c>
      <c r="C92" t="s">
        <v>12</v>
      </c>
      <c r="D92" t="s">
        <v>3</v>
      </c>
      <c r="E92" s="106">
        <v>7.4927850866143402</v>
      </c>
      <c r="F92" s="106"/>
      <c r="G92" s="106">
        <v>7.52861728395062</v>
      </c>
      <c r="H92" s="106"/>
      <c r="I92">
        <v>4</v>
      </c>
      <c r="J92">
        <v>1</v>
      </c>
      <c r="K92">
        <v>1</v>
      </c>
      <c r="L92">
        <v>0</v>
      </c>
    </row>
    <row r="93" spans="1:12" x14ac:dyDescent="0.25">
      <c r="A93" t="s">
        <v>598</v>
      </c>
      <c r="B93">
        <v>15</v>
      </c>
      <c r="C93" t="s">
        <v>600</v>
      </c>
      <c r="D93" t="s">
        <v>3</v>
      </c>
      <c r="E93" s="106">
        <v>18.8732237754407</v>
      </c>
      <c r="F93" s="106">
        <v>15.8</v>
      </c>
      <c r="G93" s="106">
        <v>15.8</v>
      </c>
      <c r="H93" s="106"/>
      <c r="I93">
        <v>9</v>
      </c>
      <c r="J93">
        <v>1</v>
      </c>
      <c r="K93">
        <v>1</v>
      </c>
      <c r="L93">
        <v>0</v>
      </c>
    </row>
    <row r="94" spans="1:12" x14ac:dyDescent="0.25">
      <c r="A94" t="s">
        <v>537</v>
      </c>
      <c r="B94">
        <v>16</v>
      </c>
      <c r="C94" t="s">
        <v>538</v>
      </c>
      <c r="D94" t="s">
        <v>130</v>
      </c>
      <c r="E94" s="106">
        <v>28.790532327796999</v>
      </c>
      <c r="F94" s="106"/>
      <c r="G94" s="106">
        <v>27.907639236632701</v>
      </c>
      <c r="H94" s="106"/>
      <c r="I94">
        <v>10</v>
      </c>
      <c r="J94">
        <v>1</v>
      </c>
      <c r="K94">
        <v>1</v>
      </c>
      <c r="L94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23F8-C84C-4D70-AB27-A2CE6DE128BE}">
  <dimension ref="A1:G605"/>
  <sheetViews>
    <sheetView workbookViewId="0">
      <pane ySplit="1" topLeftCell="A2" activePane="bottomLeft" state="frozen"/>
      <selection pane="bottomLeft" activeCell="R12" sqref="R12"/>
    </sheetView>
  </sheetViews>
  <sheetFormatPr baseColWidth="10" defaultRowHeight="15" x14ac:dyDescent="0.25"/>
  <cols>
    <col min="1" max="1" width="13.28515625" customWidth="1"/>
    <col min="2" max="2" width="17.140625" customWidth="1"/>
    <col min="3" max="3" width="61" customWidth="1"/>
    <col min="4" max="4" width="9.5703125" customWidth="1"/>
    <col min="5" max="5" width="19" customWidth="1"/>
    <col min="6" max="7" width="15.28515625" customWidth="1"/>
  </cols>
  <sheetData>
    <row r="1" spans="1:7" x14ac:dyDescent="0.25">
      <c r="A1" t="s">
        <v>1999</v>
      </c>
      <c r="B1" t="s">
        <v>2020</v>
      </c>
      <c r="C1" t="s">
        <v>2021</v>
      </c>
      <c r="D1" t="s">
        <v>2002</v>
      </c>
      <c r="E1" t="s">
        <v>2022</v>
      </c>
      <c r="F1" t="s">
        <v>2023</v>
      </c>
      <c r="G1" t="s">
        <v>2024</v>
      </c>
    </row>
    <row r="2" spans="1:7" x14ac:dyDescent="0.25">
      <c r="A2" t="s">
        <v>494</v>
      </c>
      <c r="B2" t="s">
        <v>5</v>
      </c>
      <c r="C2" t="s">
        <v>492</v>
      </c>
      <c r="D2" t="s">
        <v>88</v>
      </c>
      <c r="E2" s="201">
        <v>1</v>
      </c>
      <c r="F2" s="106">
        <v>160</v>
      </c>
      <c r="G2" s="106">
        <v>160</v>
      </c>
    </row>
    <row r="3" spans="1:7" x14ac:dyDescent="0.25">
      <c r="A3" t="s">
        <v>491</v>
      </c>
      <c r="B3" t="s">
        <v>11</v>
      </c>
      <c r="C3" t="s">
        <v>701</v>
      </c>
      <c r="D3" t="s">
        <v>144</v>
      </c>
      <c r="E3" s="201">
        <v>3.07323519468945E-3</v>
      </c>
      <c r="F3" s="106">
        <v>82.972499999999997</v>
      </c>
      <c r="G3" s="106">
        <v>0.25499400719137</v>
      </c>
    </row>
    <row r="4" spans="1:7" x14ac:dyDescent="0.25">
      <c r="A4" t="s">
        <v>491</v>
      </c>
      <c r="B4" t="s">
        <v>11</v>
      </c>
      <c r="C4" t="s">
        <v>754</v>
      </c>
      <c r="D4" t="s">
        <v>15</v>
      </c>
      <c r="E4" s="201">
        <v>1.0507733691997301E-3</v>
      </c>
      <c r="F4" s="106">
        <v>1.02</v>
      </c>
      <c r="G4" s="106">
        <v>1.07178883658373E-3</v>
      </c>
    </row>
    <row r="5" spans="1:7" x14ac:dyDescent="0.25">
      <c r="A5" t="s">
        <v>491</v>
      </c>
      <c r="B5" t="s">
        <v>11</v>
      </c>
      <c r="C5" t="s">
        <v>775</v>
      </c>
      <c r="D5" t="s">
        <v>222</v>
      </c>
      <c r="E5" s="201">
        <v>1.77431656697844E-2</v>
      </c>
      <c r="F5" s="106">
        <v>0.51700000000000002</v>
      </c>
      <c r="G5" s="106">
        <v>9.1732166512785498E-3</v>
      </c>
    </row>
    <row r="6" spans="1:7" x14ac:dyDescent="0.25">
      <c r="A6" t="s">
        <v>491</v>
      </c>
      <c r="B6" t="s">
        <v>11</v>
      </c>
      <c r="C6" t="s">
        <v>783</v>
      </c>
      <c r="D6" t="s">
        <v>174</v>
      </c>
      <c r="E6" s="201">
        <v>2.4467621593491199E-2</v>
      </c>
      <c r="F6" s="106">
        <v>1.6359999999999999</v>
      </c>
      <c r="G6" s="106">
        <v>4.00290289269516E-2</v>
      </c>
    </row>
    <row r="7" spans="1:7" x14ac:dyDescent="0.25">
      <c r="A7" t="s">
        <v>491</v>
      </c>
      <c r="B7" t="s">
        <v>11</v>
      </c>
      <c r="C7" t="s">
        <v>810</v>
      </c>
      <c r="D7" t="s">
        <v>30</v>
      </c>
      <c r="E7" s="201">
        <v>4.6098527920341702E-3</v>
      </c>
      <c r="F7" s="106">
        <v>3.2450000000000001</v>
      </c>
      <c r="G7" s="106">
        <v>1.4958972310150901E-2</v>
      </c>
    </row>
    <row r="8" spans="1:7" x14ac:dyDescent="0.25">
      <c r="A8" t="s">
        <v>491</v>
      </c>
      <c r="B8" t="s">
        <v>11</v>
      </c>
      <c r="C8" t="s">
        <v>816</v>
      </c>
      <c r="D8" t="s">
        <v>30</v>
      </c>
      <c r="E8" s="201">
        <v>4.0142908755168398E-3</v>
      </c>
      <c r="F8" s="106">
        <v>3.5215000000000001</v>
      </c>
      <c r="G8" s="106">
        <v>1.4136325318132499E-2</v>
      </c>
    </row>
    <row r="9" spans="1:7" x14ac:dyDescent="0.25">
      <c r="A9" t="s">
        <v>491</v>
      </c>
      <c r="B9" t="s">
        <v>11</v>
      </c>
      <c r="C9" t="s">
        <v>824</v>
      </c>
      <c r="D9" t="s">
        <v>30</v>
      </c>
      <c r="E9" s="201">
        <v>9.3924524662233801E-3</v>
      </c>
      <c r="F9" s="106">
        <v>1.9257894736842101</v>
      </c>
      <c r="G9" s="106">
        <v>1.80878860915323E-2</v>
      </c>
    </row>
    <row r="10" spans="1:7" x14ac:dyDescent="0.25">
      <c r="A10" t="s">
        <v>491</v>
      </c>
      <c r="B10" t="s">
        <v>11</v>
      </c>
      <c r="C10" t="s">
        <v>820</v>
      </c>
      <c r="D10" t="s">
        <v>30</v>
      </c>
      <c r="E10" s="201">
        <v>6.2778170605288699E-3</v>
      </c>
      <c r="F10" s="106">
        <v>1.82233333333333</v>
      </c>
      <c r="G10" s="106">
        <v>1.14402752899704E-2</v>
      </c>
    </row>
    <row r="11" spans="1:7" x14ac:dyDescent="0.25">
      <c r="A11" t="s">
        <v>491</v>
      </c>
      <c r="B11" t="s">
        <v>11</v>
      </c>
      <c r="C11" t="s">
        <v>826</v>
      </c>
      <c r="D11" t="s">
        <v>30</v>
      </c>
      <c r="E11" s="201">
        <v>4.0142908755168398E-3</v>
      </c>
      <c r="F11" s="106">
        <v>2.415</v>
      </c>
      <c r="G11" s="106">
        <v>9.6945124643731707E-3</v>
      </c>
    </row>
    <row r="12" spans="1:7" x14ac:dyDescent="0.25">
      <c r="A12" t="s">
        <v>491</v>
      </c>
      <c r="B12" t="s">
        <v>11</v>
      </c>
      <c r="C12" t="s">
        <v>836</v>
      </c>
      <c r="D12" t="s">
        <v>15</v>
      </c>
      <c r="E12" s="201">
        <v>1.36600537995965E-2</v>
      </c>
      <c r="F12" s="106">
        <v>2.15</v>
      </c>
      <c r="G12" s="106">
        <v>2.9369115669132501E-2</v>
      </c>
    </row>
    <row r="13" spans="1:7" x14ac:dyDescent="0.25">
      <c r="A13" t="s">
        <v>491</v>
      </c>
      <c r="B13" t="s">
        <v>11</v>
      </c>
      <c r="C13" t="s">
        <v>914</v>
      </c>
      <c r="D13" t="s">
        <v>3</v>
      </c>
      <c r="E13" s="201">
        <v>0.100357271887921</v>
      </c>
      <c r="F13" s="106">
        <v>0.4</v>
      </c>
      <c r="G13" s="106">
        <v>4.0142908755168398E-2</v>
      </c>
    </row>
    <row r="14" spans="1:7" x14ac:dyDescent="0.25">
      <c r="A14" t="s">
        <v>491</v>
      </c>
      <c r="B14" t="s">
        <v>11</v>
      </c>
      <c r="C14" t="s">
        <v>939</v>
      </c>
      <c r="D14" t="s">
        <v>15</v>
      </c>
      <c r="E14" s="201">
        <v>4.0142908755168398E-2</v>
      </c>
      <c r="F14" s="106">
        <v>1.1206818181818201</v>
      </c>
      <c r="G14" s="106">
        <v>4.4987427970848898E-2</v>
      </c>
    </row>
    <row r="15" spans="1:7" x14ac:dyDescent="0.25">
      <c r="A15" t="s">
        <v>491</v>
      </c>
      <c r="B15" t="s">
        <v>11</v>
      </c>
      <c r="C15" t="s">
        <v>941</v>
      </c>
      <c r="D15" t="s">
        <v>15</v>
      </c>
      <c r="E15" s="201">
        <v>2.2698387800583499E-2</v>
      </c>
      <c r="F15" s="106">
        <v>1.1399999999999999</v>
      </c>
      <c r="G15" s="106">
        <v>2.58761620926652E-2</v>
      </c>
    </row>
    <row r="16" spans="1:7" x14ac:dyDescent="0.25">
      <c r="A16" t="s">
        <v>491</v>
      </c>
      <c r="B16" t="s">
        <v>11</v>
      </c>
      <c r="C16" t="s">
        <v>976</v>
      </c>
      <c r="D16" t="s">
        <v>15</v>
      </c>
      <c r="E16" s="201">
        <v>6.9243217492615403E-2</v>
      </c>
      <c r="F16" s="106">
        <v>1.8182499999999999</v>
      </c>
      <c r="G16" s="106">
        <v>0.12590148020594799</v>
      </c>
    </row>
    <row r="17" spans="1:7" x14ac:dyDescent="0.25">
      <c r="A17" t="s">
        <v>491</v>
      </c>
      <c r="B17" t="s">
        <v>11</v>
      </c>
      <c r="C17" t="s">
        <v>1008</v>
      </c>
      <c r="D17" t="s">
        <v>15</v>
      </c>
      <c r="E17" s="201">
        <v>9.2197055840683492E-3</v>
      </c>
      <c r="F17" s="106">
        <v>1.82816666666667</v>
      </c>
      <c r="G17" s="106">
        <v>1.68551584252743E-2</v>
      </c>
    </row>
    <row r="18" spans="1:7" x14ac:dyDescent="0.25">
      <c r="A18" t="s">
        <v>491</v>
      </c>
      <c r="B18" t="s">
        <v>11</v>
      </c>
      <c r="C18" t="s">
        <v>606</v>
      </c>
      <c r="D18" t="s">
        <v>15</v>
      </c>
      <c r="E18" s="201">
        <v>3.08277775589973E-2</v>
      </c>
      <c r="F18" s="106">
        <v>2.4034925925925901</v>
      </c>
      <c r="G18" s="106">
        <v>7.4094335009142101E-2</v>
      </c>
    </row>
    <row r="19" spans="1:7" x14ac:dyDescent="0.25">
      <c r="A19" t="s">
        <v>491</v>
      </c>
      <c r="B19" t="s">
        <v>5</v>
      </c>
      <c r="C19" t="s">
        <v>485</v>
      </c>
      <c r="D19" t="s">
        <v>130</v>
      </c>
      <c r="E19" s="201">
        <v>1</v>
      </c>
      <c r="F19" s="106">
        <v>0.77666666666666695</v>
      </c>
      <c r="G19" s="106">
        <v>0.77666666666666695</v>
      </c>
    </row>
    <row r="20" spans="1:7" x14ac:dyDescent="0.25">
      <c r="A20" t="s">
        <v>484</v>
      </c>
      <c r="B20" t="s">
        <v>5</v>
      </c>
      <c r="C20" t="s">
        <v>1923</v>
      </c>
      <c r="D20" t="s">
        <v>88</v>
      </c>
      <c r="E20" s="201">
        <v>1</v>
      </c>
      <c r="F20" s="106">
        <v>300</v>
      </c>
      <c r="G20" s="106">
        <v>300</v>
      </c>
    </row>
    <row r="21" spans="1:7" x14ac:dyDescent="0.25">
      <c r="A21" t="s">
        <v>482</v>
      </c>
      <c r="B21" t="s">
        <v>5</v>
      </c>
      <c r="C21" t="s">
        <v>1925</v>
      </c>
      <c r="D21" t="s">
        <v>88</v>
      </c>
      <c r="E21" s="201">
        <v>1</v>
      </c>
      <c r="F21" s="106">
        <v>300</v>
      </c>
      <c r="G21" s="106">
        <v>300</v>
      </c>
    </row>
    <row r="22" spans="1:7" x14ac:dyDescent="0.25">
      <c r="A22" t="s">
        <v>480</v>
      </c>
      <c r="B22" t="s">
        <v>11</v>
      </c>
      <c r="C22" t="s">
        <v>701</v>
      </c>
      <c r="D22" t="s">
        <v>144</v>
      </c>
      <c r="E22" s="201">
        <v>1</v>
      </c>
      <c r="F22" s="106">
        <v>82.972499999999997</v>
      </c>
      <c r="G22" s="106">
        <v>82.972499999999997</v>
      </c>
    </row>
    <row r="23" spans="1:7" x14ac:dyDescent="0.25">
      <c r="A23" t="s">
        <v>480</v>
      </c>
      <c r="B23" t="s">
        <v>11</v>
      </c>
      <c r="C23" t="s">
        <v>709</v>
      </c>
      <c r="D23" t="s">
        <v>15</v>
      </c>
      <c r="E23" s="201">
        <v>1.5</v>
      </c>
      <c r="F23" s="106">
        <v>0.67500000000000004</v>
      </c>
      <c r="G23" s="106">
        <v>1.0125</v>
      </c>
    </row>
    <row r="24" spans="1:7" x14ac:dyDescent="0.25">
      <c r="A24" t="s">
        <v>480</v>
      </c>
      <c r="B24" t="s">
        <v>11</v>
      </c>
      <c r="C24" t="s">
        <v>470</v>
      </c>
      <c r="D24" t="s">
        <v>15</v>
      </c>
      <c r="E24" s="201">
        <v>3</v>
      </c>
      <c r="F24" s="106">
        <v>0.55000000000000004</v>
      </c>
      <c r="G24" s="106">
        <v>1.65</v>
      </c>
    </row>
    <row r="25" spans="1:7" x14ac:dyDescent="0.25">
      <c r="A25" t="s">
        <v>480</v>
      </c>
      <c r="B25" t="s">
        <v>11</v>
      </c>
      <c r="C25" t="s">
        <v>727</v>
      </c>
      <c r="D25" t="s">
        <v>15</v>
      </c>
      <c r="E25" s="201">
        <v>6</v>
      </c>
      <c r="F25" s="106">
        <v>0.61</v>
      </c>
      <c r="G25" s="106">
        <v>3.66</v>
      </c>
    </row>
    <row r="26" spans="1:7" x14ac:dyDescent="0.25">
      <c r="A26" t="s">
        <v>480</v>
      </c>
      <c r="B26" t="s">
        <v>11</v>
      </c>
      <c r="C26" t="s">
        <v>731</v>
      </c>
      <c r="D26" t="s">
        <v>15</v>
      </c>
      <c r="E26" s="201">
        <v>700</v>
      </c>
      <c r="F26" s="106">
        <v>0.34599999999999997</v>
      </c>
      <c r="G26" s="106">
        <v>242.2</v>
      </c>
    </row>
    <row r="27" spans="1:7" x14ac:dyDescent="0.25">
      <c r="A27" t="s">
        <v>480</v>
      </c>
      <c r="B27" t="s">
        <v>11</v>
      </c>
      <c r="C27" t="s">
        <v>769</v>
      </c>
      <c r="D27" t="s">
        <v>15</v>
      </c>
      <c r="E27" s="201">
        <v>1</v>
      </c>
      <c r="F27" s="106">
        <v>27.1</v>
      </c>
      <c r="G27" s="106">
        <v>27.1</v>
      </c>
    </row>
    <row r="28" spans="1:7" x14ac:dyDescent="0.25">
      <c r="A28" t="s">
        <v>480</v>
      </c>
      <c r="B28" t="s">
        <v>11</v>
      </c>
      <c r="C28" t="s">
        <v>790</v>
      </c>
      <c r="D28" t="s">
        <v>174</v>
      </c>
      <c r="E28" s="201">
        <v>3</v>
      </c>
      <c r="F28" s="106">
        <v>6.7</v>
      </c>
      <c r="G28" s="106">
        <v>20.100000000000001</v>
      </c>
    </row>
    <row r="29" spans="1:7" x14ac:dyDescent="0.25">
      <c r="A29" t="s">
        <v>480</v>
      </c>
      <c r="B29" t="s">
        <v>11</v>
      </c>
      <c r="C29" t="s">
        <v>364</v>
      </c>
      <c r="D29" t="s">
        <v>30</v>
      </c>
      <c r="E29" s="201">
        <v>0.5</v>
      </c>
      <c r="F29" s="106">
        <v>3.94</v>
      </c>
      <c r="G29" s="106">
        <v>1.97</v>
      </c>
    </row>
    <row r="30" spans="1:7" x14ac:dyDescent="0.25">
      <c r="A30" t="s">
        <v>480</v>
      </c>
      <c r="B30" t="s">
        <v>11</v>
      </c>
      <c r="C30" t="s">
        <v>824</v>
      </c>
      <c r="D30" t="s">
        <v>30</v>
      </c>
      <c r="E30" s="201">
        <v>2.3333333333333299</v>
      </c>
      <c r="F30" s="106">
        <v>1.9257894736842101</v>
      </c>
      <c r="G30" s="106">
        <v>4.4935087719298199</v>
      </c>
    </row>
    <row r="31" spans="1:7" x14ac:dyDescent="0.25">
      <c r="A31" t="s">
        <v>480</v>
      </c>
      <c r="B31" t="s">
        <v>11</v>
      </c>
      <c r="C31" t="s">
        <v>820</v>
      </c>
      <c r="D31" t="s">
        <v>30</v>
      </c>
      <c r="E31" s="201">
        <v>2.25</v>
      </c>
      <c r="F31" s="106">
        <v>1.82233333333333</v>
      </c>
      <c r="G31" s="106">
        <v>4.10025</v>
      </c>
    </row>
    <row r="32" spans="1:7" x14ac:dyDescent="0.25">
      <c r="A32" t="s">
        <v>480</v>
      </c>
      <c r="B32" t="s">
        <v>11</v>
      </c>
      <c r="C32" t="s">
        <v>463</v>
      </c>
      <c r="D32" t="s">
        <v>30</v>
      </c>
      <c r="E32" s="201">
        <v>1.25</v>
      </c>
      <c r="F32" s="106">
        <v>3.125</v>
      </c>
      <c r="G32" s="106">
        <v>3.90625</v>
      </c>
    </row>
    <row r="33" spans="1:7" x14ac:dyDescent="0.25">
      <c r="A33" t="s">
        <v>480</v>
      </c>
      <c r="B33" t="s">
        <v>11</v>
      </c>
      <c r="C33" t="s">
        <v>836</v>
      </c>
      <c r="D33" t="s">
        <v>15</v>
      </c>
      <c r="E33" s="201">
        <v>54</v>
      </c>
      <c r="F33" s="106">
        <v>2.15</v>
      </c>
      <c r="G33" s="106">
        <v>116.1</v>
      </c>
    </row>
    <row r="34" spans="1:7" x14ac:dyDescent="0.25">
      <c r="A34" t="s">
        <v>480</v>
      </c>
      <c r="B34" t="s">
        <v>11</v>
      </c>
      <c r="C34" t="s">
        <v>856</v>
      </c>
      <c r="D34" t="s">
        <v>15</v>
      </c>
      <c r="E34" s="201">
        <v>1</v>
      </c>
      <c r="F34" s="106">
        <v>5.35</v>
      </c>
      <c r="G34" s="106">
        <v>5.35</v>
      </c>
    </row>
    <row r="35" spans="1:7" x14ac:dyDescent="0.25">
      <c r="A35" t="s">
        <v>480</v>
      </c>
      <c r="B35" t="s">
        <v>11</v>
      </c>
      <c r="C35" t="s">
        <v>886</v>
      </c>
      <c r="D35" t="s">
        <v>15</v>
      </c>
      <c r="E35" s="201">
        <v>1</v>
      </c>
      <c r="F35" s="106">
        <v>44</v>
      </c>
      <c r="G35" s="106">
        <v>44</v>
      </c>
    </row>
    <row r="36" spans="1:7" x14ac:dyDescent="0.25">
      <c r="A36" t="s">
        <v>480</v>
      </c>
      <c r="B36" t="s">
        <v>11</v>
      </c>
      <c r="C36" t="s">
        <v>891</v>
      </c>
      <c r="D36" t="s">
        <v>15</v>
      </c>
      <c r="E36" s="201">
        <v>1</v>
      </c>
      <c r="F36" s="106">
        <v>44</v>
      </c>
      <c r="G36" s="106">
        <v>44</v>
      </c>
    </row>
    <row r="37" spans="1:7" x14ac:dyDescent="0.25">
      <c r="A37" t="s">
        <v>480</v>
      </c>
      <c r="B37" t="s">
        <v>11</v>
      </c>
      <c r="C37" t="s">
        <v>939</v>
      </c>
      <c r="D37" t="s">
        <v>15</v>
      </c>
      <c r="E37" s="201">
        <v>8.5</v>
      </c>
      <c r="F37" s="106">
        <v>1.1206818181818201</v>
      </c>
      <c r="G37" s="106">
        <v>9.5257954545454506</v>
      </c>
    </row>
    <row r="38" spans="1:7" x14ac:dyDescent="0.25">
      <c r="A38" t="s">
        <v>480</v>
      </c>
      <c r="B38" t="s">
        <v>11</v>
      </c>
      <c r="C38" t="s">
        <v>943</v>
      </c>
      <c r="D38" t="s">
        <v>15</v>
      </c>
      <c r="E38" s="201">
        <v>24</v>
      </c>
      <c r="F38" s="106">
        <v>1.2</v>
      </c>
      <c r="G38" s="106">
        <v>28.8</v>
      </c>
    </row>
    <row r="39" spans="1:7" x14ac:dyDescent="0.25">
      <c r="A39" t="s">
        <v>480</v>
      </c>
      <c r="B39" t="s">
        <v>11</v>
      </c>
      <c r="C39" t="s">
        <v>945</v>
      </c>
      <c r="D39" t="s">
        <v>15</v>
      </c>
      <c r="E39" s="201">
        <v>4.5</v>
      </c>
      <c r="F39" s="106">
        <v>5.16</v>
      </c>
      <c r="G39" s="106">
        <v>23.22</v>
      </c>
    </row>
    <row r="40" spans="1:7" x14ac:dyDescent="0.25">
      <c r="A40" t="s">
        <v>480</v>
      </c>
      <c r="B40" t="s">
        <v>11</v>
      </c>
      <c r="C40" t="s">
        <v>947</v>
      </c>
      <c r="D40" t="s">
        <v>15</v>
      </c>
      <c r="E40" s="201">
        <v>8.6666666666666696</v>
      </c>
      <c r="F40" s="106">
        <v>6.96</v>
      </c>
      <c r="G40" s="106">
        <v>60.32</v>
      </c>
    </row>
    <row r="41" spans="1:7" x14ac:dyDescent="0.25">
      <c r="A41" t="s">
        <v>480</v>
      </c>
      <c r="B41" t="s">
        <v>11</v>
      </c>
      <c r="C41" t="s">
        <v>145</v>
      </c>
      <c r="D41" t="s">
        <v>144</v>
      </c>
      <c r="E41" s="201">
        <v>0.80500000000000005</v>
      </c>
      <c r="F41" s="106">
        <v>67.732222222222205</v>
      </c>
      <c r="G41" s="106">
        <v>54.524438888888902</v>
      </c>
    </row>
    <row r="42" spans="1:7" x14ac:dyDescent="0.25">
      <c r="A42" t="s">
        <v>480</v>
      </c>
      <c r="B42" t="s">
        <v>11</v>
      </c>
      <c r="C42" t="s">
        <v>976</v>
      </c>
      <c r="D42" t="s">
        <v>15</v>
      </c>
      <c r="E42" s="201">
        <v>18</v>
      </c>
      <c r="F42" s="106">
        <v>1.8182499999999999</v>
      </c>
      <c r="G42" s="106">
        <v>32.728499999999997</v>
      </c>
    </row>
    <row r="43" spans="1:7" x14ac:dyDescent="0.25">
      <c r="A43" t="s">
        <v>480</v>
      </c>
      <c r="B43" t="s">
        <v>11</v>
      </c>
      <c r="C43" t="s">
        <v>606</v>
      </c>
      <c r="D43" t="s">
        <v>15</v>
      </c>
      <c r="E43" s="201">
        <v>34.6666666666667</v>
      </c>
      <c r="F43" s="106">
        <v>2.4034925925925901</v>
      </c>
      <c r="G43" s="106">
        <v>83.321076543209898</v>
      </c>
    </row>
    <row r="44" spans="1:7" x14ac:dyDescent="0.25">
      <c r="A44" t="s">
        <v>480</v>
      </c>
      <c r="B44" t="s">
        <v>11</v>
      </c>
      <c r="C44" t="s">
        <v>1012</v>
      </c>
      <c r="D44" t="s">
        <v>15</v>
      </c>
      <c r="E44" s="201">
        <v>2</v>
      </c>
      <c r="F44" s="106">
        <v>6.35</v>
      </c>
      <c r="G44" s="106">
        <v>12.7</v>
      </c>
    </row>
    <row r="45" spans="1:7" x14ac:dyDescent="0.25">
      <c r="A45" t="s">
        <v>480</v>
      </c>
      <c r="B45" t="s">
        <v>11</v>
      </c>
      <c r="C45" t="s">
        <v>456</v>
      </c>
      <c r="D45" t="s">
        <v>144</v>
      </c>
      <c r="E45" s="201">
        <v>1.3</v>
      </c>
      <c r="F45" s="106">
        <v>46.92</v>
      </c>
      <c r="G45" s="106">
        <v>60.996000000000002</v>
      </c>
    </row>
    <row r="46" spans="1:7" x14ac:dyDescent="0.25">
      <c r="A46" t="s">
        <v>480</v>
      </c>
      <c r="B46" t="s">
        <v>11</v>
      </c>
      <c r="C46" t="s">
        <v>1061</v>
      </c>
      <c r="D46" t="s">
        <v>15</v>
      </c>
      <c r="E46" s="201">
        <v>2</v>
      </c>
      <c r="F46" s="106">
        <v>4.1849999999999996</v>
      </c>
      <c r="G46" s="106">
        <v>8.3699999999999992</v>
      </c>
    </row>
    <row r="47" spans="1:7" x14ac:dyDescent="0.25">
      <c r="A47" t="s">
        <v>480</v>
      </c>
      <c r="B47" t="s">
        <v>11</v>
      </c>
      <c r="C47" t="s">
        <v>1063</v>
      </c>
      <c r="D47" t="s">
        <v>15</v>
      </c>
      <c r="E47" s="201">
        <v>14</v>
      </c>
      <c r="F47" s="106">
        <v>7.5173333333333296</v>
      </c>
      <c r="G47" s="106">
        <v>105.24266666666701</v>
      </c>
    </row>
    <row r="48" spans="1:7" x14ac:dyDescent="0.25">
      <c r="A48" t="s">
        <v>480</v>
      </c>
      <c r="B48" t="s">
        <v>5</v>
      </c>
      <c r="C48" t="s">
        <v>459</v>
      </c>
      <c r="D48" t="s">
        <v>88</v>
      </c>
      <c r="E48" s="201">
        <v>1</v>
      </c>
      <c r="F48" s="106">
        <v>200</v>
      </c>
      <c r="G48" s="106">
        <v>200</v>
      </c>
    </row>
    <row r="49" spans="1:7" x14ac:dyDescent="0.25">
      <c r="A49" t="s">
        <v>458</v>
      </c>
      <c r="B49" t="s">
        <v>11</v>
      </c>
      <c r="C49" t="s">
        <v>788</v>
      </c>
      <c r="D49" t="s">
        <v>8</v>
      </c>
      <c r="E49" s="201">
        <v>4.9920127795527198E-3</v>
      </c>
      <c r="F49" s="106">
        <v>6.7489472778273596</v>
      </c>
      <c r="G49" s="106">
        <v>3.3690831059441699E-2</v>
      </c>
    </row>
    <row r="50" spans="1:7" x14ac:dyDescent="0.25">
      <c r="A50" t="s">
        <v>458</v>
      </c>
      <c r="B50" t="s">
        <v>11</v>
      </c>
      <c r="C50" t="s">
        <v>824</v>
      </c>
      <c r="D50" t="s">
        <v>30</v>
      </c>
      <c r="E50" s="201">
        <v>3.0673839200908298E-2</v>
      </c>
      <c r="F50" s="106">
        <v>1.9257894736842101</v>
      </c>
      <c r="G50" s="106">
        <v>5.9071356650591302E-2</v>
      </c>
    </row>
    <row r="51" spans="1:7" x14ac:dyDescent="0.25">
      <c r="A51" t="s">
        <v>458</v>
      </c>
      <c r="B51" t="s">
        <v>11</v>
      </c>
      <c r="C51" t="s">
        <v>820</v>
      </c>
      <c r="D51" t="s">
        <v>30</v>
      </c>
      <c r="E51" s="201">
        <v>1.09409190371991E-2</v>
      </c>
      <c r="F51" s="106">
        <v>1.82233333333333</v>
      </c>
      <c r="G51" s="106">
        <v>1.9938001458789201E-2</v>
      </c>
    </row>
    <row r="52" spans="1:7" x14ac:dyDescent="0.25">
      <c r="A52" t="s">
        <v>458</v>
      </c>
      <c r="B52" t="s">
        <v>11</v>
      </c>
      <c r="C52" t="s">
        <v>836</v>
      </c>
      <c r="D52" t="s">
        <v>15</v>
      </c>
      <c r="E52" s="201">
        <v>0.38657913931436899</v>
      </c>
      <c r="F52" s="106">
        <v>2.15</v>
      </c>
      <c r="G52" s="106">
        <v>0.83114514952589402</v>
      </c>
    </row>
    <row r="53" spans="1:7" x14ac:dyDescent="0.25">
      <c r="A53" t="s">
        <v>458</v>
      </c>
      <c r="B53" t="s">
        <v>11</v>
      </c>
      <c r="C53" t="s">
        <v>939</v>
      </c>
      <c r="D53" t="s">
        <v>15</v>
      </c>
      <c r="E53" s="201">
        <v>0.16046681254558701</v>
      </c>
      <c r="F53" s="106">
        <v>1.1206818181818201</v>
      </c>
      <c r="G53" s="106">
        <v>0.17983223924142999</v>
      </c>
    </row>
    <row r="54" spans="1:7" x14ac:dyDescent="0.25">
      <c r="A54" t="s">
        <v>458</v>
      </c>
      <c r="B54" t="s">
        <v>11</v>
      </c>
      <c r="C54" t="s">
        <v>943</v>
      </c>
      <c r="D54" t="s">
        <v>15</v>
      </c>
      <c r="E54" s="201">
        <v>0.214796733687078</v>
      </c>
      <c r="F54" s="106">
        <v>1.2</v>
      </c>
      <c r="G54" s="106">
        <v>0.25775608042449399</v>
      </c>
    </row>
    <row r="55" spans="1:7" x14ac:dyDescent="0.25">
      <c r="A55" t="s">
        <v>458</v>
      </c>
      <c r="B55" t="s">
        <v>11</v>
      </c>
      <c r="C55" t="s">
        <v>456</v>
      </c>
      <c r="D55" t="s">
        <v>144</v>
      </c>
      <c r="E55" s="201">
        <v>0.45183403126842397</v>
      </c>
      <c r="F55" s="106">
        <v>46.92</v>
      </c>
      <c r="G55" s="106">
        <v>21.200052747114501</v>
      </c>
    </row>
    <row r="56" spans="1:7" x14ac:dyDescent="0.25">
      <c r="A56" t="s">
        <v>458</v>
      </c>
      <c r="B56" t="s">
        <v>11</v>
      </c>
      <c r="C56" t="s">
        <v>454</v>
      </c>
      <c r="D56" t="s">
        <v>102</v>
      </c>
      <c r="E56" s="201">
        <v>0.34944089456868999</v>
      </c>
      <c r="F56" s="106">
        <v>0.56000000000000005</v>
      </c>
      <c r="G56" s="106">
        <v>0.195686900958466</v>
      </c>
    </row>
    <row r="57" spans="1:7" x14ac:dyDescent="0.25">
      <c r="A57" t="s">
        <v>458</v>
      </c>
      <c r="B57" t="s">
        <v>11</v>
      </c>
      <c r="C57" t="s">
        <v>239</v>
      </c>
      <c r="D57" t="s">
        <v>3</v>
      </c>
      <c r="E57" s="201">
        <v>1.11765144177036</v>
      </c>
      <c r="F57" s="106">
        <v>0.64426666666666699</v>
      </c>
      <c r="G57" s="106">
        <v>0.72006556888458395</v>
      </c>
    </row>
    <row r="58" spans="1:7" x14ac:dyDescent="0.25">
      <c r="A58" t="s">
        <v>458</v>
      </c>
      <c r="B58" t="s">
        <v>11</v>
      </c>
      <c r="C58" t="s">
        <v>1027</v>
      </c>
      <c r="D58" t="s">
        <v>15</v>
      </c>
      <c r="E58" s="201">
        <v>0.27627158870252999</v>
      </c>
      <c r="F58" s="106">
        <v>1.5349999999999999</v>
      </c>
      <c r="G58" s="106">
        <v>0.424076888658384</v>
      </c>
    </row>
    <row r="59" spans="1:7" x14ac:dyDescent="0.25">
      <c r="A59" t="s">
        <v>458</v>
      </c>
      <c r="B59" t="s">
        <v>5</v>
      </c>
      <c r="C59" t="s">
        <v>453</v>
      </c>
      <c r="D59" t="s">
        <v>3</v>
      </c>
      <c r="E59" s="201">
        <v>1</v>
      </c>
      <c r="F59" s="106">
        <v>2.14</v>
      </c>
      <c r="G59" s="106">
        <v>2.14</v>
      </c>
    </row>
    <row r="60" spans="1:7" x14ac:dyDescent="0.25">
      <c r="A60" t="s">
        <v>452</v>
      </c>
      <c r="B60" t="s">
        <v>5</v>
      </c>
      <c r="C60" t="s">
        <v>450</v>
      </c>
      <c r="D60" t="s">
        <v>88</v>
      </c>
      <c r="E60" s="201">
        <v>1</v>
      </c>
      <c r="F60" s="106">
        <v>89.29</v>
      </c>
      <c r="G60" s="106">
        <v>89.29</v>
      </c>
    </row>
    <row r="61" spans="1:7" x14ac:dyDescent="0.25">
      <c r="A61" t="s">
        <v>447</v>
      </c>
      <c r="B61" t="s">
        <v>2</v>
      </c>
      <c r="C61" t="s">
        <v>445</v>
      </c>
      <c r="D61" t="s">
        <v>6</v>
      </c>
      <c r="E61" s="201">
        <v>1</v>
      </c>
      <c r="F61" s="106">
        <v>1.1599999999999999</v>
      </c>
      <c r="G61" s="106">
        <v>1.1599999999999999</v>
      </c>
    </row>
    <row r="62" spans="1:7" x14ac:dyDescent="0.25">
      <c r="A62" t="s">
        <v>444</v>
      </c>
      <c r="B62" t="s">
        <v>2</v>
      </c>
      <c r="C62" t="s">
        <v>442</v>
      </c>
      <c r="D62" t="s">
        <v>6</v>
      </c>
      <c r="E62" s="201">
        <v>1</v>
      </c>
      <c r="F62" s="106">
        <v>20.285</v>
      </c>
      <c r="G62" s="106">
        <v>20.285</v>
      </c>
    </row>
    <row r="63" spans="1:7" x14ac:dyDescent="0.25">
      <c r="A63" t="s">
        <v>441</v>
      </c>
      <c r="B63" t="s">
        <v>5</v>
      </c>
      <c r="C63" t="s">
        <v>439</v>
      </c>
      <c r="D63" t="s">
        <v>6</v>
      </c>
      <c r="E63" s="201">
        <v>1</v>
      </c>
      <c r="F63" s="106">
        <v>2.8833333333333302</v>
      </c>
      <c r="G63" s="106">
        <v>2.8833333333333302</v>
      </c>
    </row>
    <row r="64" spans="1:7" x14ac:dyDescent="0.25">
      <c r="A64" t="s">
        <v>438</v>
      </c>
      <c r="B64" t="s">
        <v>2</v>
      </c>
      <c r="C64" t="s">
        <v>436</v>
      </c>
      <c r="D64" t="s">
        <v>130</v>
      </c>
      <c r="E64" s="201">
        <v>1</v>
      </c>
      <c r="F64" s="106">
        <v>0.62666666666666704</v>
      </c>
      <c r="G64" s="106">
        <v>0.62666666666666704</v>
      </c>
    </row>
    <row r="65" spans="1:7" x14ac:dyDescent="0.25">
      <c r="A65" t="s">
        <v>435</v>
      </c>
      <c r="B65" t="s">
        <v>5</v>
      </c>
      <c r="C65" t="s">
        <v>433</v>
      </c>
      <c r="D65" t="s">
        <v>130</v>
      </c>
      <c r="E65" s="201">
        <v>1</v>
      </c>
      <c r="F65" s="106">
        <v>0.7</v>
      </c>
      <c r="G65" s="106">
        <v>0.7</v>
      </c>
    </row>
    <row r="66" spans="1:7" x14ac:dyDescent="0.25">
      <c r="A66" t="s">
        <v>435</v>
      </c>
      <c r="B66" t="s">
        <v>2</v>
      </c>
      <c r="C66" t="s">
        <v>328</v>
      </c>
      <c r="D66" t="s">
        <v>432</v>
      </c>
      <c r="E66" s="201">
        <v>1.8419598452753701E-3</v>
      </c>
      <c r="F66" s="106">
        <v>22</v>
      </c>
      <c r="G66" s="106">
        <v>4.0523116596058201E-2</v>
      </c>
    </row>
    <row r="67" spans="1:7" x14ac:dyDescent="0.25">
      <c r="A67" t="s">
        <v>431</v>
      </c>
      <c r="B67" t="s">
        <v>2</v>
      </c>
      <c r="C67" t="s">
        <v>429</v>
      </c>
      <c r="D67" t="s">
        <v>6</v>
      </c>
      <c r="E67" s="201">
        <v>1</v>
      </c>
      <c r="F67" s="106">
        <v>3.92</v>
      </c>
      <c r="G67" s="106">
        <v>3.92</v>
      </c>
    </row>
    <row r="68" spans="1:7" x14ac:dyDescent="0.25">
      <c r="A68" t="s">
        <v>428</v>
      </c>
      <c r="B68" t="s">
        <v>2</v>
      </c>
      <c r="C68" t="s">
        <v>303</v>
      </c>
      <c r="D68" t="s">
        <v>88</v>
      </c>
      <c r="E68" s="201">
        <v>1</v>
      </c>
      <c r="F68" s="106">
        <v>400</v>
      </c>
      <c r="G68" s="106">
        <v>400</v>
      </c>
    </row>
    <row r="69" spans="1:7" x14ac:dyDescent="0.25">
      <c r="A69" t="s">
        <v>425</v>
      </c>
      <c r="B69" t="s">
        <v>5</v>
      </c>
      <c r="C69" t="s">
        <v>423</v>
      </c>
      <c r="D69" t="s">
        <v>3</v>
      </c>
      <c r="E69" s="201">
        <v>1</v>
      </c>
      <c r="F69" s="106">
        <v>3.9</v>
      </c>
      <c r="G69" s="106">
        <v>3.9</v>
      </c>
    </row>
    <row r="70" spans="1:7" x14ac:dyDescent="0.25">
      <c r="A70" t="s">
        <v>422</v>
      </c>
      <c r="B70" t="s">
        <v>5</v>
      </c>
      <c r="C70" t="s">
        <v>420</v>
      </c>
      <c r="D70" t="s">
        <v>3</v>
      </c>
      <c r="E70" s="201">
        <v>1</v>
      </c>
      <c r="F70" s="106">
        <v>3.9</v>
      </c>
      <c r="G70" s="106">
        <v>3.9</v>
      </c>
    </row>
    <row r="71" spans="1:7" x14ac:dyDescent="0.25">
      <c r="A71" t="s">
        <v>417</v>
      </c>
      <c r="B71" t="s">
        <v>5</v>
      </c>
      <c r="C71" t="s">
        <v>415</v>
      </c>
      <c r="D71" t="s">
        <v>6</v>
      </c>
      <c r="E71" s="201">
        <v>1</v>
      </c>
      <c r="F71" s="106">
        <v>7.8333333333333304</v>
      </c>
      <c r="G71" s="106">
        <v>7.8333333333333304</v>
      </c>
    </row>
    <row r="72" spans="1:7" x14ac:dyDescent="0.25">
      <c r="A72" t="s">
        <v>417</v>
      </c>
      <c r="B72" t="s">
        <v>2</v>
      </c>
      <c r="C72" t="s">
        <v>328</v>
      </c>
      <c r="D72" t="s">
        <v>78</v>
      </c>
      <c r="E72" s="201">
        <v>0.21857136879136399</v>
      </c>
      <c r="F72" s="106">
        <v>22</v>
      </c>
      <c r="G72" s="106">
        <v>4.8085701134100001</v>
      </c>
    </row>
    <row r="73" spans="1:7" x14ac:dyDescent="0.25">
      <c r="A73" t="s">
        <v>414</v>
      </c>
      <c r="B73" t="s">
        <v>11</v>
      </c>
      <c r="C73" t="s">
        <v>879</v>
      </c>
      <c r="D73" t="s">
        <v>23</v>
      </c>
      <c r="E73" s="201">
        <v>0.31120331950207503</v>
      </c>
      <c r="F73" s="106">
        <v>2.14</v>
      </c>
      <c r="G73" s="106">
        <v>0.66597510373444002</v>
      </c>
    </row>
    <row r="74" spans="1:7" x14ac:dyDescent="0.25">
      <c r="A74" t="s">
        <v>414</v>
      </c>
      <c r="B74" t="s">
        <v>5</v>
      </c>
      <c r="C74" t="s">
        <v>411</v>
      </c>
      <c r="D74" t="s">
        <v>6</v>
      </c>
      <c r="E74" s="201">
        <v>1</v>
      </c>
      <c r="F74" s="106">
        <v>4.29</v>
      </c>
      <c r="G74" s="106">
        <v>4.29</v>
      </c>
    </row>
    <row r="75" spans="1:7" x14ac:dyDescent="0.25">
      <c r="A75" t="s">
        <v>414</v>
      </c>
      <c r="B75" t="s">
        <v>2</v>
      </c>
      <c r="C75" t="s">
        <v>1188</v>
      </c>
      <c r="D75" t="s">
        <v>410</v>
      </c>
      <c r="E75" s="201">
        <v>0.32480506803606601</v>
      </c>
      <c r="F75" s="106">
        <v>25</v>
      </c>
      <c r="G75" s="106">
        <v>8.1201267009016505</v>
      </c>
    </row>
    <row r="76" spans="1:7" x14ac:dyDescent="0.25">
      <c r="A76" t="s">
        <v>409</v>
      </c>
      <c r="B76" t="s">
        <v>11</v>
      </c>
      <c r="C76" t="s">
        <v>818</v>
      </c>
      <c r="D76" t="s">
        <v>30</v>
      </c>
      <c r="E76" s="201">
        <v>8.2703213610586003E-3</v>
      </c>
      <c r="F76" s="106">
        <v>1.84375</v>
      </c>
      <c r="G76" s="106">
        <v>1.52484050094518E-2</v>
      </c>
    </row>
    <row r="77" spans="1:7" x14ac:dyDescent="0.25">
      <c r="A77" t="s">
        <v>409</v>
      </c>
      <c r="B77" t="s">
        <v>11</v>
      </c>
      <c r="C77" t="s">
        <v>822</v>
      </c>
      <c r="D77" t="s">
        <v>30</v>
      </c>
      <c r="E77" s="201">
        <v>2.3629489603024601E-3</v>
      </c>
      <c r="F77" s="106">
        <v>2.0827777777777801</v>
      </c>
      <c r="G77" s="106">
        <v>4.92149758454106E-3</v>
      </c>
    </row>
    <row r="78" spans="1:7" x14ac:dyDescent="0.25">
      <c r="A78" t="s">
        <v>409</v>
      </c>
      <c r="B78" t="s">
        <v>11</v>
      </c>
      <c r="C78" t="s">
        <v>370</v>
      </c>
      <c r="D78" t="s">
        <v>144</v>
      </c>
      <c r="E78" s="201">
        <v>1.50756143667297E-2</v>
      </c>
      <c r="F78" s="106">
        <v>67.681818181818201</v>
      </c>
      <c r="G78" s="106">
        <v>1.0203449905482</v>
      </c>
    </row>
    <row r="79" spans="1:7" x14ac:dyDescent="0.25">
      <c r="A79" t="s">
        <v>409</v>
      </c>
      <c r="B79" t="s">
        <v>5</v>
      </c>
      <c r="C79" t="s">
        <v>406</v>
      </c>
      <c r="D79" t="s">
        <v>130</v>
      </c>
      <c r="E79" s="201">
        <v>1</v>
      </c>
      <c r="F79" s="106">
        <v>1.86</v>
      </c>
      <c r="G79" s="106">
        <v>1.86</v>
      </c>
    </row>
    <row r="80" spans="1:7" x14ac:dyDescent="0.25">
      <c r="A80" t="s">
        <v>409</v>
      </c>
      <c r="B80" t="s">
        <v>2</v>
      </c>
      <c r="C80" t="s">
        <v>328</v>
      </c>
      <c r="D80" t="s">
        <v>78</v>
      </c>
      <c r="E80" s="201">
        <v>2.3629489603024599E-2</v>
      </c>
      <c r="F80" s="106">
        <v>22</v>
      </c>
      <c r="G80" s="106">
        <v>0.51984877126654105</v>
      </c>
    </row>
    <row r="81" spans="1:7" x14ac:dyDescent="0.25">
      <c r="A81" t="s">
        <v>403</v>
      </c>
      <c r="B81" t="s">
        <v>11</v>
      </c>
      <c r="C81" t="s">
        <v>854</v>
      </c>
      <c r="D81" t="s">
        <v>15</v>
      </c>
      <c r="E81" s="201">
        <v>1.4947980270509601E-3</v>
      </c>
      <c r="F81" s="106">
        <v>2.5252631578947402</v>
      </c>
      <c r="G81" s="106">
        <v>3.7747583862055198E-3</v>
      </c>
    </row>
    <row r="82" spans="1:7" x14ac:dyDescent="0.25">
      <c r="A82" t="s">
        <v>403</v>
      </c>
      <c r="B82" t="s">
        <v>11</v>
      </c>
      <c r="C82" t="s">
        <v>64</v>
      </c>
      <c r="D82" t="s">
        <v>15</v>
      </c>
      <c r="E82" s="201">
        <v>3.8971413864863302E-2</v>
      </c>
      <c r="F82" s="106">
        <v>50.794114583333297</v>
      </c>
      <c r="G82" s="106">
        <v>1.9795184613263701</v>
      </c>
    </row>
    <row r="83" spans="1:7" x14ac:dyDescent="0.25">
      <c r="A83" t="s">
        <v>403</v>
      </c>
      <c r="B83" t="s">
        <v>11</v>
      </c>
      <c r="C83" t="s">
        <v>1029</v>
      </c>
      <c r="D83" t="s">
        <v>15</v>
      </c>
      <c r="E83" s="201">
        <v>1.12852806085023E-3</v>
      </c>
      <c r="F83" s="106">
        <v>0.1141875</v>
      </c>
      <c r="G83" s="106">
        <v>1.2886379794833599E-4</v>
      </c>
    </row>
    <row r="84" spans="1:7" x14ac:dyDescent="0.25">
      <c r="A84" t="s">
        <v>403</v>
      </c>
      <c r="B84" t="s">
        <v>5</v>
      </c>
      <c r="C84" t="s">
        <v>401</v>
      </c>
      <c r="D84" t="s">
        <v>130</v>
      </c>
      <c r="E84" s="201">
        <v>1</v>
      </c>
      <c r="F84" s="106">
        <v>1.04</v>
      </c>
      <c r="G84" s="106">
        <v>1.04</v>
      </c>
    </row>
    <row r="85" spans="1:7" x14ac:dyDescent="0.25">
      <c r="A85" t="s">
        <v>403</v>
      </c>
      <c r="B85" t="s">
        <v>2</v>
      </c>
      <c r="C85" t="s">
        <v>1237</v>
      </c>
      <c r="D85" t="s">
        <v>15</v>
      </c>
      <c r="E85" s="201">
        <v>3.65495740147149E-4</v>
      </c>
      <c r="F85" s="106">
        <v>70</v>
      </c>
      <c r="G85" s="106">
        <v>2.5584701810300401E-2</v>
      </c>
    </row>
    <row r="86" spans="1:7" x14ac:dyDescent="0.25">
      <c r="A86" t="s">
        <v>399</v>
      </c>
      <c r="B86" t="s">
        <v>11</v>
      </c>
      <c r="C86" t="s">
        <v>1042</v>
      </c>
      <c r="D86" t="s">
        <v>15</v>
      </c>
      <c r="E86" s="201">
        <v>0.21097046413502099</v>
      </c>
      <c r="F86" s="106">
        <v>5.0599999999999996</v>
      </c>
      <c r="G86" s="106">
        <v>1.0675105485232099</v>
      </c>
    </row>
    <row r="87" spans="1:7" x14ac:dyDescent="0.25">
      <c r="A87" t="s">
        <v>399</v>
      </c>
      <c r="B87" t="s">
        <v>5</v>
      </c>
      <c r="C87" t="s">
        <v>396</v>
      </c>
      <c r="D87" t="s">
        <v>30</v>
      </c>
      <c r="E87" s="201">
        <v>1</v>
      </c>
      <c r="F87" s="106">
        <v>0.32</v>
      </c>
      <c r="G87" s="106">
        <v>0.32</v>
      </c>
    </row>
    <row r="88" spans="1:7" x14ac:dyDescent="0.25">
      <c r="A88" t="s">
        <v>395</v>
      </c>
      <c r="B88" t="s">
        <v>11</v>
      </c>
      <c r="C88" t="s">
        <v>383</v>
      </c>
      <c r="D88" t="s">
        <v>382</v>
      </c>
      <c r="E88" s="201">
        <v>2.8697941588102897E-4</v>
      </c>
      <c r="F88" s="106">
        <v>32.625</v>
      </c>
      <c r="G88" s="106">
        <v>9.3627034431185696E-3</v>
      </c>
    </row>
    <row r="89" spans="1:7" x14ac:dyDescent="0.25">
      <c r="A89" t="s">
        <v>395</v>
      </c>
      <c r="B89" t="s">
        <v>11</v>
      </c>
      <c r="C89" t="s">
        <v>854</v>
      </c>
      <c r="D89" t="s">
        <v>15</v>
      </c>
      <c r="E89" s="201">
        <v>3.3967692294059799E-3</v>
      </c>
      <c r="F89" s="106">
        <v>2.5252631578947402</v>
      </c>
      <c r="G89" s="106">
        <v>8.5777361908894092E-3</v>
      </c>
    </row>
    <row r="90" spans="1:7" x14ac:dyDescent="0.25">
      <c r="A90" t="s">
        <v>395</v>
      </c>
      <c r="B90" t="s">
        <v>11</v>
      </c>
      <c r="C90" t="s">
        <v>987</v>
      </c>
      <c r="D90" t="s">
        <v>15</v>
      </c>
      <c r="E90" s="201">
        <v>5.5226129138479299E-4</v>
      </c>
      <c r="F90" s="106">
        <v>0.92727272727272703</v>
      </c>
      <c r="G90" s="106">
        <v>5.1209683382953501E-4</v>
      </c>
    </row>
    <row r="91" spans="1:7" x14ac:dyDescent="0.25">
      <c r="A91" t="s">
        <v>395</v>
      </c>
      <c r="B91" t="s">
        <v>11</v>
      </c>
      <c r="C91" t="s">
        <v>1029</v>
      </c>
      <c r="D91" t="s">
        <v>15</v>
      </c>
      <c r="E91" s="201">
        <v>1.1850123769279099E-3</v>
      </c>
      <c r="F91" s="106">
        <v>0.1141875</v>
      </c>
      <c r="G91" s="106">
        <v>1.3531360079045601E-4</v>
      </c>
    </row>
    <row r="92" spans="1:7" x14ac:dyDescent="0.25">
      <c r="A92" t="s">
        <v>395</v>
      </c>
      <c r="B92" t="s">
        <v>11</v>
      </c>
      <c r="C92" t="s">
        <v>1044</v>
      </c>
      <c r="D92" t="s">
        <v>15</v>
      </c>
      <c r="E92" s="201">
        <v>0.11049232676764099</v>
      </c>
      <c r="F92" s="106">
        <v>8.1945999999999994</v>
      </c>
      <c r="G92" s="106">
        <v>0.90544042093011501</v>
      </c>
    </row>
    <row r="93" spans="1:7" x14ac:dyDescent="0.25">
      <c r="A93" t="s">
        <v>395</v>
      </c>
      <c r="B93" t="s">
        <v>5</v>
      </c>
      <c r="C93" t="s">
        <v>393</v>
      </c>
      <c r="D93" t="s">
        <v>30</v>
      </c>
      <c r="E93" s="201">
        <v>1</v>
      </c>
      <c r="F93" s="106">
        <v>0.32</v>
      </c>
      <c r="G93" s="106">
        <v>0.32</v>
      </c>
    </row>
    <row r="94" spans="1:7" x14ac:dyDescent="0.25">
      <c r="A94" t="s">
        <v>395</v>
      </c>
      <c r="B94" t="s">
        <v>2</v>
      </c>
      <c r="C94" t="s">
        <v>1176</v>
      </c>
      <c r="D94" t="s">
        <v>15</v>
      </c>
      <c r="E94" s="201">
        <v>3.6817419425652898E-3</v>
      </c>
      <c r="F94" s="106">
        <v>0.35957142857142899</v>
      </c>
      <c r="G94" s="106">
        <v>1.32384920991955E-3</v>
      </c>
    </row>
    <row r="95" spans="1:7" x14ac:dyDescent="0.25">
      <c r="A95" t="s">
        <v>395</v>
      </c>
      <c r="B95" t="s">
        <v>2</v>
      </c>
      <c r="C95" t="s">
        <v>1198</v>
      </c>
      <c r="D95" t="s">
        <v>15</v>
      </c>
      <c r="E95" s="201">
        <v>3.6817419425652898E-3</v>
      </c>
      <c r="F95" s="106">
        <v>8.99482608695652E-2</v>
      </c>
      <c r="G95" s="106">
        <v>3.3116628470428199E-4</v>
      </c>
    </row>
    <row r="96" spans="1:7" x14ac:dyDescent="0.25">
      <c r="A96" t="s">
        <v>392</v>
      </c>
      <c r="B96" t="s">
        <v>11</v>
      </c>
      <c r="C96" t="s">
        <v>383</v>
      </c>
      <c r="D96" t="s">
        <v>382</v>
      </c>
      <c r="E96" s="201">
        <v>1.78193611911644E-3</v>
      </c>
      <c r="F96" s="106">
        <v>32.625</v>
      </c>
      <c r="G96" s="106">
        <v>5.8135665886173797E-2</v>
      </c>
    </row>
    <row r="97" spans="1:7" x14ac:dyDescent="0.25">
      <c r="A97" t="s">
        <v>392</v>
      </c>
      <c r="B97" t="s">
        <v>11</v>
      </c>
      <c r="C97" t="s">
        <v>854</v>
      </c>
      <c r="D97" t="s">
        <v>15</v>
      </c>
      <c r="E97" s="201">
        <v>6.18302169898877E-3</v>
      </c>
      <c r="F97" s="106">
        <v>2.5252631578947402</v>
      </c>
      <c r="G97" s="106">
        <v>1.56137569009201E-2</v>
      </c>
    </row>
    <row r="98" spans="1:7" x14ac:dyDescent="0.25">
      <c r="A98" t="s">
        <v>392</v>
      </c>
      <c r="B98" t="s">
        <v>11</v>
      </c>
      <c r="C98" t="s">
        <v>987</v>
      </c>
      <c r="D98" t="s">
        <v>15</v>
      </c>
      <c r="E98" s="201">
        <v>6.5838419351228197E-4</v>
      </c>
      <c r="F98" s="106">
        <v>0.92727272727272703</v>
      </c>
      <c r="G98" s="106">
        <v>6.1050170671138901E-4</v>
      </c>
    </row>
    <row r="99" spans="1:7" x14ac:dyDescent="0.25">
      <c r="A99" t="s">
        <v>392</v>
      </c>
      <c r="B99" t="s">
        <v>11</v>
      </c>
      <c r="C99" t="s">
        <v>1029</v>
      </c>
      <c r="D99" t="s">
        <v>15</v>
      </c>
      <c r="E99" s="201">
        <v>6.8343244817963304E-3</v>
      </c>
      <c r="F99" s="106">
        <v>0.1141875</v>
      </c>
      <c r="G99" s="106">
        <v>7.8039442676511902E-4</v>
      </c>
    </row>
    <row r="100" spans="1:7" x14ac:dyDescent="0.25">
      <c r="A100" t="s">
        <v>392</v>
      </c>
      <c r="B100" t="s">
        <v>11</v>
      </c>
      <c r="C100" t="s">
        <v>1047</v>
      </c>
      <c r="D100" t="s">
        <v>15</v>
      </c>
      <c r="E100" s="201">
        <v>0.103377033792449</v>
      </c>
      <c r="F100" s="106">
        <v>11.715</v>
      </c>
      <c r="G100" s="106">
        <v>1.2110619508785401</v>
      </c>
    </row>
    <row r="101" spans="1:7" x14ac:dyDescent="0.25">
      <c r="A101" t="s">
        <v>392</v>
      </c>
      <c r="B101" t="s">
        <v>5</v>
      </c>
      <c r="C101" t="s">
        <v>390</v>
      </c>
      <c r="D101" t="s">
        <v>30</v>
      </c>
      <c r="E101" s="201">
        <v>1</v>
      </c>
      <c r="F101" s="106">
        <v>0.32</v>
      </c>
      <c r="G101" s="106">
        <v>0.32</v>
      </c>
    </row>
    <row r="102" spans="1:7" x14ac:dyDescent="0.25">
      <c r="A102" t="s">
        <v>392</v>
      </c>
      <c r="B102" t="s">
        <v>2</v>
      </c>
      <c r="C102" t="s">
        <v>1176</v>
      </c>
      <c r="D102" t="s">
        <v>15</v>
      </c>
      <c r="E102" s="201">
        <v>1.75569118269942E-2</v>
      </c>
      <c r="F102" s="106">
        <v>0.35957142857142899</v>
      </c>
      <c r="G102" s="106">
        <v>6.3129638669349097E-3</v>
      </c>
    </row>
    <row r="103" spans="1:7" x14ac:dyDescent="0.25">
      <c r="A103" t="s">
        <v>392</v>
      </c>
      <c r="B103" t="s">
        <v>2</v>
      </c>
      <c r="C103" t="s">
        <v>1198</v>
      </c>
      <c r="D103" t="s">
        <v>15</v>
      </c>
      <c r="E103" s="201">
        <v>1.75569118269942E-2</v>
      </c>
      <c r="F103" s="106">
        <v>8.99482608695652E-2</v>
      </c>
      <c r="G103" s="106">
        <v>1.5792136850784301E-3</v>
      </c>
    </row>
    <row r="104" spans="1:7" x14ac:dyDescent="0.25">
      <c r="A104" t="s">
        <v>389</v>
      </c>
      <c r="B104" t="s">
        <v>11</v>
      </c>
      <c r="C104" t="s">
        <v>383</v>
      </c>
      <c r="D104" t="s">
        <v>382</v>
      </c>
      <c r="E104" s="201">
        <v>7.6646363896496796E-4</v>
      </c>
      <c r="F104" s="106">
        <v>32.625</v>
      </c>
      <c r="G104" s="106">
        <v>2.5005876221232098E-2</v>
      </c>
    </row>
    <row r="105" spans="1:7" x14ac:dyDescent="0.25">
      <c r="A105" t="s">
        <v>389</v>
      </c>
      <c r="B105" t="s">
        <v>11</v>
      </c>
      <c r="C105" t="s">
        <v>854</v>
      </c>
      <c r="D105" t="s">
        <v>15</v>
      </c>
      <c r="E105" s="201">
        <v>2.0290698067649202E-3</v>
      </c>
      <c r="F105" s="106">
        <v>2.5252631578947402</v>
      </c>
      <c r="G105" s="106">
        <v>5.1239352278200402E-3</v>
      </c>
    </row>
    <row r="106" spans="1:7" x14ac:dyDescent="0.25">
      <c r="A106" t="s">
        <v>389</v>
      </c>
      <c r="B106" t="s">
        <v>11</v>
      </c>
      <c r="C106" t="s">
        <v>987</v>
      </c>
      <c r="D106" t="s">
        <v>15</v>
      </c>
      <c r="E106" s="201">
        <v>2.8179412684680799E-4</v>
      </c>
      <c r="F106" s="106">
        <v>0.92727272727272703</v>
      </c>
      <c r="G106" s="106">
        <v>2.6130000853067699E-4</v>
      </c>
    </row>
    <row r="107" spans="1:7" x14ac:dyDescent="0.25">
      <c r="A107" t="s">
        <v>389</v>
      </c>
      <c r="B107" t="s">
        <v>11</v>
      </c>
      <c r="C107" t="s">
        <v>1029</v>
      </c>
      <c r="D107" t="s">
        <v>15</v>
      </c>
      <c r="E107" s="201">
        <v>2.7128430242573899E-3</v>
      </c>
      <c r="F107" s="106">
        <v>0.1141875</v>
      </c>
      <c r="G107" s="106">
        <v>3.0977276283239099E-4</v>
      </c>
    </row>
    <row r="108" spans="1:7" x14ac:dyDescent="0.25">
      <c r="A108" t="s">
        <v>389</v>
      </c>
      <c r="B108" t="s">
        <v>11</v>
      </c>
      <c r="C108" t="s">
        <v>387</v>
      </c>
      <c r="D108" t="s">
        <v>15</v>
      </c>
      <c r="E108" s="201">
        <v>5.4784884782652803E-2</v>
      </c>
      <c r="F108" s="106">
        <v>15.921666666666701</v>
      </c>
      <c r="G108" s="106">
        <v>0.87226667388113699</v>
      </c>
    </row>
    <row r="109" spans="1:7" x14ac:dyDescent="0.25">
      <c r="A109" t="s">
        <v>389</v>
      </c>
      <c r="B109" t="s">
        <v>5</v>
      </c>
      <c r="C109" t="s">
        <v>386</v>
      </c>
      <c r="D109" t="s">
        <v>30</v>
      </c>
      <c r="E109" s="201">
        <v>1</v>
      </c>
      <c r="F109" s="106">
        <v>0.32</v>
      </c>
      <c r="G109" s="106">
        <v>0.32</v>
      </c>
    </row>
    <row r="110" spans="1:7" x14ac:dyDescent="0.25">
      <c r="A110" t="s">
        <v>385</v>
      </c>
      <c r="B110" t="s">
        <v>11</v>
      </c>
      <c r="C110" t="s">
        <v>703</v>
      </c>
      <c r="D110" t="s">
        <v>105</v>
      </c>
      <c r="E110" s="201">
        <v>3.5835871707579298E-4</v>
      </c>
      <c r="F110" s="106">
        <v>96.23</v>
      </c>
      <c r="G110" s="106">
        <v>3.4484859344203499E-2</v>
      </c>
    </row>
    <row r="111" spans="1:7" x14ac:dyDescent="0.25">
      <c r="A111" t="s">
        <v>385</v>
      </c>
      <c r="B111" t="s">
        <v>11</v>
      </c>
      <c r="C111" t="s">
        <v>383</v>
      </c>
      <c r="D111" t="s">
        <v>382</v>
      </c>
      <c r="E111" s="201">
        <v>1.79179358537896E-3</v>
      </c>
      <c r="F111" s="106">
        <v>32.625</v>
      </c>
      <c r="G111" s="106">
        <v>5.8457265722988698E-2</v>
      </c>
    </row>
    <row r="112" spans="1:7" x14ac:dyDescent="0.25">
      <c r="A112" t="s">
        <v>385</v>
      </c>
      <c r="B112" t="s">
        <v>11</v>
      </c>
      <c r="C112" t="s">
        <v>854</v>
      </c>
      <c r="D112" t="s">
        <v>15</v>
      </c>
      <c r="E112" s="201">
        <v>3.3491683567395299E-3</v>
      </c>
      <c r="F112" s="106">
        <v>2.5252631578947402</v>
      </c>
      <c r="G112" s="106">
        <v>8.4575314608611903E-3</v>
      </c>
    </row>
    <row r="113" spans="1:7" x14ac:dyDescent="0.25">
      <c r="A113" t="s">
        <v>385</v>
      </c>
      <c r="B113" t="s">
        <v>11</v>
      </c>
      <c r="C113" t="s">
        <v>987</v>
      </c>
      <c r="D113" t="s">
        <v>15</v>
      </c>
      <c r="E113" s="201">
        <v>7.1671743415158595E-4</v>
      </c>
      <c r="F113" s="106">
        <v>0.92727272727272703</v>
      </c>
      <c r="G113" s="106">
        <v>6.6459252984965198E-4</v>
      </c>
    </row>
    <row r="114" spans="1:7" x14ac:dyDescent="0.25">
      <c r="A114" t="s">
        <v>385</v>
      </c>
      <c r="B114" t="s">
        <v>11</v>
      </c>
      <c r="C114" t="s">
        <v>1029</v>
      </c>
      <c r="D114" t="s">
        <v>15</v>
      </c>
      <c r="E114" s="201">
        <v>1.79179358537896E-3</v>
      </c>
      <c r="F114" s="106">
        <v>0.1141875</v>
      </c>
      <c r="G114" s="106">
        <v>2.0460043003046099E-4</v>
      </c>
    </row>
    <row r="115" spans="1:7" x14ac:dyDescent="0.25">
      <c r="A115" t="s">
        <v>385</v>
      </c>
      <c r="B115" t="s">
        <v>11</v>
      </c>
      <c r="C115" t="s">
        <v>381</v>
      </c>
      <c r="D115" t="s">
        <v>15</v>
      </c>
      <c r="E115" s="201">
        <v>5.9286618716346801E-2</v>
      </c>
      <c r="F115" s="106">
        <v>20.6956666666667</v>
      </c>
      <c r="G115" s="106">
        <v>1.22697609874728</v>
      </c>
    </row>
    <row r="116" spans="1:7" x14ac:dyDescent="0.25">
      <c r="A116" t="s">
        <v>385</v>
      </c>
      <c r="B116" t="s">
        <v>5</v>
      </c>
      <c r="C116" t="s">
        <v>380</v>
      </c>
      <c r="D116" t="s">
        <v>30</v>
      </c>
      <c r="E116" s="201">
        <v>1</v>
      </c>
      <c r="F116" s="106">
        <v>0.32</v>
      </c>
      <c r="G116" s="106">
        <v>0.32</v>
      </c>
    </row>
    <row r="117" spans="1:7" x14ac:dyDescent="0.25">
      <c r="A117" t="s">
        <v>379</v>
      </c>
      <c r="B117" t="s">
        <v>11</v>
      </c>
      <c r="C117" t="s">
        <v>1054</v>
      </c>
      <c r="D117" t="s">
        <v>15</v>
      </c>
      <c r="E117" s="201">
        <v>4.1435612784553703E-2</v>
      </c>
      <c r="F117" s="106">
        <v>26.454999999999998</v>
      </c>
      <c r="G117" s="106">
        <v>1.0961791362153701</v>
      </c>
    </row>
    <row r="118" spans="1:7" x14ac:dyDescent="0.25">
      <c r="A118" t="s">
        <v>379</v>
      </c>
      <c r="B118" t="s">
        <v>5</v>
      </c>
      <c r="C118" t="s">
        <v>376</v>
      </c>
      <c r="D118" t="s">
        <v>30</v>
      </c>
      <c r="E118" s="201">
        <v>1</v>
      </c>
      <c r="F118" s="106">
        <v>0.32</v>
      </c>
      <c r="G118" s="106">
        <v>0.32</v>
      </c>
    </row>
    <row r="119" spans="1:7" x14ac:dyDescent="0.25">
      <c r="A119" t="s">
        <v>374</v>
      </c>
      <c r="B119" t="s">
        <v>11</v>
      </c>
      <c r="C119" t="s">
        <v>818</v>
      </c>
      <c r="D119" t="s">
        <v>30</v>
      </c>
      <c r="E119" s="201">
        <v>1.44642443878732E-2</v>
      </c>
      <c r="F119" s="106">
        <v>1.84375</v>
      </c>
      <c r="G119" s="106">
        <v>2.66684505901412E-2</v>
      </c>
    </row>
    <row r="120" spans="1:7" x14ac:dyDescent="0.25">
      <c r="A120" t="s">
        <v>374</v>
      </c>
      <c r="B120" t="s">
        <v>11</v>
      </c>
      <c r="C120" t="s">
        <v>822</v>
      </c>
      <c r="D120" t="s">
        <v>30</v>
      </c>
      <c r="E120" s="201">
        <v>1.44642443878732E-3</v>
      </c>
      <c r="F120" s="106">
        <v>2.0827777777777801</v>
      </c>
      <c r="G120" s="106">
        <v>3.0125806783409198E-3</v>
      </c>
    </row>
    <row r="121" spans="1:7" x14ac:dyDescent="0.25">
      <c r="A121" t="s">
        <v>374</v>
      </c>
      <c r="B121" t="s">
        <v>11</v>
      </c>
      <c r="C121" t="s">
        <v>826</v>
      </c>
      <c r="D121" t="s">
        <v>30</v>
      </c>
      <c r="E121" s="201">
        <v>5.7856977551492697E-3</v>
      </c>
      <c r="F121" s="106">
        <v>2.415</v>
      </c>
      <c r="G121" s="106">
        <v>1.39724600786855E-2</v>
      </c>
    </row>
    <row r="122" spans="1:7" x14ac:dyDescent="0.25">
      <c r="A122" t="s">
        <v>374</v>
      </c>
      <c r="B122" t="s">
        <v>11</v>
      </c>
      <c r="C122" t="s">
        <v>145</v>
      </c>
      <c r="D122" t="s">
        <v>144</v>
      </c>
      <c r="E122" s="201">
        <v>4.1491127488215498E-3</v>
      </c>
      <c r="F122" s="106">
        <v>67.732222222222205</v>
      </c>
      <c r="G122" s="106">
        <v>0.28102862672823598</v>
      </c>
    </row>
    <row r="123" spans="1:7" x14ac:dyDescent="0.25">
      <c r="A123" t="s">
        <v>374</v>
      </c>
      <c r="B123" t="s">
        <v>11</v>
      </c>
      <c r="C123" t="s">
        <v>372</v>
      </c>
      <c r="D123" t="s">
        <v>144</v>
      </c>
      <c r="E123" s="201">
        <v>7.8828482743784397E-3</v>
      </c>
      <c r="F123" s="106">
        <v>61.87</v>
      </c>
      <c r="G123" s="106">
        <v>0.487711822735794</v>
      </c>
    </row>
    <row r="124" spans="1:7" x14ac:dyDescent="0.25">
      <c r="A124" t="s">
        <v>374</v>
      </c>
      <c r="B124" t="s">
        <v>5</v>
      </c>
      <c r="C124" t="s">
        <v>369</v>
      </c>
      <c r="D124" t="s">
        <v>130</v>
      </c>
      <c r="E124" s="201">
        <v>1</v>
      </c>
      <c r="F124" s="106">
        <v>0.36</v>
      </c>
      <c r="G124" s="106">
        <v>0.36</v>
      </c>
    </row>
    <row r="125" spans="1:7" x14ac:dyDescent="0.25">
      <c r="A125" t="s">
        <v>368</v>
      </c>
      <c r="B125" t="s">
        <v>11</v>
      </c>
      <c r="C125" t="s">
        <v>790</v>
      </c>
      <c r="D125" t="s">
        <v>8</v>
      </c>
      <c r="E125" s="201">
        <v>1.21639751221768E-2</v>
      </c>
      <c r="F125" s="106">
        <v>6.7</v>
      </c>
      <c r="G125" s="106">
        <v>8.1498633318584798E-2</v>
      </c>
    </row>
    <row r="126" spans="1:7" x14ac:dyDescent="0.25">
      <c r="A126" t="s">
        <v>368</v>
      </c>
      <c r="B126" t="s">
        <v>11</v>
      </c>
      <c r="C126" t="s">
        <v>364</v>
      </c>
      <c r="D126" t="s">
        <v>30</v>
      </c>
      <c r="E126" s="201">
        <v>7.93210121361149E-3</v>
      </c>
      <c r="F126" s="106">
        <v>3.94</v>
      </c>
      <c r="G126" s="106">
        <v>3.1252478781629303E-2</v>
      </c>
    </row>
    <row r="127" spans="1:7" x14ac:dyDescent="0.25">
      <c r="A127" t="s">
        <v>368</v>
      </c>
      <c r="B127" t="s">
        <v>11</v>
      </c>
      <c r="C127" t="s">
        <v>824</v>
      </c>
      <c r="D127" t="s">
        <v>30</v>
      </c>
      <c r="E127" s="201">
        <v>7.4040044300236699E-3</v>
      </c>
      <c r="F127" s="106">
        <v>1.9257894736842101</v>
      </c>
      <c r="G127" s="106">
        <v>1.42585537944508E-2</v>
      </c>
    </row>
    <row r="128" spans="1:7" x14ac:dyDescent="0.25">
      <c r="A128" t="s">
        <v>368</v>
      </c>
      <c r="B128" t="s">
        <v>11</v>
      </c>
      <c r="C128" t="s">
        <v>820</v>
      </c>
      <c r="D128" t="s">
        <v>30</v>
      </c>
      <c r="E128" s="201">
        <v>4.5628580968349798E-2</v>
      </c>
      <c r="F128" s="106">
        <v>1.82233333333333</v>
      </c>
      <c r="G128" s="106">
        <v>8.3150484051322804E-2</v>
      </c>
    </row>
    <row r="129" spans="1:7" x14ac:dyDescent="0.25">
      <c r="A129" t="s">
        <v>368</v>
      </c>
      <c r="B129" t="s">
        <v>11</v>
      </c>
      <c r="C129" t="s">
        <v>836</v>
      </c>
      <c r="D129" t="s">
        <v>15</v>
      </c>
      <c r="E129" s="201">
        <v>0.13881177123820099</v>
      </c>
      <c r="F129" s="106">
        <v>2.15</v>
      </c>
      <c r="G129" s="106">
        <v>0.29844530816213199</v>
      </c>
    </row>
    <row r="130" spans="1:7" x14ac:dyDescent="0.25">
      <c r="A130" t="s">
        <v>368</v>
      </c>
      <c r="B130" t="s">
        <v>11</v>
      </c>
      <c r="C130" t="s">
        <v>846</v>
      </c>
      <c r="D130" t="s">
        <v>15</v>
      </c>
      <c r="E130" s="201">
        <v>2.52813024904616E-3</v>
      </c>
      <c r="F130" s="106">
        <v>8.452</v>
      </c>
      <c r="G130" s="106">
        <v>2.1367756864938098E-2</v>
      </c>
    </row>
    <row r="131" spans="1:7" x14ac:dyDescent="0.25">
      <c r="A131" t="s">
        <v>368</v>
      </c>
      <c r="B131" t="s">
        <v>11</v>
      </c>
      <c r="C131" t="s">
        <v>876</v>
      </c>
      <c r="D131" t="s">
        <v>23</v>
      </c>
      <c r="E131" s="201">
        <v>1.6576166335997199E-2</v>
      </c>
      <c r="F131" s="106">
        <v>2.14</v>
      </c>
      <c r="G131" s="106">
        <v>3.5472995959034102E-2</v>
      </c>
    </row>
    <row r="132" spans="1:7" x14ac:dyDescent="0.25">
      <c r="A132" t="s">
        <v>368</v>
      </c>
      <c r="B132" t="s">
        <v>11</v>
      </c>
      <c r="C132" t="s">
        <v>47</v>
      </c>
      <c r="D132" t="s">
        <v>6</v>
      </c>
      <c r="E132" s="201">
        <v>7.8225980253052801E-2</v>
      </c>
      <c r="F132" s="106">
        <v>71</v>
      </c>
      <c r="G132" s="106">
        <v>5.5540445979667501</v>
      </c>
    </row>
    <row r="133" spans="1:7" x14ac:dyDescent="0.25">
      <c r="A133" t="s">
        <v>368</v>
      </c>
      <c r="B133" t="s">
        <v>11</v>
      </c>
      <c r="C133" t="s">
        <v>889</v>
      </c>
      <c r="D133" t="s">
        <v>6</v>
      </c>
      <c r="E133" s="201">
        <v>0.13272521811526</v>
      </c>
      <c r="F133" s="106">
        <v>12.5391666666667</v>
      </c>
      <c r="G133" s="106">
        <v>1.6642636308169301</v>
      </c>
    </row>
    <row r="134" spans="1:7" x14ac:dyDescent="0.25">
      <c r="A134" t="s">
        <v>368</v>
      </c>
      <c r="B134" t="s">
        <v>11</v>
      </c>
      <c r="C134" t="s">
        <v>939</v>
      </c>
      <c r="D134" t="s">
        <v>15</v>
      </c>
      <c r="E134" s="201">
        <v>2.7659116752205001E-2</v>
      </c>
      <c r="F134" s="106">
        <v>1.1206818181818201</v>
      </c>
      <c r="G134" s="106">
        <v>3.09970692511643E-2</v>
      </c>
    </row>
    <row r="135" spans="1:7" x14ac:dyDescent="0.25">
      <c r="A135" t="s">
        <v>368</v>
      </c>
      <c r="B135" t="s">
        <v>11</v>
      </c>
      <c r="C135" t="s">
        <v>943</v>
      </c>
      <c r="D135" t="s">
        <v>15</v>
      </c>
      <c r="E135" s="201">
        <v>1.9830253034028699E-2</v>
      </c>
      <c r="F135" s="106">
        <v>1.2</v>
      </c>
      <c r="G135" s="106">
        <v>2.3796303640834501E-2</v>
      </c>
    </row>
    <row r="136" spans="1:7" x14ac:dyDescent="0.25">
      <c r="A136" t="s">
        <v>368</v>
      </c>
      <c r="B136" t="s">
        <v>11</v>
      </c>
      <c r="C136" t="s">
        <v>603</v>
      </c>
      <c r="D136" t="s">
        <v>6</v>
      </c>
      <c r="E136" s="201">
        <v>5.9885548060426702E-4</v>
      </c>
      <c r="F136" s="106">
        <v>14.5475745234298</v>
      </c>
      <c r="G136" s="106">
        <v>8.7118947328549395E-3</v>
      </c>
    </row>
    <row r="137" spans="1:7" x14ac:dyDescent="0.25">
      <c r="A137" t="s">
        <v>368</v>
      </c>
      <c r="B137" t="s">
        <v>11</v>
      </c>
      <c r="C137" t="s">
        <v>976</v>
      </c>
      <c r="D137" t="s">
        <v>15</v>
      </c>
      <c r="E137" s="201">
        <v>2.9745379551043099E-2</v>
      </c>
      <c r="F137" s="106">
        <v>1.8182499999999999</v>
      </c>
      <c r="G137" s="106">
        <v>5.40845363686841E-2</v>
      </c>
    </row>
    <row r="138" spans="1:7" x14ac:dyDescent="0.25">
      <c r="A138" t="s">
        <v>368</v>
      </c>
      <c r="B138" t="s">
        <v>11</v>
      </c>
      <c r="C138" t="s">
        <v>602</v>
      </c>
      <c r="D138" t="s">
        <v>6</v>
      </c>
      <c r="E138" s="201">
        <v>6.1671178884659301E-4</v>
      </c>
      <c r="F138" s="106">
        <v>13.895122287420699</v>
      </c>
      <c r="G138" s="106">
        <v>8.5692857221173896E-3</v>
      </c>
    </row>
    <row r="139" spans="1:7" x14ac:dyDescent="0.25">
      <c r="A139" t="s">
        <v>368</v>
      </c>
      <c r="B139" t="s">
        <v>11</v>
      </c>
      <c r="C139" t="s">
        <v>360</v>
      </c>
      <c r="D139" t="s">
        <v>15</v>
      </c>
      <c r="E139" s="201">
        <v>1.9830253034028699E-3</v>
      </c>
      <c r="F139" s="106">
        <v>69.349999999999994</v>
      </c>
      <c r="G139" s="106">
        <v>0.137522804790989</v>
      </c>
    </row>
    <row r="140" spans="1:7" x14ac:dyDescent="0.25">
      <c r="A140" t="s">
        <v>368</v>
      </c>
      <c r="B140" t="s">
        <v>11</v>
      </c>
      <c r="C140" t="s">
        <v>606</v>
      </c>
      <c r="D140" t="s">
        <v>15</v>
      </c>
      <c r="E140" s="201">
        <v>0.17450622669945301</v>
      </c>
      <c r="F140" s="106">
        <v>2.4034925925925901</v>
      </c>
      <c r="G140" s="106">
        <v>0.419424423233418</v>
      </c>
    </row>
    <row r="141" spans="1:7" x14ac:dyDescent="0.25">
      <c r="A141" t="s">
        <v>368</v>
      </c>
      <c r="B141" t="s">
        <v>5</v>
      </c>
      <c r="C141" t="s">
        <v>1080</v>
      </c>
      <c r="D141" t="s">
        <v>130</v>
      </c>
      <c r="E141" s="201">
        <v>1</v>
      </c>
      <c r="F141" s="106">
        <v>7</v>
      </c>
      <c r="G141" s="106">
        <v>7</v>
      </c>
    </row>
    <row r="142" spans="1:7" x14ac:dyDescent="0.25">
      <c r="A142" t="s">
        <v>368</v>
      </c>
      <c r="B142" t="s">
        <v>2</v>
      </c>
      <c r="C142" t="s">
        <v>1188</v>
      </c>
      <c r="D142" t="s">
        <v>15</v>
      </c>
      <c r="E142" s="201">
        <v>6.2231473545946797E-2</v>
      </c>
      <c r="F142" s="106">
        <v>25</v>
      </c>
      <c r="G142" s="106">
        <v>1.55578683864867</v>
      </c>
    </row>
    <row r="143" spans="1:7" x14ac:dyDescent="0.25">
      <c r="A143" t="s">
        <v>368</v>
      </c>
      <c r="B143" t="s">
        <v>2</v>
      </c>
      <c r="C143" t="s">
        <v>1182</v>
      </c>
      <c r="D143" t="s">
        <v>356</v>
      </c>
      <c r="E143" s="201">
        <v>3.9660506068057398E-3</v>
      </c>
      <c r="F143" s="106">
        <v>89.29</v>
      </c>
      <c r="G143" s="106">
        <v>0.35412865868168503</v>
      </c>
    </row>
    <row r="144" spans="1:7" x14ac:dyDescent="0.25">
      <c r="A144" t="s">
        <v>368</v>
      </c>
      <c r="B144" t="s">
        <v>2</v>
      </c>
      <c r="C144" t="s">
        <v>1184</v>
      </c>
      <c r="D144" t="s">
        <v>15</v>
      </c>
      <c r="E144" s="201">
        <v>6.0477731497937601E-3</v>
      </c>
      <c r="F144" s="106">
        <v>31.25</v>
      </c>
      <c r="G144" s="106">
        <v>0.188992910931055</v>
      </c>
    </row>
    <row r="145" spans="1:7" x14ac:dyDescent="0.25">
      <c r="A145" t="s">
        <v>368</v>
      </c>
      <c r="B145" t="s">
        <v>2</v>
      </c>
      <c r="C145" t="s">
        <v>1200</v>
      </c>
      <c r="D145" t="s">
        <v>15</v>
      </c>
      <c r="E145" s="201">
        <v>5.5638096242316901E-3</v>
      </c>
      <c r="F145" s="106">
        <v>17.86</v>
      </c>
      <c r="G145" s="106">
        <v>9.9369639888778005E-2</v>
      </c>
    </row>
    <row r="146" spans="1:7" x14ac:dyDescent="0.25">
      <c r="A146" t="s">
        <v>368</v>
      </c>
      <c r="B146" t="s">
        <v>2</v>
      </c>
      <c r="C146" t="s">
        <v>1203</v>
      </c>
      <c r="D146" t="s">
        <v>6</v>
      </c>
      <c r="E146" s="201">
        <v>7.8225980253052801E-2</v>
      </c>
      <c r="F146" s="106">
        <v>8</v>
      </c>
      <c r="G146" s="106">
        <v>0.62580784202442197</v>
      </c>
    </row>
    <row r="147" spans="1:7" x14ac:dyDescent="0.25">
      <c r="A147" t="s">
        <v>368</v>
      </c>
      <c r="B147" t="s">
        <v>2</v>
      </c>
      <c r="C147" t="s">
        <v>1217</v>
      </c>
      <c r="D147" t="s">
        <v>78</v>
      </c>
      <c r="E147" s="201">
        <v>3.45694890277593E-3</v>
      </c>
      <c r="F147" s="106">
        <v>22.5</v>
      </c>
      <c r="G147" s="106">
        <v>7.7781350312458503E-2</v>
      </c>
    </row>
    <row r="148" spans="1:7" x14ac:dyDescent="0.25">
      <c r="A148" t="s">
        <v>368</v>
      </c>
      <c r="B148" t="s">
        <v>2</v>
      </c>
      <c r="C148" t="s">
        <v>1219</v>
      </c>
      <c r="D148" t="s">
        <v>78</v>
      </c>
      <c r="E148" s="201">
        <v>5.7059055964700102E-2</v>
      </c>
      <c r="F148" s="106">
        <v>22.428750000000001</v>
      </c>
      <c r="G148" s="106">
        <v>1.2797633014682701</v>
      </c>
    </row>
    <row r="149" spans="1:7" x14ac:dyDescent="0.25">
      <c r="A149" t="s">
        <v>355</v>
      </c>
      <c r="B149" t="s">
        <v>11</v>
      </c>
      <c r="C149" t="s">
        <v>953</v>
      </c>
      <c r="D149" t="s">
        <v>15</v>
      </c>
      <c r="E149" s="201">
        <v>0.35460992907801397</v>
      </c>
      <c r="F149" s="106">
        <v>9.5184999999999995</v>
      </c>
      <c r="G149" s="106">
        <v>3.3753546099290799</v>
      </c>
    </row>
    <row r="150" spans="1:7" x14ac:dyDescent="0.25">
      <c r="A150" t="s">
        <v>355</v>
      </c>
      <c r="B150" t="s">
        <v>5</v>
      </c>
      <c r="C150" t="s">
        <v>353</v>
      </c>
      <c r="D150" t="s">
        <v>58</v>
      </c>
      <c r="E150" s="201">
        <v>1</v>
      </c>
      <c r="F150" s="106">
        <v>3.4</v>
      </c>
      <c r="G150" s="106">
        <v>3.4</v>
      </c>
    </row>
    <row r="151" spans="1:7" x14ac:dyDescent="0.25">
      <c r="A151" t="s">
        <v>351</v>
      </c>
      <c r="B151" t="s">
        <v>11</v>
      </c>
      <c r="C151" t="s">
        <v>790</v>
      </c>
      <c r="D151" t="s">
        <v>174</v>
      </c>
      <c r="E151" s="201">
        <v>2.9520295202951998</v>
      </c>
      <c r="F151" s="106">
        <v>6.7</v>
      </c>
      <c r="G151" s="106">
        <v>19.778597785977901</v>
      </c>
    </row>
    <row r="152" spans="1:7" x14ac:dyDescent="0.25">
      <c r="A152" t="s">
        <v>351</v>
      </c>
      <c r="B152" t="s">
        <v>11</v>
      </c>
      <c r="C152" t="s">
        <v>603</v>
      </c>
      <c r="D152" t="s">
        <v>6</v>
      </c>
      <c r="E152" s="201">
        <v>0.52029520295202902</v>
      </c>
      <c r="F152" s="106">
        <v>14.5475745234298</v>
      </c>
      <c r="G152" s="106">
        <v>7.5690332391276698</v>
      </c>
    </row>
    <row r="153" spans="1:7" x14ac:dyDescent="0.25">
      <c r="A153" t="s">
        <v>351</v>
      </c>
      <c r="B153" t="s">
        <v>11</v>
      </c>
      <c r="C153" t="s">
        <v>602</v>
      </c>
      <c r="D153" t="s">
        <v>6</v>
      </c>
      <c r="E153" s="201">
        <v>0.605463902172654</v>
      </c>
      <c r="F153" s="106">
        <v>13.895122287420699</v>
      </c>
      <c r="G153" s="106">
        <v>8.4129949613079607</v>
      </c>
    </row>
    <row r="154" spans="1:7" x14ac:dyDescent="0.25">
      <c r="A154" t="s">
        <v>351</v>
      </c>
      <c r="B154" t="s">
        <v>5</v>
      </c>
      <c r="C154" t="s">
        <v>349</v>
      </c>
      <c r="D154" t="s">
        <v>6</v>
      </c>
      <c r="E154" s="201">
        <v>1</v>
      </c>
      <c r="F154" s="106">
        <v>25</v>
      </c>
      <c r="G154" s="106">
        <v>25</v>
      </c>
    </row>
    <row r="155" spans="1:7" x14ac:dyDescent="0.25">
      <c r="A155" t="s">
        <v>347</v>
      </c>
      <c r="B155" t="s">
        <v>11</v>
      </c>
      <c r="C155" t="s">
        <v>47</v>
      </c>
      <c r="D155" t="s">
        <v>6</v>
      </c>
      <c r="E155" s="201">
        <v>1</v>
      </c>
      <c r="F155" s="106">
        <v>71</v>
      </c>
      <c r="G155" s="106">
        <v>71</v>
      </c>
    </row>
    <row r="156" spans="1:7" x14ac:dyDescent="0.25">
      <c r="A156" t="s">
        <v>347</v>
      </c>
      <c r="B156" t="s">
        <v>5</v>
      </c>
      <c r="C156" t="s">
        <v>344</v>
      </c>
      <c r="D156" t="s">
        <v>6</v>
      </c>
      <c r="E156" s="201">
        <v>1</v>
      </c>
      <c r="F156" s="106">
        <v>33</v>
      </c>
      <c r="G156" s="106">
        <v>33</v>
      </c>
    </row>
    <row r="157" spans="1:7" x14ac:dyDescent="0.25">
      <c r="A157" t="s">
        <v>347</v>
      </c>
      <c r="B157" t="s">
        <v>2</v>
      </c>
      <c r="C157" t="s">
        <v>1200</v>
      </c>
      <c r="D157" t="s">
        <v>15</v>
      </c>
      <c r="E157" s="201">
        <v>7.8451919191919198E-2</v>
      </c>
      <c r="F157" s="106">
        <v>17.86</v>
      </c>
      <c r="G157" s="106">
        <v>1.4011512767676799</v>
      </c>
    </row>
    <row r="158" spans="1:7" x14ac:dyDescent="0.25">
      <c r="A158" t="s">
        <v>347</v>
      </c>
      <c r="B158" t="s">
        <v>2</v>
      </c>
      <c r="C158" t="s">
        <v>1203</v>
      </c>
      <c r="D158" t="s">
        <v>6</v>
      </c>
      <c r="E158" s="201">
        <v>1</v>
      </c>
      <c r="F158" s="106">
        <v>8</v>
      </c>
      <c r="G158" s="106">
        <v>8</v>
      </c>
    </row>
    <row r="159" spans="1:7" x14ac:dyDescent="0.25">
      <c r="A159" t="s">
        <v>343</v>
      </c>
      <c r="B159" t="s">
        <v>11</v>
      </c>
      <c r="C159" t="s">
        <v>788</v>
      </c>
      <c r="D159" t="s">
        <v>8</v>
      </c>
      <c r="E159" s="201">
        <v>8.8888888888888906E-2</v>
      </c>
      <c r="F159" s="106">
        <v>6.7489472778273596</v>
      </c>
      <c r="G159" s="106">
        <v>0.59990642469576505</v>
      </c>
    </row>
    <row r="160" spans="1:7" x14ac:dyDescent="0.25">
      <c r="A160" t="s">
        <v>343</v>
      </c>
      <c r="B160" t="s">
        <v>11</v>
      </c>
      <c r="C160" t="s">
        <v>47</v>
      </c>
      <c r="D160" t="s">
        <v>6</v>
      </c>
      <c r="E160" s="201">
        <v>0.98683133468377204</v>
      </c>
      <c r="F160" s="106">
        <v>71</v>
      </c>
      <c r="G160" s="106">
        <v>70.065024762547793</v>
      </c>
    </row>
    <row r="161" spans="1:7" x14ac:dyDescent="0.25">
      <c r="A161" t="s">
        <v>343</v>
      </c>
      <c r="B161" t="s">
        <v>11</v>
      </c>
      <c r="C161" t="s">
        <v>603</v>
      </c>
      <c r="D161" t="s">
        <v>6</v>
      </c>
      <c r="E161" s="201">
        <v>6.5777777777777796E-2</v>
      </c>
      <c r="F161" s="106">
        <v>14.5475745234298</v>
      </c>
      <c r="G161" s="106">
        <v>0.95690712420782598</v>
      </c>
    </row>
    <row r="162" spans="1:7" x14ac:dyDescent="0.25">
      <c r="A162" t="s">
        <v>343</v>
      </c>
      <c r="B162" t="s">
        <v>5</v>
      </c>
      <c r="C162" t="s">
        <v>334</v>
      </c>
      <c r="D162" t="s">
        <v>6</v>
      </c>
      <c r="E162" s="201">
        <v>1</v>
      </c>
      <c r="F162" s="106">
        <v>33</v>
      </c>
      <c r="G162" s="106">
        <v>33</v>
      </c>
    </row>
    <row r="163" spans="1:7" x14ac:dyDescent="0.25">
      <c r="A163" t="s">
        <v>343</v>
      </c>
      <c r="B163" t="s">
        <v>2</v>
      </c>
      <c r="C163" t="s">
        <v>1203</v>
      </c>
      <c r="D163" t="s">
        <v>6</v>
      </c>
      <c r="E163" s="201">
        <v>1.4729893360342099</v>
      </c>
      <c r="F163" s="106">
        <v>8</v>
      </c>
      <c r="G163" s="106">
        <v>11.7839146882737</v>
      </c>
    </row>
    <row r="164" spans="1:7" x14ac:dyDescent="0.25">
      <c r="A164" t="s">
        <v>341</v>
      </c>
      <c r="B164" t="s">
        <v>11</v>
      </c>
      <c r="C164" t="s">
        <v>743</v>
      </c>
      <c r="D164" t="s">
        <v>15</v>
      </c>
      <c r="E164" s="201">
        <v>1.88679245283019E-2</v>
      </c>
      <c r="F164" s="106">
        <v>4.57</v>
      </c>
      <c r="G164" s="106">
        <v>8.6226415094339606E-2</v>
      </c>
    </row>
    <row r="165" spans="1:7" x14ac:dyDescent="0.25">
      <c r="A165" t="s">
        <v>341</v>
      </c>
      <c r="B165" t="s">
        <v>11</v>
      </c>
      <c r="C165" t="s">
        <v>790</v>
      </c>
      <c r="D165" t="s">
        <v>8</v>
      </c>
      <c r="E165" s="201">
        <v>0.188743349216864</v>
      </c>
      <c r="F165" s="106">
        <v>6.7</v>
      </c>
      <c r="G165" s="106">
        <v>1.2645804397529901</v>
      </c>
    </row>
    <row r="166" spans="1:7" x14ac:dyDescent="0.25">
      <c r="A166" t="s">
        <v>341</v>
      </c>
      <c r="B166" t="s">
        <v>11</v>
      </c>
      <c r="C166" t="s">
        <v>856</v>
      </c>
      <c r="D166" t="s">
        <v>15</v>
      </c>
      <c r="E166" s="201">
        <v>0.55662514156285403</v>
      </c>
      <c r="F166" s="106">
        <v>5.35</v>
      </c>
      <c r="G166" s="106">
        <v>2.9779445073612698</v>
      </c>
    </row>
    <row r="167" spans="1:7" x14ac:dyDescent="0.25">
      <c r="A167" t="s">
        <v>341</v>
      </c>
      <c r="B167" t="s">
        <v>11</v>
      </c>
      <c r="C167" t="s">
        <v>47</v>
      </c>
      <c r="D167" t="s">
        <v>6</v>
      </c>
      <c r="E167" s="201">
        <v>0.50301886792452799</v>
      </c>
      <c r="F167" s="106">
        <v>71</v>
      </c>
      <c r="G167" s="106">
        <v>35.714339622641504</v>
      </c>
    </row>
    <row r="168" spans="1:7" x14ac:dyDescent="0.25">
      <c r="A168" t="s">
        <v>341</v>
      </c>
      <c r="B168" t="s">
        <v>11</v>
      </c>
      <c r="C168" t="s">
        <v>603</v>
      </c>
      <c r="D168" t="s">
        <v>6</v>
      </c>
      <c r="E168" s="201">
        <v>4.5300113250283103E-2</v>
      </c>
      <c r="F168" s="106">
        <v>14.5475745234298</v>
      </c>
      <c r="G168" s="106">
        <v>0.65900677342830305</v>
      </c>
    </row>
    <row r="169" spans="1:7" x14ac:dyDescent="0.25">
      <c r="A169" t="s">
        <v>341</v>
      </c>
      <c r="B169" t="s">
        <v>11</v>
      </c>
      <c r="C169" t="s">
        <v>971</v>
      </c>
      <c r="D169" t="s">
        <v>6</v>
      </c>
      <c r="E169" s="201">
        <v>0.16987542468856201</v>
      </c>
      <c r="F169" s="106">
        <v>10</v>
      </c>
      <c r="G169" s="106">
        <v>1.69875424688562</v>
      </c>
    </row>
    <row r="170" spans="1:7" x14ac:dyDescent="0.25">
      <c r="A170" t="s">
        <v>341</v>
      </c>
      <c r="B170" t="s">
        <v>5</v>
      </c>
      <c r="C170" t="s">
        <v>1123</v>
      </c>
      <c r="D170" t="s">
        <v>6</v>
      </c>
      <c r="E170" s="201">
        <v>1</v>
      </c>
      <c r="F170" s="106">
        <v>33</v>
      </c>
      <c r="G170" s="106">
        <v>33</v>
      </c>
    </row>
    <row r="171" spans="1:7" x14ac:dyDescent="0.25">
      <c r="A171" t="s">
        <v>341</v>
      </c>
      <c r="B171" t="s">
        <v>2</v>
      </c>
      <c r="C171" t="s">
        <v>1200</v>
      </c>
      <c r="D171" t="s">
        <v>15</v>
      </c>
      <c r="E171" s="201">
        <v>0.103805518921344</v>
      </c>
      <c r="F171" s="106">
        <v>17.86</v>
      </c>
      <c r="G171" s="106">
        <v>1.85396656793521</v>
      </c>
    </row>
    <row r="172" spans="1:7" x14ac:dyDescent="0.25">
      <c r="A172" t="s">
        <v>341</v>
      </c>
      <c r="B172" t="s">
        <v>2</v>
      </c>
      <c r="C172" t="s">
        <v>1203</v>
      </c>
      <c r="D172" t="s">
        <v>6</v>
      </c>
      <c r="E172" s="201">
        <v>1.5622876557191401</v>
      </c>
      <c r="F172" s="106">
        <v>8</v>
      </c>
      <c r="G172" s="106">
        <v>12.498301245753099</v>
      </c>
    </row>
    <row r="173" spans="1:7" x14ac:dyDescent="0.25">
      <c r="A173" t="s">
        <v>341</v>
      </c>
      <c r="B173" t="s">
        <v>2</v>
      </c>
      <c r="C173" t="s">
        <v>1231</v>
      </c>
      <c r="D173" t="s">
        <v>6</v>
      </c>
      <c r="E173" s="201">
        <v>0.62287655719139301</v>
      </c>
      <c r="F173" s="106">
        <v>8</v>
      </c>
      <c r="G173" s="106">
        <v>4.9830124575311396</v>
      </c>
    </row>
    <row r="174" spans="1:7" x14ac:dyDescent="0.25">
      <c r="A174" t="s">
        <v>337</v>
      </c>
      <c r="B174" t="s">
        <v>11</v>
      </c>
      <c r="C174" t="s">
        <v>788</v>
      </c>
      <c r="D174" t="s">
        <v>8</v>
      </c>
      <c r="E174" s="201">
        <v>2</v>
      </c>
      <c r="F174" s="106">
        <v>6.7489472778273596</v>
      </c>
      <c r="G174" s="106">
        <v>13.4978945556547</v>
      </c>
    </row>
    <row r="175" spans="1:7" x14ac:dyDescent="0.25">
      <c r="A175" t="s">
        <v>337</v>
      </c>
      <c r="B175" t="s">
        <v>11</v>
      </c>
      <c r="C175" t="s">
        <v>47</v>
      </c>
      <c r="D175" t="s">
        <v>6</v>
      </c>
      <c r="E175" s="201">
        <v>1</v>
      </c>
      <c r="F175" s="106">
        <v>71</v>
      </c>
      <c r="G175" s="106">
        <v>71</v>
      </c>
    </row>
    <row r="176" spans="1:7" x14ac:dyDescent="0.25">
      <c r="A176" t="s">
        <v>337</v>
      </c>
      <c r="B176" t="s">
        <v>11</v>
      </c>
      <c r="C176" t="s">
        <v>603</v>
      </c>
      <c r="D176" t="s">
        <v>6</v>
      </c>
      <c r="E176" s="201">
        <v>0.20571428571428599</v>
      </c>
      <c r="F176" s="106">
        <v>14.5475745234298</v>
      </c>
      <c r="G176" s="106">
        <v>2.9926439019626998</v>
      </c>
    </row>
    <row r="177" spans="1:7" x14ac:dyDescent="0.25">
      <c r="A177" t="s">
        <v>337</v>
      </c>
      <c r="B177" t="s">
        <v>11</v>
      </c>
      <c r="C177" t="s">
        <v>971</v>
      </c>
      <c r="D177" t="s">
        <v>6</v>
      </c>
      <c r="E177" s="201">
        <v>0.53846153846153799</v>
      </c>
      <c r="F177" s="106">
        <v>10</v>
      </c>
      <c r="G177" s="106">
        <v>5.3846153846153797</v>
      </c>
    </row>
    <row r="178" spans="1:7" x14ac:dyDescent="0.25">
      <c r="A178" t="s">
        <v>337</v>
      </c>
      <c r="B178" t="s">
        <v>11</v>
      </c>
      <c r="C178" t="s">
        <v>602</v>
      </c>
      <c r="D178" t="s">
        <v>6</v>
      </c>
      <c r="E178" s="201">
        <v>0.20571428571428599</v>
      </c>
      <c r="F178" s="106">
        <v>13.895122287420699</v>
      </c>
      <c r="G178" s="106">
        <v>2.8584251562694001</v>
      </c>
    </row>
    <row r="179" spans="1:7" x14ac:dyDescent="0.25">
      <c r="A179" t="s">
        <v>337</v>
      </c>
      <c r="B179" t="s">
        <v>5</v>
      </c>
      <c r="C179" t="s">
        <v>335</v>
      </c>
      <c r="D179" t="s">
        <v>6</v>
      </c>
      <c r="E179" s="201">
        <v>1</v>
      </c>
      <c r="F179" s="106">
        <v>33</v>
      </c>
      <c r="G179" s="106">
        <v>33</v>
      </c>
    </row>
    <row r="180" spans="1:7" x14ac:dyDescent="0.25">
      <c r="A180" t="s">
        <v>337</v>
      </c>
      <c r="B180" t="s">
        <v>2</v>
      </c>
      <c r="C180" t="s">
        <v>1200</v>
      </c>
      <c r="D180" t="s">
        <v>15</v>
      </c>
      <c r="E180" s="201">
        <v>0.31393185741088198</v>
      </c>
      <c r="F180" s="106">
        <v>17.86</v>
      </c>
      <c r="G180" s="106">
        <v>5.6068229733583497</v>
      </c>
    </row>
    <row r="181" spans="1:7" x14ac:dyDescent="0.25">
      <c r="A181" t="s">
        <v>337</v>
      </c>
      <c r="B181" t="s">
        <v>2</v>
      </c>
      <c r="C181" t="s">
        <v>1203</v>
      </c>
      <c r="D181" t="s">
        <v>6</v>
      </c>
      <c r="E181" s="201">
        <v>0.98351648351648402</v>
      </c>
      <c r="F181" s="106">
        <v>8</v>
      </c>
      <c r="G181" s="106">
        <v>7.8681318681318704</v>
      </c>
    </row>
    <row r="182" spans="1:7" x14ac:dyDescent="0.25">
      <c r="A182" t="s">
        <v>337</v>
      </c>
      <c r="B182" t="s">
        <v>2</v>
      </c>
      <c r="C182" t="s">
        <v>1231</v>
      </c>
      <c r="D182" t="s">
        <v>6</v>
      </c>
      <c r="E182" s="201">
        <v>1</v>
      </c>
      <c r="F182" s="106">
        <v>8</v>
      </c>
      <c r="G182" s="106">
        <v>8</v>
      </c>
    </row>
    <row r="183" spans="1:7" x14ac:dyDescent="0.25">
      <c r="A183" t="s">
        <v>333</v>
      </c>
      <c r="B183" t="s">
        <v>11</v>
      </c>
      <c r="C183" t="s">
        <v>745</v>
      </c>
      <c r="D183" t="s">
        <v>15</v>
      </c>
      <c r="E183" s="201">
        <v>6.65335994677312E-2</v>
      </c>
      <c r="F183" s="106">
        <v>1.5049999999999999</v>
      </c>
      <c r="G183" s="106">
        <v>0.100133067198935</v>
      </c>
    </row>
    <row r="184" spans="1:7" x14ac:dyDescent="0.25">
      <c r="A184" t="s">
        <v>333</v>
      </c>
      <c r="B184" t="s">
        <v>11</v>
      </c>
      <c r="C184" t="s">
        <v>790</v>
      </c>
      <c r="D184" t="s">
        <v>8</v>
      </c>
      <c r="E184" s="201">
        <v>1.1437908496732001</v>
      </c>
      <c r="F184" s="106">
        <v>6.7</v>
      </c>
      <c r="G184" s="106">
        <v>7.6633986928104596</v>
      </c>
    </row>
    <row r="185" spans="1:7" x14ac:dyDescent="0.25">
      <c r="A185" t="s">
        <v>333</v>
      </c>
      <c r="B185" t="s">
        <v>11</v>
      </c>
      <c r="C185" t="s">
        <v>47</v>
      </c>
      <c r="D185" t="s">
        <v>6</v>
      </c>
      <c r="E185" s="201">
        <v>0.78869548484729901</v>
      </c>
      <c r="F185" s="106">
        <v>71</v>
      </c>
      <c r="G185" s="106">
        <v>55.997379424158197</v>
      </c>
    </row>
    <row r="186" spans="1:7" x14ac:dyDescent="0.25">
      <c r="A186" t="s">
        <v>333</v>
      </c>
      <c r="B186" t="s">
        <v>11</v>
      </c>
      <c r="C186" t="s">
        <v>603</v>
      </c>
      <c r="D186" t="s">
        <v>6</v>
      </c>
      <c r="E186" s="201">
        <v>0.12418300653594801</v>
      </c>
      <c r="F186" s="106">
        <v>14.5475745234298</v>
      </c>
      <c r="G186" s="106">
        <v>1.8065615421252701</v>
      </c>
    </row>
    <row r="187" spans="1:7" x14ac:dyDescent="0.25">
      <c r="A187" t="s">
        <v>333</v>
      </c>
      <c r="B187" t="s">
        <v>11</v>
      </c>
      <c r="C187" t="s">
        <v>971</v>
      </c>
      <c r="D187" t="s">
        <v>6</v>
      </c>
      <c r="E187" s="201">
        <v>0.47038276388399702</v>
      </c>
      <c r="F187" s="106">
        <v>10</v>
      </c>
      <c r="G187" s="106">
        <v>4.7038276388399698</v>
      </c>
    </row>
    <row r="188" spans="1:7" x14ac:dyDescent="0.25">
      <c r="A188" t="s">
        <v>333</v>
      </c>
      <c r="B188" t="s">
        <v>11</v>
      </c>
      <c r="C188" t="s">
        <v>602</v>
      </c>
      <c r="D188" t="s">
        <v>6</v>
      </c>
      <c r="E188" s="201">
        <v>2.4188235294117599</v>
      </c>
      <c r="F188" s="106">
        <v>13.895122287420699</v>
      </c>
      <c r="G188" s="106">
        <v>33.6098487328671</v>
      </c>
    </row>
    <row r="189" spans="1:7" x14ac:dyDescent="0.25">
      <c r="A189" t="s">
        <v>333</v>
      </c>
      <c r="B189" t="s">
        <v>5</v>
      </c>
      <c r="C189" t="s">
        <v>330</v>
      </c>
      <c r="D189" t="s">
        <v>6</v>
      </c>
      <c r="E189" s="201">
        <v>1</v>
      </c>
      <c r="F189" s="106">
        <v>33</v>
      </c>
      <c r="G189" s="106">
        <v>33</v>
      </c>
    </row>
    <row r="190" spans="1:7" x14ac:dyDescent="0.25">
      <c r="A190" t="s">
        <v>333</v>
      </c>
      <c r="B190" t="s">
        <v>2</v>
      </c>
      <c r="C190" t="s">
        <v>1176</v>
      </c>
      <c r="D190" t="s">
        <v>15</v>
      </c>
      <c r="E190" s="201">
        <v>7.0031505616218501</v>
      </c>
      <c r="F190" s="106">
        <v>0.35957142857142899</v>
      </c>
      <c r="G190" s="106">
        <v>2.5181328519431698</v>
      </c>
    </row>
    <row r="191" spans="1:7" x14ac:dyDescent="0.25">
      <c r="A191" t="s">
        <v>333</v>
      </c>
      <c r="B191" t="s">
        <v>2</v>
      </c>
      <c r="C191" t="s">
        <v>1198</v>
      </c>
      <c r="D191" t="s">
        <v>15</v>
      </c>
      <c r="E191" s="201">
        <v>7.0031505616218501</v>
      </c>
      <c r="F191" s="106">
        <v>8.99482608695652E-2</v>
      </c>
      <c r="G191" s="106">
        <v>0.62992121362560505</v>
      </c>
    </row>
    <row r="192" spans="1:7" x14ac:dyDescent="0.25">
      <c r="A192" t="s">
        <v>333</v>
      </c>
      <c r="B192" t="s">
        <v>2</v>
      </c>
      <c r="C192" t="s">
        <v>1200</v>
      </c>
      <c r="D192" t="s">
        <v>15</v>
      </c>
      <c r="E192" s="201">
        <v>0.24509803921568599</v>
      </c>
      <c r="F192" s="106">
        <v>17.86</v>
      </c>
      <c r="G192" s="106">
        <v>4.37745098039216</v>
      </c>
    </row>
    <row r="193" spans="1:7" x14ac:dyDescent="0.25">
      <c r="A193" t="s">
        <v>333</v>
      </c>
      <c r="B193" t="s">
        <v>2</v>
      </c>
      <c r="C193" t="s">
        <v>1203</v>
      </c>
      <c r="D193" t="s">
        <v>6</v>
      </c>
      <c r="E193" s="201">
        <v>1</v>
      </c>
      <c r="F193" s="106">
        <v>8</v>
      </c>
      <c r="G193" s="106">
        <v>8</v>
      </c>
    </row>
    <row r="194" spans="1:7" x14ac:dyDescent="0.25">
      <c r="A194" t="s">
        <v>327</v>
      </c>
      <c r="B194" t="s">
        <v>11</v>
      </c>
      <c r="C194" t="s">
        <v>749</v>
      </c>
      <c r="D194" t="s">
        <v>15</v>
      </c>
      <c r="E194" s="201">
        <v>2.67522739432852E-2</v>
      </c>
      <c r="F194" s="106">
        <v>5.0999999999999996</v>
      </c>
      <c r="G194" s="106">
        <v>0.13643659711075401</v>
      </c>
    </row>
    <row r="195" spans="1:7" x14ac:dyDescent="0.25">
      <c r="A195" t="s">
        <v>327</v>
      </c>
      <c r="B195" t="s">
        <v>11</v>
      </c>
      <c r="C195" t="s">
        <v>752</v>
      </c>
      <c r="D195" t="s">
        <v>15</v>
      </c>
      <c r="E195" s="201">
        <v>0.10700909577314099</v>
      </c>
      <c r="F195" s="106">
        <v>5.0529999999999999</v>
      </c>
      <c r="G195" s="106">
        <v>0.54071696094167998</v>
      </c>
    </row>
    <row r="196" spans="1:7" x14ac:dyDescent="0.25">
      <c r="A196" t="s">
        <v>327</v>
      </c>
      <c r="B196" t="s">
        <v>11</v>
      </c>
      <c r="C196" t="s">
        <v>790</v>
      </c>
      <c r="D196" t="s">
        <v>8</v>
      </c>
      <c r="E196" s="201">
        <v>0.46292698037227897</v>
      </c>
      <c r="F196" s="106">
        <v>6.7</v>
      </c>
      <c r="G196" s="106">
        <v>3.10161076849427</v>
      </c>
    </row>
    <row r="197" spans="1:7" x14ac:dyDescent="0.25">
      <c r="A197" t="s">
        <v>327</v>
      </c>
      <c r="B197" t="s">
        <v>11</v>
      </c>
      <c r="C197" t="s">
        <v>856</v>
      </c>
      <c r="D197" t="s">
        <v>15</v>
      </c>
      <c r="E197" s="201">
        <v>5.35045478865704E-2</v>
      </c>
      <c r="F197" s="106">
        <v>5.35</v>
      </c>
      <c r="G197" s="106">
        <v>0.28624933119315099</v>
      </c>
    </row>
    <row r="198" spans="1:7" x14ac:dyDescent="0.25">
      <c r="A198" t="s">
        <v>327</v>
      </c>
      <c r="B198" t="s">
        <v>11</v>
      </c>
      <c r="C198" t="s">
        <v>47</v>
      </c>
      <c r="D198" t="s">
        <v>6</v>
      </c>
      <c r="E198" s="201">
        <v>1</v>
      </c>
      <c r="F198" s="106">
        <v>71</v>
      </c>
      <c r="G198" s="106">
        <v>71</v>
      </c>
    </row>
    <row r="199" spans="1:7" x14ac:dyDescent="0.25">
      <c r="A199" t="s">
        <v>327</v>
      </c>
      <c r="B199" t="s">
        <v>11</v>
      </c>
      <c r="C199" t="s">
        <v>610</v>
      </c>
      <c r="D199" t="s">
        <v>15</v>
      </c>
      <c r="E199" s="201">
        <v>2.67522739432852E-2</v>
      </c>
      <c r="F199" s="106">
        <v>23.93</v>
      </c>
      <c r="G199" s="106">
        <v>0.640181915462814</v>
      </c>
    </row>
    <row r="200" spans="1:7" x14ac:dyDescent="0.25">
      <c r="A200" t="s">
        <v>327</v>
      </c>
      <c r="B200" t="s">
        <v>11</v>
      </c>
      <c r="C200" t="s">
        <v>953</v>
      </c>
      <c r="D200" t="s">
        <v>15</v>
      </c>
      <c r="E200" s="201">
        <v>2.67522739432852E-2</v>
      </c>
      <c r="F200" s="106">
        <v>9.5184999999999995</v>
      </c>
      <c r="G200" s="106">
        <v>0.25464151952915998</v>
      </c>
    </row>
    <row r="201" spans="1:7" x14ac:dyDescent="0.25">
      <c r="A201" t="s">
        <v>327</v>
      </c>
      <c r="B201" t="s">
        <v>11</v>
      </c>
      <c r="C201" t="s">
        <v>603</v>
      </c>
      <c r="D201" t="s">
        <v>6</v>
      </c>
      <c r="E201" s="201">
        <v>2.6542761397876698E-2</v>
      </c>
      <c r="F201" s="106">
        <v>14.5475745234298</v>
      </c>
      <c r="G201" s="106">
        <v>0.38613279949322699</v>
      </c>
    </row>
    <row r="202" spans="1:7" x14ac:dyDescent="0.25">
      <c r="A202" t="s">
        <v>327</v>
      </c>
      <c r="B202" t="s">
        <v>11</v>
      </c>
      <c r="C202" t="s">
        <v>602</v>
      </c>
      <c r="D202" t="s">
        <v>6</v>
      </c>
      <c r="E202" s="201">
        <v>1.8034411872377601E-2</v>
      </c>
      <c r="F202" s="106">
        <v>13.895122287420699</v>
      </c>
      <c r="G202" s="106">
        <v>0.25059035834839799</v>
      </c>
    </row>
    <row r="203" spans="1:7" x14ac:dyDescent="0.25">
      <c r="A203" t="s">
        <v>327</v>
      </c>
      <c r="B203" t="s">
        <v>11</v>
      </c>
      <c r="C203" t="s">
        <v>999</v>
      </c>
      <c r="D203" t="s">
        <v>15</v>
      </c>
      <c r="E203" s="201">
        <v>0.18726591760299599</v>
      </c>
      <c r="F203" s="106">
        <v>26.814</v>
      </c>
      <c r="G203" s="106">
        <v>5.0213483146067404</v>
      </c>
    </row>
    <row r="204" spans="1:7" x14ac:dyDescent="0.25">
      <c r="A204" t="s">
        <v>327</v>
      </c>
      <c r="B204" t="s">
        <v>11</v>
      </c>
      <c r="C204" t="s">
        <v>1001</v>
      </c>
      <c r="D204" t="s">
        <v>15</v>
      </c>
      <c r="E204" s="201">
        <v>2.67522739432852E-2</v>
      </c>
      <c r="F204" s="106">
        <v>58.303333333333299</v>
      </c>
      <c r="G204" s="106">
        <v>1.55974674514</v>
      </c>
    </row>
    <row r="205" spans="1:7" x14ac:dyDescent="0.25">
      <c r="A205" t="s">
        <v>327</v>
      </c>
      <c r="B205" t="s">
        <v>5</v>
      </c>
      <c r="C205" t="s">
        <v>1129</v>
      </c>
      <c r="D205" t="s">
        <v>6</v>
      </c>
      <c r="E205" s="201">
        <v>1</v>
      </c>
      <c r="F205" s="106">
        <v>33</v>
      </c>
      <c r="G205" s="106">
        <v>33</v>
      </c>
    </row>
    <row r="206" spans="1:7" x14ac:dyDescent="0.25">
      <c r="A206" t="s">
        <v>327</v>
      </c>
      <c r="B206" t="s">
        <v>2</v>
      </c>
      <c r="C206" t="s">
        <v>1176</v>
      </c>
      <c r="D206" t="s">
        <v>15</v>
      </c>
      <c r="E206" s="201">
        <v>2.40770465489567</v>
      </c>
      <c r="F206" s="106">
        <v>0.35957142857142899</v>
      </c>
      <c r="G206" s="106">
        <v>0.86574180233891296</v>
      </c>
    </row>
    <row r="207" spans="1:7" x14ac:dyDescent="0.25">
      <c r="A207" t="s">
        <v>327</v>
      </c>
      <c r="B207" t="s">
        <v>2</v>
      </c>
      <c r="C207" t="s">
        <v>1196</v>
      </c>
      <c r="D207" t="s">
        <v>15</v>
      </c>
      <c r="E207" s="201">
        <v>2.40770465489567</v>
      </c>
      <c r="F207" s="106">
        <v>8.9200000000000002E-2</v>
      </c>
      <c r="G207" s="106">
        <v>0.21476725521669299</v>
      </c>
    </row>
    <row r="208" spans="1:7" x14ac:dyDescent="0.25">
      <c r="A208" t="s">
        <v>327</v>
      </c>
      <c r="B208" t="s">
        <v>2</v>
      </c>
      <c r="C208" t="s">
        <v>1203</v>
      </c>
      <c r="D208" t="s">
        <v>6</v>
      </c>
      <c r="E208" s="201">
        <v>1.0738362760834701</v>
      </c>
      <c r="F208" s="106">
        <v>8</v>
      </c>
      <c r="G208" s="106">
        <v>8.5906902086677395</v>
      </c>
    </row>
    <row r="209" spans="1:7" x14ac:dyDescent="0.25">
      <c r="A209" t="s">
        <v>327</v>
      </c>
      <c r="B209" t="s">
        <v>2</v>
      </c>
      <c r="C209" t="s">
        <v>1231</v>
      </c>
      <c r="D209" t="s">
        <v>6</v>
      </c>
      <c r="E209" s="201">
        <v>6.6880684858212899E-2</v>
      </c>
      <c r="F209" s="106">
        <v>8</v>
      </c>
      <c r="G209" s="106">
        <v>0.53504547886570397</v>
      </c>
    </row>
    <row r="210" spans="1:7" x14ac:dyDescent="0.25">
      <c r="A210" t="s">
        <v>319</v>
      </c>
      <c r="B210" t="s">
        <v>11</v>
      </c>
      <c r="C210" t="s">
        <v>747</v>
      </c>
      <c r="D210" t="s">
        <v>15</v>
      </c>
      <c r="E210" s="201">
        <v>2.6975991367682799E-2</v>
      </c>
      <c r="F210" s="106">
        <v>4.25</v>
      </c>
      <c r="G210" s="106">
        <v>0.11464796331265199</v>
      </c>
    </row>
    <row r="211" spans="1:7" x14ac:dyDescent="0.25">
      <c r="A211" t="s">
        <v>319</v>
      </c>
      <c r="B211" t="s">
        <v>11</v>
      </c>
      <c r="C211" t="s">
        <v>790</v>
      </c>
      <c r="D211" t="s">
        <v>8</v>
      </c>
      <c r="E211" s="201">
        <v>7.86163522012579E-2</v>
      </c>
      <c r="F211" s="106">
        <v>6.7</v>
      </c>
      <c r="G211" s="106">
        <v>0.52672955974842794</v>
      </c>
    </row>
    <row r="212" spans="1:7" x14ac:dyDescent="0.25">
      <c r="A212" t="s">
        <v>319</v>
      </c>
      <c r="B212" t="s">
        <v>11</v>
      </c>
      <c r="C212" t="s">
        <v>854</v>
      </c>
      <c r="D212" t="s">
        <v>15</v>
      </c>
      <c r="E212" s="201">
        <v>5.39519827353655E-2</v>
      </c>
      <c r="F212" s="106">
        <v>2.5252631578947402</v>
      </c>
      <c r="G212" s="106">
        <v>0.13624295429699099</v>
      </c>
    </row>
    <row r="213" spans="1:7" x14ac:dyDescent="0.25">
      <c r="A213" t="s">
        <v>319</v>
      </c>
      <c r="B213" t="s">
        <v>11</v>
      </c>
      <c r="C213" t="s">
        <v>47</v>
      </c>
      <c r="D213" t="s">
        <v>6</v>
      </c>
      <c r="E213" s="201">
        <v>0.82165207870655499</v>
      </c>
      <c r="F213" s="106">
        <v>71</v>
      </c>
      <c r="G213" s="106">
        <v>58.337297588165399</v>
      </c>
    </row>
    <row r="214" spans="1:7" x14ac:dyDescent="0.25">
      <c r="A214" t="s">
        <v>319</v>
      </c>
      <c r="B214" t="s">
        <v>11</v>
      </c>
      <c r="C214" t="s">
        <v>1029</v>
      </c>
      <c r="D214" t="s">
        <v>15</v>
      </c>
      <c r="E214" s="201">
        <v>2.6975991367682799E-2</v>
      </c>
      <c r="F214" s="106">
        <v>0.1141875</v>
      </c>
      <c r="G214" s="106">
        <v>3.08032101429728E-3</v>
      </c>
    </row>
    <row r="215" spans="1:7" x14ac:dyDescent="0.25">
      <c r="A215" t="s">
        <v>319</v>
      </c>
      <c r="B215" t="s">
        <v>11</v>
      </c>
      <c r="C215" t="s">
        <v>603</v>
      </c>
      <c r="D215" t="s">
        <v>6</v>
      </c>
      <c r="E215" s="201">
        <v>8.3720930232558093E-3</v>
      </c>
      <c r="F215" s="106">
        <v>14.5475745234298</v>
      </c>
      <c r="G215" s="106">
        <v>0.121793647172901</v>
      </c>
    </row>
    <row r="216" spans="1:7" x14ac:dyDescent="0.25">
      <c r="A216" t="s">
        <v>319</v>
      </c>
      <c r="B216" t="s">
        <v>11</v>
      </c>
      <c r="C216" t="s">
        <v>602</v>
      </c>
      <c r="D216" t="s">
        <v>6</v>
      </c>
      <c r="E216" s="201">
        <v>5.5813953488372103E-3</v>
      </c>
      <c r="F216" s="106">
        <v>13.895122287420699</v>
      </c>
      <c r="G216" s="106">
        <v>7.7554170906534201E-2</v>
      </c>
    </row>
    <row r="217" spans="1:7" x14ac:dyDescent="0.25">
      <c r="A217" t="s">
        <v>319</v>
      </c>
      <c r="B217" t="s">
        <v>5</v>
      </c>
      <c r="C217" t="s">
        <v>316</v>
      </c>
      <c r="D217" t="s">
        <v>6</v>
      </c>
      <c r="E217" s="201">
        <v>1</v>
      </c>
      <c r="F217" s="106">
        <v>34.3333333333333</v>
      </c>
      <c r="G217" s="106">
        <v>34.3333333333333</v>
      </c>
    </row>
    <row r="218" spans="1:7" x14ac:dyDescent="0.25">
      <c r="A218" t="s">
        <v>319</v>
      </c>
      <c r="B218" t="s">
        <v>2</v>
      </c>
      <c r="C218" t="s">
        <v>1184</v>
      </c>
      <c r="D218" t="s">
        <v>15</v>
      </c>
      <c r="E218" s="201">
        <v>2.6975991367682799E-2</v>
      </c>
      <c r="F218" s="106">
        <v>31.25</v>
      </c>
      <c r="G218" s="106">
        <v>0.84299973024008601</v>
      </c>
    </row>
    <row r="219" spans="1:7" x14ac:dyDescent="0.25">
      <c r="A219" t="s">
        <v>319</v>
      </c>
      <c r="B219" t="s">
        <v>2</v>
      </c>
      <c r="C219" t="s">
        <v>1200</v>
      </c>
      <c r="D219" t="s">
        <v>15</v>
      </c>
      <c r="E219" s="201">
        <v>7.5197196916858999E-2</v>
      </c>
      <c r="F219" s="106">
        <v>17.86</v>
      </c>
      <c r="G219" s="106">
        <v>1.3430219369351</v>
      </c>
    </row>
    <row r="220" spans="1:7" x14ac:dyDescent="0.25">
      <c r="A220" t="s">
        <v>319</v>
      </c>
      <c r="B220" t="s">
        <v>2</v>
      </c>
      <c r="C220" t="s">
        <v>1203</v>
      </c>
      <c r="D220" t="s">
        <v>6</v>
      </c>
      <c r="E220" s="201">
        <v>0.93156720783969604</v>
      </c>
      <c r="F220" s="106">
        <v>8</v>
      </c>
      <c r="G220" s="106">
        <v>7.4525376627175701</v>
      </c>
    </row>
    <row r="221" spans="1:7" x14ac:dyDescent="0.25">
      <c r="A221" t="s">
        <v>314</v>
      </c>
      <c r="B221" t="s">
        <v>11</v>
      </c>
      <c r="C221" t="s">
        <v>790</v>
      </c>
      <c r="D221" t="s">
        <v>8</v>
      </c>
      <c r="E221" s="201">
        <v>0.20378108870571501</v>
      </c>
      <c r="F221" s="106">
        <v>6.7</v>
      </c>
      <c r="G221" s="106">
        <v>1.3653332943282901</v>
      </c>
    </row>
    <row r="222" spans="1:7" x14ac:dyDescent="0.25">
      <c r="A222" t="s">
        <v>314</v>
      </c>
      <c r="B222" t="s">
        <v>11</v>
      </c>
      <c r="C222" t="s">
        <v>798</v>
      </c>
      <c r="D222" t="s">
        <v>15</v>
      </c>
      <c r="E222" s="201">
        <v>0.16647876738068401</v>
      </c>
      <c r="F222" s="106">
        <v>7.6570634920634904</v>
      </c>
      <c r="G222" s="106">
        <v>1.2747384919143701</v>
      </c>
    </row>
    <row r="223" spans="1:7" x14ac:dyDescent="0.25">
      <c r="A223" t="s">
        <v>314</v>
      </c>
      <c r="B223" t="s">
        <v>11</v>
      </c>
      <c r="C223" t="s">
        <v>156</v>
      </c>
      <c r="D223" t="s">
        <v>30</v>
      </c>
      <c r="E223" s="201">
        <v>1.39045471627208E-2</v>
      </c>
      <c r="F223" s="106">
        <v>9.0133333333333301</v>
      </c>
      <c r="G223" s="106">
        <v>0.12532631842665701</v>
      </c>
    </row>
    <row r="224" spans="1:7" x14ac:dyDescent="0.25">
      <c r="A224" t="s">
        <v>314</v>
      </c>
      <c r="B224" t="s">
        <v>11</v>
      </c>
      <c r="C224" t="s">
        <v>47</v>
      </c>
      <c r="D224" t="s">
        <v>6</v>
      </c>
      <c r="E224" s="201">
        <v>0.60989445385816099</v>
      </c>
      <c r="F224" s="106">
        <v>71</v>
      </c>
      <c r="G224" s="106">
        <v>43.302506223929399</v>
      </c>
    </row>
    <row r="225" spans="1:7" x14ac:dyDescent="0.25">
      <c r="A225" t="s">
        <v>314</v>
      </c>
      <c r="B225" t="s">
        <v>11</v>
      </c>
      <c r="C225" t="s">
        <v>155</v>
      </c>
      <c r="D225" t="s">
        <v>144</v>
      </c>
      <c r="E225" s="201">
        <v>1.39045471627208E-2</v>
      </c>
      <c r="F225" s="106">
        <v>12.525</v>
      </c>
      <c r="G225" s="106">
        <v>0.17415445321307799</v>
      </c>
    </row>
    <row r="226" spans="1:7" x14ac:dyDescent="0.25">
      <c r="A226" t="s">
        <v>314</v>
      </c>
      <c r="B226" t="s">
        <v>11</v>
      </c>
      <c r="C226" t="s">
        <v>921</v>
      </c>
      <c r="D226" t="s">
        <v>15</v>
      </c>
      <c r="E226" s="201">
        <v>1.39045471627208E-2</v>
      </c>
      <c r="F226" s="106">
        <v>103.07</v>
      </c>
      <c r="G226" s="106">
        <v>1.43314167606163</v>
      </c>
    </row>
    <row r="227" spans="1:7" x14ac:dyDescent="0.25">
      <c r="A227" t="s">
        <v>314</v>
      </c>
      <c r="B227" t="s">
        <v>11</v>
      </c>
      <c r="C227" t="s">
        <v>923</v>
      </c>
      <c r="D227" t="s">
        <v>15</v>
      </c>
      <c r="E227" s="201">
        <v>1.39045471627208E-2</v>
      </c>
      <c r="F227" s="106">
        <v>27</v>
      </c>
      <c r="G227" s="106">
        <v>0.37542277339346097</v>
      </c>
    </row>
    <row r="228" spans="1:7" x14ac:dyDescent="0.25">
      <c r="A228" t="s">
        <v>314</v>
      </c>
      <c r="B228" t="s">
        <v>11</v>
      </c>
      <c r="C228" t="s">
        <v>145</v>
      </c>
      <c r="D228" t="s">
        <v>144</v>
      </c>
      <c r="E228" s="201">
        <v>1.1273957158962801E-2</v>
      </c>
      <c r="F228" s="106">
        <v>67.732222222222205</v>
      </c>
      <c r="G228" s="106">
        <v>0.76361017161468103</v>
      </c>
    </row>
    <row r="229" spans="1:7" x14ac:dyDescent="0.25">
      <c r="A229" t="s">
        <v>314</v>
      </c>
      <c r="B229" t="s">
        <v>11</v>
      </c>
      <c r="C229" t="s">
        <v>603</v>
      </c>
      <c r="D229" t="s">
        <v>6</v>
      </c>
      <c r="E229" s="201">
        <v>4.6238601339223098E-2</v>
      </c>
      <c r="F229" s="106">
        <v>14.5475745234298</v>
      </c>
      <c r="G229" s="106">
        <v>0.672659498841508</v>
      </c>
    </row>
    <row r="230" spans="1:7" x14ac:dyDescent="0.25">
      <c r="A230" t="s">
        <v>314</v>
      </c>
      <c r="B230" t="s">
        <v>5</v>
      </c>
      <c r="C230" t="s">
        <v>311</v>
      </c>
      <c r="D230" t="s">
        <v>6</v>
      </c>
      <c r="E230" s="201">
        <v>1</v>
      </c>
      <c r="F230" s="106">
        <v>35</v>
      </c>
      <c r="G230" s="106">
        <v>35</v>
      </c>
    </row>
    <row r="231" spans="1:7" x14ac:dyDescent="0.25">
      <c r="A231" t="s">
        <v>314</v>
      </c>
      <c r="B231" t="s">
        <v>2</v>
      </c>
      <c r="C231" t="s">
        <v>1184</v>
      </c>
      <c r="D231" t="s">
        <v>15</v>
      </c>
      <c r="E231" s="201">
        <v>6.65335994677312E-2</v>
      </c>
      <c r="F231" s="106">
        <v>31.25</v>
      </c>
      <c r="G231" s="106">
        <v>2.0791749833665998</v>
      </c>
    </row>
    <row r="232" spans="1:7" x14ac:dyDescent="0.25">
      <c r="A232" t="s">
        <v>314</v>
      </c>
      <c r="B232" t="s">
        <v>2</v>
      </c>
      <c r="C232" t="s">
        <v>1200</v>
      </c>
      <c r="D232" t="s">
        <v>15</v>
      </c>
      <c r="E232" s="201">
        <v>5.2056728332136898E-2</v>
      </c>
      <c r="F232" s="106">
        <v>17.86</v>
      </c>
      <c r="G232" s="106">
        <v>0.92973316801196604</v>
      </c>
    </row>
    <row r="233" spans="1:7" x14ac:dyDescent="0.25">
      <c r="A233" t="s">
        <v>314</v>
      </c>
      <c r="B233" t="s">
        <v>2</v>
      </c>
      <c r="C233" t="s">
        <v>1203</v>
      </c>
      <c r="D233" t="s">
        <v>6</v>
      </c>
      <c r="E233" s="201">
        <v>0.33821871476888399</v>
      </c>
      <c r="F233" s="106">
        <v>8</v>
      </c>
      <c r="G233" s="106">
        <v>2.7057497181510701</v>
      </c>
    </row>
    <row r="234" spans="1:7" x14ac:dyDescent="0.25">
      <c r="A234" t="s">
        <v>309</v>
      </c>
      <c r="B234" t="s">
        <v>11</v>
      </c>
      <c r="C234" t="s">
        <v>749</v>
      </c>
      <c r="D234" t="s">
        <v>15</v>
      </c>
      <c r="E234" s="201">
        <v>1.59529494344679E-2</v>
      </c>
      <c r="F234" s="106">
        <v>5.0999999999999996</v>
      </c>
      <c r="G234" s="106">
        <v>8.1360042115786499E-2</v>
      </c>
    </row>
    <row r="235" spans="1:7" x14ac:dyDescent="0.25">
      <c r="A235" t="s">
        <v>309</v>
      </c>
      <c r="B235" t="s">
        <v>11</v>
      </c>
      <c r="C235" t="s">
        <v>790</v>
      </c>
      <c r="D235" t="s">
        <v>8</v>
      </c>
      <c r="E235" s="201">
        <v>8.5082396983828995E-2</v>
      </c>
      <c r="F235" s="106">
        <v>6.7</v>
      </c>
      <c r="G235" s="106">
        <v>0.57005205979165496</v>
      </c>
    </row>
    <row r="236" spans="1:7" x14ac:dyDescent="0.25">
      <c r="A236" t="s">
        <v>309</v>
      </c>
      <c r="B236" t="s">
        <v>11</v>
      </c>
      <c r="C236" t="s">
        <v>967</v>
      </c>
      <c r="D236" t="s">
        <v>6</v>
      </c>
      <c r="E236" s="201">
        <v>6.38117977378718E-3</v>
      </c>
      <c r="F236" s="106">
        <v>13.75</v>
      </c>
      <c r="G236" s="106">
        <v>8.7741221889573701E-2</v>
      </c>
    </row>
    <row r="237" spans="1:7" x14ac:dyDescent="0.25">
      <c r="A237" t="s">
        <v>309</v>
      </c>
      <c r="B237" t="s">
        <v>11</v>
      </c>
      <c r="C237" t="s">
        <v>602</v>
      </c>
      <c r="D237" t="s">
        <v>6</v>
      </c>
      <c r="E237" s="201">
        <v>4.2541198491914496E-3</v>
      </c>
      <c r="F237" s="106">
        <v>13.895122287420699</v>
      </c>
      <c r="G237" s="106">
        <v>5.9111515529859E-2</v>
      </c>
    </row>
    <row r="238" spans="1:7" x14ac:dyDescent="0.25">
      <c r="A238" t="s">
        <v>309</v>
      </c>
      <c r="B238" t="s">
        <v>11</v>
      </c>
      <c r="C238" t="s">
        <v>997</v>
      </c>
      <c r="D238" t="s">
        <v>15</v>
      </c>
      <c r="E238" s="201">
        <v>2.6588249057446601E-2</v>
      </c>
      <c r="F238" s="106">
        <v>25.1390909090909</v>
      </c>
      <c r="G238" s="106">
        <v>0.6684044101687</v>
      </c>
    </row>
    <row r="239" spans="1:7" x14ac:dyDescent="0.25">
      <c r="A239" t="s">
        <v>309</v>
      </c>
      <c r="B239" t="s">
        <v>5</v>
      </c>
      <c r="C239" t="s">
        <v>306</v>
      </c>
      <c r="D239" t="s">
        <v>3</v>
      </c>
      <c r="E239" s="201">
        <v>1</v>
      </c>
      <c r="F239" s="106">
        <v>4.25</v>
      </c>
      <c r="G239" s="106">
        <v>4.25</v>
      </c>
    </row>
    <row r="240" spans="1:7" x14ac:dyDescent="0.25">
      <c r="A240" t="s">
        <v>309</v>
      </c>
      <c r="B240" t="s">
        <v>2</v>
      </c>
      <c r="C240" t="s">
        <v>1176</v>
      </c>
      <c r="D240" t="s">
        <v>15</v>
      </c>
      <c r="E240" s="201">
        <v>1.8718127336442401</v>
      </c>
      <c r="F240" s="106">
        <v>0.35957142857142899</v>
      </c>
      <c r="G240" s="106">
        <v>0.67305037865465001</v>
      </c>
    </row>
    <row r="241" spans="1:7" x14ac:dyDescent="0.25">
      <c r="A241" t="s">
        <v>309</v>
      </c>
      <c r="B241" t="s">
        <v>2</v>
      </c>
      <c r="C241" t="s">
        <v>1198</v>
      </c>
      <c r="D241" t="s">
        <v>15</v>
      </c>
      <c r="E241" s="201">
        <v>1.8718127336442401</v>
      </c>
      <c r="F241" s="106">
        <v>8.99482608695652E-2</v>
      </c>
      <c r="G241" s="106">
        <v>0.16836630006480599</v>
      </c>
    </row>
    <row r="242" spans="1:7" x14ac:dyDescent="0.25">
      <c r="A242" t="s">
        <v>305</v>
      </c>
      <c r="B242" t="s">
        <v>2</v>
      </c>
      <c r="C242" t="s">
        <v>329</v>
      </c>
      <c r="D242" t="s">
        <v>88</v>
      </c>
      <c r="E242" s="201">
        <v>1</v>
      </c>
      <c r="F242" s="106">
        <v>60</v>
      </c>
      <c r="G242" s="106">
        <v>60</v>
      </c>
    </row>
    <row r="243" spans="1:7" x14ac:dyDescent="0.25">
      <c r="A243" t="s">
        <v>302</v>
      </c>
      <c r="B243" t="s">
        <v>11</v>
      </c>
      <c r="C243" t="s">
        <v>790</v>
      </c>
      <c r="D243" t="s">
        <v>8</v>
      </c>
      <c r="E243" s="201">
        <v>2.5062656641604</v>
      </c>
      <c r="F243" s="106">
        <v>6.7</v>
      </c>
      <c r="G243" s="106">
        <v>16.791979949874701</v>
      </c>
    </row>
    <row r="244" spans="1:7" x14ac:dyDescent="0.25">
      <c r="A244" t="s">
        <v>302</v>
      </c>
      <c r="B244" t="s">
        <v>11</v>
      </c>
      <c r="C244" t="s">
        <v>603</v>
      </c>
      <c r="D244" t="s">
        <v>6</v>
      </c>
      <c r="E244" s="201">
        <v>0.35588972431077698</v>
      </c>
      <c r="F244" s="106">
        <v>14.5475745234298</v>
      </c>
      <c r="G244" s="106">
        <v>5.1773322865339102</v>
      </c>
    </row>
    <row r="245" spans="1:7" x14ac:dyDescent="0.25">
      <c r="A245" t="s">
        <v>302</v>
      </c>
      <c r="B245" t="s">
        <v>11</v>
      </c>
      <c r="C245" t="s">
        <v>602</v>
      </c>
      <c r="D245" t="s">
        <v>6</v>
      </c>
      <c r="E245" s="201">
        <v>0.35588972431077698</v>
      </c>
      <c r="F245" s="106">
        <v>13.895122287420699</v>
      </c>
      <c r="G245" s="106">
        <v>4.9451312401346899</v>
      </c>
    </row>
    <row r="246" spans="1:7" x14ac:dyDescent="0.25">
      <c r="A246" t="s">
        <v>302</v>
      </c>
      <c r="B246" t="s">
        <v>5</v>
      </c>
      <c r="C246" t="s">
        <v>300</v>
      </c>
      <c r="D246" t="s">
        <v>6</v>
      </c>
      <c r="E246" s="201">
        <v>1</v>
      </c>
      <c r="F246" s="106">
        <v>33</v>
      </c>
      <c r="G246" s="106">
        <v>33</v>
      </c>
    </row>
    <row r="247" spans="1:7" x14ac:dyDescent="0.25">
      <c r="A247" t="s">
        <v>299</v>
      </c>
      <c r="B247" t="s">
        <v>5</v>
      </c>
      <c r="C247" t="s">
        <v>297</v>
      </c>
      <c r="D247" t="s">
        <v>6</v>
      </c>
      <c r="E247" s="201">
        <v>1</v>
      </c>
      <c r="F247" s="106">
        <v>15</v>
      </c>
      <c r="G247" s="106">
        <v>15</v>
      </c>
    </row>
    <row r="248" spans="1:7" x14ac:dyDescent="0.25">
      <c r="A248" t="s">
        <v>295</v>
      </c>
      <c r="B248" t="s">
        <v>5</v>
      </c>
      <c r="C248" t="s">
        <v>1088</v>
      </c>
      <c r="D248" t="s">
        <v>130</v>
      </c>
      <c r="E248" s="201">
        <v>1</v>
      </c>
      <c r="F248" s="106">
        <v>11.25</v>
      </c>
      <c r="G248" s="106">
        <v>11.25</v>
      </c>
    </row>
    <row r="249" spans="1:7" x14ac:dyDescent="0.25">
      <c r="A249" t="s">
        <v>289</v>
      </c>
      <c r="B249" t="s">
        <v>5</v>
      </c>
      <c r="C249" t="s">
        <v>1098</v>
      </c>
      <c r="D249" t="s">
        <v>130</v>
      </c>
      <c r="E249" s="201">
        <v>1</v>
      </c>
      <c r="F249" s="106">
        <v>11.5</v>
      </c>
      <c r="G249" s="106">
        <v>11.5</v>
      </c>
    </row>
    <row r="250" spans="1:7" x14ac:dyDescent="0.25">
      <c r="A250" t="s">
        <v>289</v>
      </c>
      <c r="B250" t="s">
        <v>2</v>
      </c>
      <c r="C250" t="s">
        <v>1186</v>
      </c>
      <c r="D250" t="s">
        <v>15</v>
      </c>
      <c r="E250" s="201">
        <v>0.36952313918704899</v>
      </c>
      <c r="F250" s="106">
        <v>0.35957142857142899</v>
      </c>
      <c r="G250" s="106">
        <v>0.132869963047686</v>
      </c>
    </row>
    <row r="251" spans="1:7" x14ac:dyDescent="0.25">
      <c r="A251" t="s">
        <v>289</v>
      </c>
      <c r="B251" t="s">
        <v>2</v>
      </c>
      <c r="C251" t="s">
        <v>1198</v>
      </c>
      <c r="D251" t="s">
        <v>15</v>
      </c>
      <c r="E251" s="201">
        <v>0.36952313918704899</v>
      </c>
      <c r="F251" s="106">
        <v>8.99482608695652E-2</v>
      </c>
      <c r="G251" s="106">
        <v>3.3237963720937402E-2</v>
      </c>
    </row>
    <row r="252" spans="1:7" x14ac:dyDescent="0.25">
      <c r="A252" t="s">
        <v>506</v>
      </c>
      <c r="B252" t="s">
        <v>5</v>
      </c>
      <c r="C252" t="s">
        <v>1096</v>
      </c>
      <c r="D252" t="s">
        <v>130</v>
      </c>
      <c r="E252" s="201">
        <v>1</v>
      </c>
      <c r="F252" s="106">
        <v>12.565</v>
      </c>
      <c r="G252" s="106">
        <v>12.565</v>
      </c>
    </row>
    <row r="253" spans="1:7" x14ac:dyDescent="0.25">
      <c r="A253" t="s">
        <v>284</v>
      </c>
      <c r="B253" t="s">
        <v>5</v>
      </c>
      <c r="C253" t="s">
        <v>1092</v>
      </c>
      <c r="D253" t="s">
        <v>3</v>
      </c>
      <c r="E253" s="201">
        <v>1</v>
      </c>
      <c r="F253" s="106">
        <v>3.87</v>
      </c>
      <c r="G253" s="106">
        <v>3.87</v>
      </c>
    </row>
    <row r="254" spans="1:7" x14ac:dyDescent="0.25">
      <c r="A254" t="s">
        <v>282</v>
      </c>
      <c r="B254" t="s">
        <v>5</v>
      </c>
      <c r="C254" t="s">
        <v>1094</v>
      </c>
      <c r="D254" t="s">
        <v>130</v>
      </c>
      <c r="E254" s="201">
        <v>1</v>
      </c>
      <c r="F254" s="106">
        <v>11.285</v>
      </c>
      <c r="G254" s="106">
        <v>11.285</v>
      </c>
    </row>
    <row r="255" spans="1:7" x14ac:dyDescent="0.25">
      <c r="A255" t="s">
        <v>279</v>
      </c>
      <c r="B255" t="s">
        <v>5</v>
      </c>
      <c r="C255" t="s">
        <v>277</v>
      </c>
      <c r="D255" t="s">
        <v>130</v>
      </c>
      <c r="E255" s="201">
        <v>1</v>
      </c>
      <c r="F255" s="106">
        <v>1.54</v>
      </c>
      <c r="G255" s="106">
        <v>1.54</v>
      </c>
    </row>
    <row r="256" spans="1:7" x14ac:dyDescent="0.25">
      <c r="A256" t="s">
        <v>276</v>
      </c>
      <c r="B256" t="s">
        <v>11</v>
      </c>
      <c r="C256" t="s">
        <v>703</v>
      </c>
      <c r="D256" t="s">
        <v>144</v>
      </c>
      <c r="E256" s="201">
        <v>9.5238095238095205E-2</v>
      </c>
      <c r="F256" s="106">
        <v>96.23</v>
      </c>
      <c r="G256" s="106">
        <v>9.1647619047618996</v>
      </c>
    </row>
    <row r="257" spans="1:7" x14ac:dyDescent="0.25">
      <c r="A257" t="s">
        <v>276</v>
      </c>
      <c r="B257" t="s">
        <v>11</v>
      </c>
      <c r="C257" t="s">
        <v>810</v>
      </c>
      <c r="D257" t="s">
        <v>30</v>
      </c>
      <c r="E257" s="201">
        <v>6.6096109086318494E-2</v>
      </c>
      <c r="F257" s="106">
        <v>3.2450000000000001</v>
      </c>
      <c r="G257" s="106">
        <v>0.21448187398510299</v>
      </c>
    </row>
    <row r="258" spans="1:7" x14ac:dyDescent="0.25">
      <c r="A258" t="s">
        <v>276</v>
      </c>
      <c r="B258" t="s">
        <v>11</v>
      </c>
      <c r="C258" t="s">
        <v>816</v>
      </c>
      <c r="D258" t="s">
        <v>30</v>
      </c>
      <c r="E258" s="201">
        <v>0.33702874562678697</v>
      </c>
      <c r="F258" s="106">
        <v>3.5215000000000001</v>
      </c>
      <c r="G258" s="106">
        <v>1.1868467277247301</v>
      </c>
    </row>
    <row r="259" spans="1:7" x14ac:dyDescent="0.25">
      <c r="A259" t="s">
        <v>276</v>
      </c>
      <c r="B259" t="s">
        <v>11</v>
      </c>
      <c r="C259" t="s">
        <v>824</v>
      </c>
      <c r="D259" t="s">
        <v>30</v>
      </c>
      <c r="E259" s="201">
        <v>0.17057273505804901</v>
      </c>
      <c r="F259" s="106">
        <v>1.9257894736842101</v>
      </c>
      <c r="G259" s="106">
        <v>0.328487177672317</v>
      </c>
    </row>
    <row r="260" spans="1:7" x14ac:dyDescent="0.25">
      <c r="A260" t="s">
        <v>276</v>
      </c>
      <c r="B260" t="s">
        <v>11</v>
      </c>
      <c r="C260" t="s">
        <v>820</v>
      </c>
      <c r="D260" t="s">
        <v>30</v>
      </c>
      <c r="E260" s="201">
        <v>0.30234364103482902</v>
      </c>
      <c r="F260" s="106">
        <v>1.82233333333333</v>
      </c>
      <c r="G260" s="106">
        <v>0.550970895179138</v>
      </c>
    </row>
    <row r="261" spans="1:7" x14ac:dyDescent="0.25">
      <c r="A261" t="s">
        <v>276</v>
      </c>
      <c r="B261" t="s">
        <v>11</v>
      </c>
      <c r="C261" t="s">
        <v>606</v>
      </c>
      <c r="D261" t="s">
        <v>15</v>
      </c>
      <c r="E261" s="201">
        <v>4.28571428571429</v>
      </c>
      <c r="F261" s="106">
        <v>2.4034925925925901</v>
      </c>
      <c r="G261" s="106">
        <v>10.3006825396825</v>
      </c>
    </row>
    <row r="262" spans="1:7" x14ac:dyDescent="0.25">
      <c r="A262" t="s">
        <v>276</v>
      </c>
      <c r="B262" t="s">
        <v>5</v>
      </c>
      <c r="C262" t="s">
        <v>1090</v>
      </c>
      <c r="D262" t="s">
        <v>3</v>
      </c>
      <c r="E262" s="201">
        <v>1</v>
      </c>
      <c r="F262" s="106">
        <v>6.5</v>
      </c>
      <c r="G262" s="106">
        <v>6.5</v>
      </c>
    </row>
    <row r="263" spans="1:7" x14ac:dyDescent="0.25">
      <c r="A263" t="s">
        <v>276</v>
      </c>
      <c r="B263" t="s">
        <v>2</v>
      </c>
      <c r="C263" t="s">
        <v>1186</v>
      </c>
      <c r="D263" t="s">
        <v>15</v>
      </c>
      <c r="E263" s="201">
        <v>8</v>
      </c>
      <c r="F263" s="106">
        <v>0.35957142857142899</v>
      </c>
      <c r="G263" s="106">
        <v>2.8765714285714301</v>
      </c>
    </row>
    <row r="264" spans="1:7" x14ac:dyDescent="0.25">
      <c r="A264" t="s">
        <v>276</v>
      </c>
      <c r="B264" t="s">
        <v>2</v>
      </c>
      <c r="C264" t="s">
        <v>1198</v>
      </c>
      <c r="D264" t="s">
        <v>15</v>
      </c>
      <c r="E264" s="201">
        <v>8</v>
      </c>
      <c r="F264" s="106">
        <v>8.99482608695652E-2</v>
      </c>
      <c r="G264" s="106">
        <v>0.71958608695652204</v>
      </c>
    </row>
    <row r="265" spans="1:7" x14ac:dyDescent="0.25">
      <c r="A265" t="s">
        <v>271</v>
      </c>
      <c r="B265" t="s">
        <v>11</v>
      </c>
      <c r="C265" t="s">
        <v>720</v>
      </c>
      <c r="D265" t="s">
        <v>6</v>
      </c>
      <c r="E265" s="201">
        <v>3.9328437640159898E-2</v>
      </c>
      <c r="F265" s="106">
        <v>13.2501677489178</v>
      </c>
      <c r="G265" s="106">
        <v>0.52110839603496895</v>
      </c>
    </row>
    <row r="266" spans="1:7" x14ac:dyDescent="0.25">
      <c r="A266" t="s">
        <v>271</v>
      </c>
      <c r="B266" t="s">
        <v>11</v>
      </c>
      <c r="C266" t="s">
        <v>733</v>
      </c>
      <c r="D266" t="s">
        <v>15</v>
      </c>
      <c r="E266" s="201">
        <v>7.4346347305076401</v>
      </c>
      <c r="F266" s="106">
        <v>0.44341249999999999</v>
      </c>
      <c r="G266" s="106">
        <v>3.2966099724412201</v>
      </c>
    </row>
    <row r="267" spans="1:7" x14ac:dyDescent="0.25">
      <c r="A267" t="s">
        <v>271</v>
      </c>
      <c r="B267" t="s">
        <v>11</v>
      </c>
      <c r="C267" t="s">
        <v>775</v>
      </c>
      <c r="D267" t="s">
        <v>222</v>
      </c>
      <c r="E267" s="201">
        <v>1.1630871200051E-3</v>
      </c>
      <c r="F267" s="106">
        <v>0.51700000000000002</v>
      </c>
      <c r="G267" s="106">
        <v>6.0131604104263605E-4</v>
      </c>
    </row>
    <row r="268" spans="1:7" x14ac:dyDescent="0.25">
      <c r="A268" t="s">
        <v>271</v>
      </c>
      <c r="B268" t="s">
        <v>11</v>
      </c>
      <c r="C268" t="s">
        <v>785</v>
      </c>
      <c r="D268" t="s">
        <v>174</v>
      </c>
      <c r="E268" s="201">
        <v>0.20650800252495999</v>
      </c>
      <c r="F268" s="106">
        <v>6.6974999999999998</v>
      </c>
      <c r="G268" s="106">
        <v>1.3830873469109199</v>
      </c>
    </row>
    <row r="269" spans="1:7" x14ac:dyDescent="0.25">
      <c r="A269" t="s">
        <v>271</v>
      </c>
      <c r="B269" t="s">
        <v>11</v>
      </c>
      <c r="C269" t="s">
        <v>856</v>
      </c>
      <c r="D269" t="s">
        <v>15</v>
      </c>
      <c r="E269" s="201">
        <v>4.6272649367324899E-2</v>
      </c>
      <c r="F269" s="106">
        <v>5.35</v>
      </c>
      <c r="G269" s="106">
        <v>0.247558674115188</v>
      </c>
    </row>
    <row r="270" spans="1:7" x14ac:dyDescent="0.25">
      <c r="A270" t="s">
        <v>271</v>
      </c>
      <c r="B270" t="s">
        <v>11</v>
      </c>
      <c r="C270" t="s">
        <v>951</v>
      </c>
      <c r="D270" t="s">
        <v>15</v>
      </c>
      <c r="E270" s="201">
        <v>7.9940893322752692E-3</v>
      </c>
      <c r="F270" s="106">
        <v>4.0571428571428596</v>
      </c>
      <c r="G270" s="106">
        <v>3.2433162433802502E-2</v>
      </c>
    </row>
    <row r="271" spans="1:7" x14ac:dyDescent="0.25">
      <c r="A271" t="s">
        <v>271</v>
      </c>
      <c r="B271" t="s">
        <v>11</v>
      </c>
      <c r="C271" t="s">
        <v>997</v>
      </c>
      <c r="D271" t="s">
        <v>15</v>
      </c>
      <c r="E271" s="201">
        <v>2.6043351489452402E-2</v>
      </c>
      <c r="F271" s="106">
        <v>25.1390909090909</v>
      </c>
      <c r="G271" s="106">
        <v>0.65470618067075204</v>
      </c>
    </row>
    <row r="272" spans="1:7" x14ac:dyDescent="0.25">
      <c r="A272" t="s">
        <v>271</v>
      </c>
      <c r="B272" t="s">
        <v>11</v>
      </c>
      <c r="C272" t="s">
        <v>1047</v>
      </c>
      <c r="D272" t="s">
        <v>15</v>
      </c>
      <c r="E272" s="201">
        <v>2.5603277219484102E-2</v>
      </c>
      <c r="F272" s="106">
        <v>11.715</v>
      </c>
      <c r="G272" s="106">
        <v>0.29994239262625599</v>
      </c>
    </row>
    <row r="273" spans="1:7" x14ac:dyDescent="0.25">
      <c r="A273" t="s">
        <v>271</v>
      </c>
      <c r="B273" t="s">
        <v>5</v>
      </c>
      <c r="C273" t="s">
        <v>268</v>
      </c>
      <c r="D273" t="s">
        <v>130</v>
      </c>
      <c r="E273" s="201">
        <v>1</v>
      </c>
      <c r="F273" s="106">
        <v>6.1266666666666696</v>
      </c>
      <c r="G273" s="106">
        <v>6.1266666666666696</v>
      </c>
    </row>
    <row r="274" spans="1:7" x14ac:dyDescent="0.25">
      <c r="A274" t="s">
        <v>271</v>
      </c>
      <c r="B274" t="s">
        <v>2</v>
      </c>
      <c r="C274" t="s">
        <v>1176</v>
      </c>
      <c r="D274" t="s">
        <v>15</v>
      </c>
      <c r="E274" s="201">
        <v>1.2353581258401101</v>
      </c>
      <c r="F274" s="106">
        <v>0.35957142857142899</v>
      </c>
      <c r="G274" s="106">
        <v>0.44419948610565002</v>
      </c>
    </row>
    <row r="275" spans="1:7" x14ac:dyDescent="0.25">
      <c r="A275" t="s">
        <v>271</v>
      </c>
      <c r="B275" t="s">
        <v>2</v>
      </c>
      <c r="C275" t="s">
        <v>1198</v>
      </c>
      <c r="D275" t="s">
        <v>15</v>
      </c>
      <c r="E275" s="201">
        <v>1.2353581258401101</v>
      </c>
      <c r="F275" s="106">
        <v>8.99482608695652E-2</v>
      </c>
      <c r="G275" s="106">
        <v>0.111118314970403</v>
      </c>
    </row>
    <row r="276" spans="1:7" x14ac:dyDescent="0.25">
      <c r="A276" t="s">
        <v>267</v>
      </c>
      <c r="B276" t="s">
        <v>11</v>
      </c>
      <c r="C276" t="s">
        <v>720</v>
      </c>
      <c r="D276" t="s">
        <v>6</v>
      </c>
      <c r="E276" s="201">
        <v>3.5562912246382299E-2</v>
      </c>
      <c r="F276" s="106">
        <v>13.2501677489178</v>
      </c>
      <c r="G276" s="106">
        <v>0.47121455290460601</v>
      </c>
    </row>
    <row r="277" spans="1:7" x14ac:dyDescent="0.25">
      <c r="A277" t="s">
        <v>267</v>
      </c>
      <c r="B277" t="s">
        <v>11</v>
      </c>
      <c r="C277" t="s">
        <v>731</v>
      </c>
      <c r="D277" t="s">
        <v>15</v>
      </c>
      <c r="E277" s="201">
        <v>10.0190581354627</v>
      </c>
      <c r="F277" s="106">
        <v>0.34599999999999997</v>
      </c>
      <c r="G277" s="106">
        <v>3.4665941148700798</v>
      </c>
    </row>
    <row r="278" spans="1:7" x14ac:dyDescent="0.25">
      <c r="A278" t="s">
        <v>267</v>
      </c>
      <c r="B278" t="s">
        <v>11</v>
      </c>
      <c r="C278" t="s">
        <v>749</v>
      </c>
      <c r="D278" t="s">
        <v>15</v>
      </c>
      <c r="E278" s="201">
        <v>3.3540580521597601E-3</v>
      </c>
      <c r="F278" s="106">
        <v>5.0999999999999996</v>
      </c>
      <c r="G278" s="106">
        <v>1.7105696066014801E-2</v>
      </c>
    </row>
    <row r="279" spans="1:7" x14ac:dyDescent="0.25">
      <c r="A279" t="s">
        <v>267</v>
      </c>
      <c r="B279" t="s">
        <v>11</v>
      </c>
      <c r="C279" t="s">
        <v>775</v>
      </c>
      <c r="D279" t="s">
        <v>222</v>
      </c>
      <c r="E279" s="201">
        <v>3.8334296066796199E-3</v>
      </c>
      <c r="F279" s="106">
        <v>0.51700000000000002</v>
      </c>
      <c r="G279" s="106">
        <v>1.98188310665336E-3</v>
      </c>
    </row>
    <row r="280" spans="1:7" x14ac:dyDescent="0.25">
      <c r="A280" t="s">
        <v>267</v>
      </c>
      <c r="B280" t="s">
        <v>11</v>
      </c>
      <c r="C280" t="s">
        <v>785</v>
      </c>
      <c r="D280" t="s">
        <v>174</v>
      </c>
      <c r="E280" s="201">
        <v>0.172454615460503</v>
      </c>
      <c r="F280" s="106">
        <v>6.6974999999999998</v>
      </c>
      <c r="G280" s="106">
        <v>1.15501478704672</v>
      </c>
    </row>
    <row r="281" spans="1:7" x14ac:dyDescent="0.25">
      <c r="A281" t="s">
        <v>267</v>
      </c>
      <c r="B281" t="s">
        <v>11</v>
      </c>
      <c r="C281" t="s">
        <v>856</v>
      </c>
      <c r="D281" t="s">
        <v>15</v>
      </c>
      <c r="E281" s="201">
        <v>1.5516308869882599E-2</v>
      </c>
      <c r="F281" s="106">
        <v>5.35</v>
      </c>
      <c r="G281" s="106">
        <v>8.3012252453872004E-2</v>
      </c>
    </row>
    <row r="282" spans="1:7" x14ac:dyDescent="0.25">
      <c r="A282" t="s">
        <v>267</v>
      </c>
      <c r="B282" t="s">
        <v>11</v>
      </c>
      <c r="C282" t="s">
        <v>951</v>
      </c>
      <c r="D282" t="s">
        <v>15</v>
      </c>
      <c r="E282" s="201">
        <v>2.43894748165405E-2</v>
      </c>
      <c r="F282" s="106">
        <v>4.0571428571428596</v>
      </c>
      <c r="G282" s="106">
        <v>9.8951583541393107E-2</v>
      </c>
    </row>
    <row r="283" spans="1:7" x14ac:dyDescent="0.25">
      <c r="A283" t="s">
        <v>267</v>
      </c>
      <c r="B283" t="s">
        <v>11</v>
      </c>
      <c r="C283" t="s">
        <v>997</v>
      </c>
      <c r="D283" t="s">
        <v>15</v>
      </c>
      <c r="E283" s="201">
        <v>1.76163855311262E-2</v>
      </c>
      <c r="F283" s="106">
        <v>25.1390909090909</v>
      </c>
      <c r="G283" s="106">
        <v>0.44285991735657598</v>
      </c>
    </row>
    <row r="284" spans="1:7" x14ac:dyDescent="0.25">
      <c r="A284" t="s">
        <v>267</v>
      </c>
      <c r="B284" t="s">
        <v>11</v>
      </c>
      <c r="C284" t="s">
        <v>1044</v>
      </c>
      <c r="D284" t="s">
        <v>15</v>
      </c>
      <c r="E284" s="201">
        <v>1.6921905406548799E-2</v>
      </c>
      <c r="F284" s="106">
        <v>8.1945999999999994</v>
      </c>
      <c r="G284" s="106">
        <v>0.13866824604450501</v>
      </c>
    </row>
    <row r="285" spans="1:7" x14ac:dyDescent="0.25">
      <c r="A285" t="s">
        <v>267</v>
      </c>
      <c r="B285" t="s">
        <v>5</v>
      </c>
      <c r="C285" t="s">
        <v>1142</v>
      </c>
      <c r="D285" t="s">
        <v>130</v>
      </c>
      <c r="E285" s="201">
        <v>1</v>
      </c>
      <c r="F285" s="106">
        <v>5.84</v>
      </c>
      <c r="G285" s="106">
        <v>5.84</v>
      </c>
    </row>
    <row r="286" spans="1:7" x14ac:dyDescent="0.25">
      <c r="A286" t="s">
        <v>267</v>
      </c>
      <c r="B286" t="s">
        <v>2</v>
      </c>
      <c r="C286" t="s">
        <v>1176</v>
      </c>
      <c r="D286" t="s">
        <v>15</v>
      </c>
      <c r="E286" s="201">
        <v>0.36720534732210802</v>
      </c>
      <c r="F286" s="106">
        <v>0.35957142857142899</v>
      </c>
      <c r="G286" s="106">
        <v>0.13203655131567801</v>
      </c>
    </row>
    <row r="287" spans="1:7" x14ac:dyDescent="0.25">
      <c r="A287" t="s">
        <v>267</v>
      </c>
      <c r="B287" t="s">
        <v>2</v>
      </c>
      <c r="C287" t="s">
        <v>1198</v>
      </c>
      <c r="D287" t="s">
        <v>15</v>
      </c>
      <c r="E287" s="201">
        <v>0.36720534732210802</v>
      </c>
      <c r="F287" s="106">
        <v>8.99482608695652E-2</v>
      </c>
      <c r="G287" s="106">
        <v>3.3029482373628301E-2</v>
      </c>
    </row>
    <row r="288" spans="1:7" x14ac:dyDescent="0.25">
      <c r="A288" t="s">
        <v>263</v>
      </c>
      <c r="B288" t="s">
        <v>11</v>
      </c>
      <c r="C288" t="s">
        <v>720</v>
      </c>
      <c r="D288" t="s">
        <v>6</v>
      </c>
      <c r="E288" s="201">
        <v>3.4739004349927501E-2</v>
      </c>
      <c r="F288" s="106">
        <v>13.2501677489178</v>
      </c>
      <c r="G288" s="106">
        <v>0.46029763506692301</v>
      </c>
    </row>
    <row r="289" spans="1:7" x14ac:dyDescent="0.25">
      <c r="A289" t="s">
        <v>263</v>
      </c>
      <c r="B289" t="s">
        <v>11</v>
      </c>
      <c r="C289" t="s">
        <v>729</v>
      </c>
      <c r="D289" t="s">
        <v>15</v>
      </c>
      <c r="E289" s="201">
        <v>11.021548496755701</v>
      </c>
      <c r="F289" s="106">
        <v>0.33433333333333298</v>
      </c>
      <c r="G289" s="106">
        <v>3.6848710474153199</v>
      </c>
    </row>
    <row r="290" spans="1:7" x14ac:dyDescent="0.25">
      <c r="A290" t="s">
        <v>263</v>
      </c>
      <c r="B290" t="s">
        <v>11</v>
      </c>
      <c r="C290" t="s">
        <v>775</v>
      </c>
      <c r="D290" t="s">
        <v>222</v>
      </c>
      <c r="E290" s="201">
        <v>3.6125080274662801E-3</v>
      </c>
      <c r="F290" s="106">
        <v>0.51700000000000002</v>
      </c>
      <c r="G290" s="106">
        <v>1.86766665020007E-3</v>
      </c>
    </row>
    <row r="291" spans="1:7" x14ac:dyDescent="0.25">
      <c r="A291" t="s">
        <v>263</v>
      </c>
      <c r="B291" t="s">
        <v>11</v>
      </c>
      <c r="C291" t="s">
        <v>785</v>
      </c>
      <c r="D291" t="s">
        <v>8</v>
      </c>
      <c r="E291" s="201">
        <v>0.24059003501532999</v>
      </c>
      <c r="F291" s="106">
        <v>6.6974999999999998</v>
      </c>
      <c r="G291" s="106">
        <v>1.6113517595151701</v>
      </c>
    </row>
    <row r="292" spans="1:7" x14ac:dyDescent="0.25">
      <c r="A292" t="s">
        <v>263</v>
      </c>
      <c r="B292" t="s">
        <v>11</v>
      </c>
      <c r="C292" t="s">
        <v>856</v>
      </c>
      <c r="D292" t="s">
        <v>15</v>
      </c>
      <c r="E292" s="201">
        <v>2.4432776258729499E-2</v>
      </c>
      <c r="F292" s="106">
        <v>5.35</v>
      </c>
      <c r="G292" s="106">
        <v>0.130715352984203</v>
      </c>
    </row>
    <row r="293" spans="1:7" x14ac:dyDescent="0.25">
      <c r="A293" t="s">
        <v>263</v>
      </c>
      <c r="B293" t="s">
        <v>11</v>
      </c>
      <c r="C293" t="s">
        <v>951</v>
      </c>
      <c r="D293" t="s">
        <v>15</v>
      </c>
      <c r="E293" s="201">
        <v>4.0987806127677003E-2</v>
      </c>
      <c r="F293" s="106">
        <v>4.0571428571428596</v>
      </c>
      <c r="G293" s="106">
        <v>0.16629338486086101</v>
      </c>
    </row>
    <row r="294" spans="1:7" x14ac:dyDescent="0.25">
      <c r="A294" t="s">
        <v>263</v>
      </c>
      <c r="B294" t="s">
        <v>11</v>
      </c>
      <c r="C294" t="s">
        <v>997</v>
      </c>
      <c r="D294" t="s">
        <v>15</v>
      </c>
      <c r="E294" s="201">
        <v>2.6535469037738901E-2</v>
      </c>
      <c r="F294" s="106">
        <v>25.1390909090909</v>
      </c>
      <c r="G294" s="106">
        <v>0.66707756845508603</v>
      </c>
    </row>
    <row r="295" spans="1:7" x14ac:dyDescent="0.25">
      <c r="A295" t="s">
        <v>263</v>
      </c>
      <c r="B295" t="s">
        <v>5</v>
      </c>
      <c r="C295" t="s">
        <v>258</v>
      </c>
      <c r="D295" t="s">
        <v>130</v>
      </c>
      <c r="E295" s="201">
        <v>1</v>
      </c>
      <c r="F295" s="106">
        <v>5.84</v>
      </c>
      <c r="G295" s="106">
        <v>5.84</v>
      </c>
    </row>
    <row r="296" spans="1:7" x14ac:dyDescent="0.25">
      <c r="A296" t="s">
        <v>263</v>
      </c>
      <c r="B296" t="s">
        <v>2</v>
      </c>
      <c r="C296" t="s">
        <v>1176</v>
      </c>
      <c r="D296" t="s">
        <v>15</v>
      </c>
      <c r="E296" s="201">
        <v>0.80218373708919199</v>
      </c>
      <c r="F296" s="106">
        <v>0.35957142857142899</v>
      </c>
      <c r="G296" s="106">
        <v>0.288442352321928</v>
      </c>
    </row>
    <row r="297" spans="1:7" x14ac:dyDescent="0.25">
      <c r="A297" t="s">
        <v>263</v>
      </c>
      <c r="B297" t="s">
        <v>2</v>
      </c>
      <c r="C297" t="s">
        <v>1198</v>
      </c>
      <c r="D297" t="s">
        <v>15</v>
      </c>
      <c r="E297" s="201">
        <v>0.80218373708919199</v>
      </c>
      <c r="F297" s="106">
        <v>8.99482608695652E-2</v>
      </c>
      <c r="G297" s="106">
        <v>7.2155032049021295E-2</v>
      </c>
    </row>
    <row r="298" spans="1:7" x14ac:dyDescent="0.25">
      <c r="A298" t="s">
        <v>257</v>
      </c>
      <c r="B298" t="s">
        <v>11</v>
      </c>
      <c r="C298" t="s">
        <v>701</v>
      </c>
      <c r="D298" t="s">
        <v>144</v>
      </c>
      <c r="E298" s="201">
        <v>8.8261253309796991E-3</v>
      </c>
      <c r="F298" s="106">
        <v>82.972499999999997</v>
      </c>
      <c r="G298" s="106">
        <v>0.73232568402471299</v>
      </c>
    </row>
    <row r="299" spans="1:7" x14ac:dyDescent="0.25">
      <c r="A299" t="s">
        <v>257</v>
      </c>
      <c r="B299" t="s">
        <v>11</v>
      </c>
      <c r="C299" t="s">
        <v>543</v>
      </c>
      <c r="D299" t="s">
        <v>144</v>
      </c>
      <c r="E299" s="201">
        <v>5.78034682080925E-3</v>
      </c>
      <c r="F299" s="106">
        <v>31.17</v>
      </c>
      <c r="G299" s="106">
        <v>0.18017341040462401</v>
      </c>
    </row>
    <row r="300" spans="1:7" x14ac:dyDescent="0.25">
      <c r="A300" t="s">
        <v>257</v>
      </c>
      <c r="B300" t="s">
        <v>11</v>
      </c>
      <c r="C300" t="s">
        <v>720</v>
      </c>
      <c r="D300" t="s">
        <v>6</v>
      </c>
      <c r="E300" s="201">
        <v>6.6705100276007699E-3</v>
      </c>
      <c r="F300" s="106">
        <v>13.2501677489178</v>
      </c>
      <c r="G300" s="106">
        <v>8.8385376836548193E-2</v>
      </c>
    </row>
    <row r="301" spans="1:7" x14ac:dyDescent="0.25">
      <c r="A301" t="s">
        <v>257</v>
      </c>
      <c r="B301" t="s">
        <v>11</v>
      </c>
      <c r="C301" t="s">
        <v>749</v>
      </c>
      <c r="D301" t="s">
        <v>15</v>
      </c>
      <c r="E301" s="201">
        <v>5.84258886071558E-2</v>
      </c>
      <c r="F301" s="106">
        <v>5.0999999999999996</v>
      </c>
      <c r="G301" s="106">
        <v>0.29797203189649502</v>
      </c>
    </row>
    <row r="302" spans="1:7" x14ac:dyDescent="0.25">
      <c r="A302" t="s">
        <v>257</v>
      </c>
      <c r="B302" t="s">
        <v>11</v>
      </c>
      <c r="C302" t="s">
        <v>754</v>
      </c>
      <c r="D302" t="s">
        <v>15</v>
      </c>
      <c r="E302" s="201">
        <v>1.15606936416185E-2</v>
      </c>
      <c r="F302" s="106">
        <v>1.02</v>
      </c>
      <c r="G302" s="106">
        <v>1.1791907514450899E-2</v>
      </c>
    </row>
    <row r="303" spans="1:7" x14ac:dyDescent="0.25">
      <c r="A303" t="s">
        <v>257</v>
      </c>
      <c r="B303" t="s">
        <v>11</v>
      </c>
      <c r="C303" t="s">
        <v>785</v>
      </c>
      <c r="D303" t="s">
        <v>174</v>
      </c>
      <c r="E303" s="201">
        <v>0.39391797843314103</v>
      </c>
      <c r="F303" s="106">
        <v>6.6974999999999998</v>
      </c>
      <c r="G303" s="106">
        <v>2.6382656605559598</v>
      </c>
    </row>
    <row r="304" spans="1:7" x14ac:dyDescent="0.25">
      <c r="A304" t="s">
        <v>257</v>
      </c>
      <c r="B304" t="s">
        <v>11</v>
      </c>
      <c r="C304" t="s">
        <v>806</v>
      </c>
      <c r="D304" t="s">
        <v>30</v>
      </c>
      <c r="E304" s="201">
        <v>8.8261253309796991E-3</v>
      </c>
      <c r="F304" s="106">
        <v>3.145</v>
      </c>
      <c r="G304" s="106">
        <v>2.7758164165931201E-2</v>
      </c>
    </row>
    <row r="305" spans="1:7" x14ac:dyDescent="0.25">
      <c r="A305" t="s">
        <v>257</v>
      </c>
      <c r="B305" t="s">
        <v>11</v>
      </c>
      <c r="C305" t="s">
        <v>810</v>
      </c>
      <c r="D305" t="s">
        <v>30</v>
      </c>
      <c r="E305" s="201">
        <v>3.9717563989408601E-2</v>
      </c>
      <c r="F305" s="106">
        <v>3.2450000000000001</v>
      </c>
      <c r="G305" s="106">
        <v>0.12888349514563099</v>
      </c>
    </row>
    <row r="306" spans="1:7" x14ac:dyDescent="0.25">
      <c r="A306" t="s">
        <v>257</v>
      </c>
      <c r="B306" t="s">
        <v>11</v>
      </c>
      <c r="C306" t="s">
        <v>816</v>
      </c>
      <c r="D306" t="s">
        <v>30</v>
      </c>
      <c r="E306" s="201">
        <v>2.6478375992939101E-2</v>
      </c>
      <c r="F306" s="106">
        <v>3.5215000000000001</v>
      </c>
      <c r="G306" s="106">
        <v>9.3243601059134998E-2</v>
      </c>
    </row>
    <row r="307" spans="1:7" x14ac:dyDescent="0.25">
      <c r="A307" t="s">
        <v>257</v>
      </c>
      <c r="B307" t="s">
        <v>11</v>
      </c>
      <c r="C307" t="s">
        <v>824</v>
      </c>
      <c r="D307" t="s">
        <v>30</v>
      </c>
      <c r="E307" s="201">
        <v>6.3708809289369395E-2</v>
      </c>
      <c r="F307" s="106">
        <v>1.9257894736842101</v>
      </c>
      <c r="G307" s="106">
        <v>0.12268975431042201</v>
      </c>
    </row>
    <row r="308" spans="1:7" x14ac:dyDescent="0.25">
      <c r="A308" t="s">
        <v>257</v>
      </c>
      <c r="B308" t="s">
        <v>11</v>
      </c>
      <c r="C308" t="s">
        <v>820</v>
      </c>
      <c r="D308" t="s">
        <v>30</v>
      </c>
      <c r="E308" s="201">
        <v>5.7803468208092498E-2</v>
      </c>
      <c r="F308" s="106">
        <v>1.82233333333333</v>
      </c>
      <c r="G308" s="106">
        <v>0.105337186897881</v>
      </c>
    </row>
    <row r="309" spans="1:7" x14ac:dyDescent="0.25">
      <c r="A309" t="s">
        <v>257</v>
      </c>
      <c r="B309" t="s">
        <v>11</v>
      </c>
      <c r="C309" t="s">
        <v>846</v>
      </c>
      <c r="D309" t="s">
        <v>15</v>
      </c>
      <c r="E309" s="201">
        <v>1.1716298741384299E-2</v>
      </c>
      <c r="F309" s="106">
        <v>8.452</v>
      </c>
      <c r="G309" s="106">
        <v>9.9026156962180298E-2</v>
      </c>
    </row>
    <row r="310" spans="1:7" x14ac:dyDescent="0.25">
      <c r="A310" t="s">
        <v>257</v>
      </c>
      <c r="B310" t="s">
        <v>11</v>
      </c>
      <c r="C310" t="s">
        <v>854</v>
      </c>
      <c r="D310" t="s">
        <v>15</v>
      </c>
      <c r="E310" s="201">
        <v>5.2956751985878202E-2</v>
      </c>
      <c r="F310" s="106">
        <v>2.5252631578947402</v>
      </c>
      <c r="G310" s="106">
        <v>0.13372973475170699</v>
      </c>
    </row>
    <row r="311" spans="1:7" x14ac:dyDescent="0.25">
      <c r="A311" t="s">
        <v>257</v>
      </c>
      <c r="B311" t="s">
        <v>11</v>
      </c>
      <c r="C311" t="s">
        <v>856</v>
      </c>
      <c r="D311" t="s">
        <v>15</v>
      </c>
      <c r="E311" s="201">
        <v>4.1985317000749998E-2</v>
      </c>
      <c r="F311" s="106">
        <v>5.35</v>
      </c>
      <c r="G311" s="106">
        <v>0.22462144595401201</v>
      </c>
    </row>
    <row r="312" spans="1:7" x14ac:dyDescent="0.25">
      <c r="A312" t="s">
        <v>257</v>
      </c>
      <c r="B312" t="s">
        <v>11</v>
      </c>
      <c r="C312" t="s">
        <v>64</v>
      </c>
      <c r="D312" t="s">
        <v>15</v>
      </c>
      <c r="E312" s="201">
        <v>8.8261253309796991E-3</v>
      </c>
      <c r="F312" s="106">
        <v>50.794114583333297</v>
      </c>
      <c r="G312" s="106">
        <v>0.44831522138864399</v>
      </c>
    </row>
    <row r="313" spans="1:7" x14ac:dyDescent="0.25">
      <c r="A313" t="s">
        <v>257</v>
      </c>
      <c r="B313" t="s">
        <v>11</v>
      </c>
      <c r="C313" t="s">
        <v>155</v>
      </c>
      <c r="D313" t="s">
        <v>144</v>
      </c>
      <c r="E313" s="201">
        <v>5.78034682080925E-3</v>
      </c>
      <c r="F313" s="106">
        <v>12.525</v>
      </c>
      <c r="G313" s="106">
        <v>7.2398843930635795E-2</v>
      </c>
    </row>
    <row r="314" spans="1:7" x14ac:dyDescent="0.25">
      <c r="A314" t="s">
        <v>257</v>
      </c>
      <c r="B314" t="s">
        <v>11</v>
      </c>
      <c r="C314" t="s">
        <v>603</v>
      </c>
      <c r="D314" t="s">
        <v>6</v>
      </c>
      <c r="E314" s="201">
        <v>2.4033811572800799E-2</v>
      </c>
      <c r="F314" s="106">
        <v>14.5475745234298</v>
      </c>
      <c r="G314" s="106">
        <v>0.34963366493738801</v>
      </c>
    </row>
    <row r="315" spans="1:7" x14ac:dyDescent="0.25">
      <c r="A315" t="s">
        <v>257</v>
      </c>
      <c r="B315" t="s">
        <v>11</v>
      </c>
      <c r="C315" t="s">
        <v>602</v>
      </c>
      <c r="D315" t="s">
        <v>6</v>
      </c>
      <c r="E315" s="201">
        <v>2.11935158164985E-2</v>
      </c>
      <c r="F315" s="106">
        <v>13.895122287420699</v>
      </c>
      <c r="G315" s="106">
        <v>0.29448649397063098</v>
      </c>
    </row>
    <row r="316" spans="1:7" x14ac:dyDescent="0.25">
      <c r="A316" t="s">
        <v>257</v>
      </c>
      <c r="B316" t="s">
        <v>11</v>
      </c>
      <c r="C316" t="s">
        <v>987</v>
      </c>
      <c r="D316" t="s">
        <v>15</v>
      </c>
      <c r="E316" s="201">
        <v>3.4682080924855502E-2</v>
      </c>
      <c r="F316" s="106">
        <v>0.92727272727272703</v>
      </c>
      <c r="G316" s="106">
        <v>3.2159747766684198E-2</v>
      </c>
    </row>
    <row r="317" spans="1:7" x14ac:dyDescent="0.25">
      <c r="A317" t="s">
        <v>257</v>
      </c>
      <c r="B317" t="s">
        <v>11</v>
      </c>
      <c r="C317" t="s">
        <v>997</v>
      </c>
      <c r="D317" t="s">
        <v>15</v>
      </c>
      <c r="E317" s="201">
        <v>7.7756633623966204E-2</v>
      </c>
      <c r="F317" s="106">
        <v>25.1390909090909</v>
      </c>
      <c r="G317" s="106">
        <v>1.9547310814577601</v>
      </c>
    </row>
    <row r="318" spans="1:7" x14ac:dyDescent="0.25">
      <c r="A318" t="s">
        <v>257</v>
      </c>
      <c r="B318" t="s">
        <v>11</v>
      </c>
      <c r="C318" t="s">
        <v>597</v>
      </c>
      <c r="D318" t="s">
        <v>15</v>
      </c>
      <c r="E318" s="201">
        <v>7.3032360758944698E-3</v>
      </c>
      <c r="F318" s="106">
        <v>70.290000000000006</v>
      </c>
      <c r="G318" s="106">
        <v>0.51334446377462295</v>
      </c>
    </row>
    <row r="319" spans="1:7" x14ac:dyDescent="0.25">
      <c r="A319" t="s">
        <v>257</v>
      </c>
      <c r="B319" t="s">
        <v>11</v>
      </c>
      <c r="C319" t="s">
        <v>606</v>
      </c>
      <c r="D319" t="s">
        <v>15</v>
      </c>
      <c r="E319" s="201">
        <v>0.17652250661959401</v>
      </c>
      <c r="F319" s="106">
        <v>2.4034925925925901</v>
      </c>
      <c r="G319" s="106">
        <v>0.42427053708607099</v>
      </c>
    </row>
    <row r="320" spans="1:7" x14ac:dyDescent="0.25">
      <c r="A320" t="s">
        <v>257</v>
      </c>
      <c r="B320" t="s">
        <v>11</v>
      </c>
      <c r="C320" t="s">
        <v>1029</v>
      </c>
      <c r="D320" t="s">
        <v>15</v>
      </c>
      <c r="E320" s="201">
        <v>4.48754904111546E-2</v>
      </c>
      <c r="F320" s="106">
        <v>0.1141875</v>
      </c>
      <c r="G320" s="106">
        <v>5.1242200613237201E-3</v>
      </c>
    </row>
    <row r="321" spans="1:7" x14ac:dyDescent="0.25">
      <c r="A321" t="s">
        <v>257</v>
      </c>
      <c r="B321" t="s">
        <v>11</v>
      </c>
      <c r="C321" t="s">
        <v>1056</v>
      </c>
      <c r="D321" t="s">
        <v>545</v>
      </c>
      <c r="E321" s="201">
        <v>1.15606936416185E-2</v>
      </c>
      <c r="F321" s="106">
        <v>5.32</v>
      </c>
      <c r="G321" s="106">
        <v>6.1502890173410402E-2</v>
      </c>
    </row>
    <row r="322" spans="1:7" x14ac:dyDescent="0.25">
      <c r="A322" t="s">
        <v>257</v>
      </c>
      <c r="B322" t="s">
        <v>11</v>
      </c>
      <c r="C322" t="s">
        <v>1044</v>
      </c>
      <c r="D322" t="s">
        <v>62</v>
      </c>
      <c r="E322" s="201">
        <v>0.41969495342409702</v>
      </c>
      <c r="F322" s="106">
        <v>8.1945999999999994</v>
      </c>
      <c r="G322" s="106">
        <v>3.4392322653291001</v>
      </c>
    </row>
    <row r="323" spans="1:7" x14ac:dyDescent="0.25">
      <c r="A323" t="s">
        <v>257</v>
      </c>
      <c r="B323" t="s">
        <v>11</v>
      </c>
      <c r="C323" t="s">
        <v>246</v>
      </c>
      <c r="D323" t="s">
        <v>15</v>
      </c>
      <c r="E323" s="201">
        <v>0.14121800529567499</v>
      </c>
      <c r="F323" s="106">
        <v>15.895</v>
      </c>
      <c r="G323" s="106">
        <v>2.2446601941747599</v>
      </c>
    </row>
    <row r="324" spans="1:7" x14ac:dyDescent="0.25">
      <c r="A324" t="s">
        <v>257</v>
      </c>
      <c r="B324" t="s">
        <v>5</v>
      </c>
      <c r="C324" t="s">
        <v>255</v>
      </c>
      <c r="D324" t="s">
        <v>58</v>
      </c>
      <c r="E324" s="201">
        <v>1</v>
      </c>
      <c r="F324" s="106">
        <v>6.3700160371242402</v>
      </c>
      <c r="G324" s="106">
        <v>6.3700160371242402</v>
      </c>
    </row>
    <row r="325" spans="1:7" x14ac:dyDescent="0.25">
      <c r="A325" t="s">
        <v>257</v>
      </c>
      <c r="B325" t="s">
        <v>2</v>
      </c>
      <c r="C325" t="s">
        <v>1176</v>
      </c>
      <c r="D325" t="s">
        <v>15</v>
      </c>
      <c r="E325" s="201">
        <v>4.4307149161518096</v>
      </c>
      <c r="F325" s="106">
        <v>0.35957142857142899</v>
      </c>
      <c r="G325" s="106">
        <v>1.5931584919934401</v>
      </c>
    </row>
    <row r="326" spans="1:7" x14ac:dyDescent="0.25">
      <c r="A326" t="s">
        <v>257</v>
      </c>
      <c r="B326" t="s">
        <v>2</v>
      </c>
      <c r="C326" t="s">
        <v>1198</v>
      </c>
      <c r="D326" t="s">
        <v>15</v>
      </c>
      <c r="E326" s="201">
        <v>4.4307149161518096</v>
      </c>
      <c r="F326" s="106">
        <v>8.99482608695652E-2</v>
      </c>
      <c r="G326" s="106">
        <v>0.39853510111669699</v>
      </c>
    </row>
    <row r="327" spans="1:7" x14ac:dyDescent="0.25">
      <c r="A327" t="s">
        <v>257</v>
      </c>
      <c r="B327" t="s">
        <v>2</v>
      </c>
      <c r="C327" t="s">
        <v>1180</v>
      </c>
      <c r="D327" t="s">
        <v>15</v>
      </c>
      <c r="E327" s="201">
        <v>5.4335260115606898</v>
      </c>
      <c r="F327" s="106">
        <v>0.05</v>
      </c>
      <c r="G327" s="106">
        <v>0.27167630057803499</v>
      </c>
    </row>
    <row r="328" spans="1:7" x14ac:dyDescent="0.25">
      <c r="A328" t="s">
        <v>254</v>
      </c>
      <c r="B328" t="s">
        <v>11</v>
      </c>
      <c r="C328" t="s">
        <v>701</v>
      </c>
      <c r="D328" t="s">
        <v>144</v>
      </c>
      <c r="E328" s="201">
        <v>3.85356454720617E-3</v>
      </c>
      <c r="F328" s="106">
        <v>82.972499999999997</v>
      </c>
      <c r="G328" s="106">
        <v>0.319739884393064</v>
      </c>
    </row>
    <row r="329" spans="1:7" x14ac:dyDescent="0.25">
      <c r="A329" t="s">
        <v>254</v>
      </c>
      <c r="B329" t="s">
        <v>11</v>
      </c>
      <c r="C329" t="s">
        <v>735</v>
      </c>
      <c r="D329" t="s">
        <v>15</v>
      </c>
      <c r="E329" s="201">
        <v>3.4682080924855502E-2</v>
      </c>
      <c r="F329" s="106">
        <v>6.63</v>
      </c>
      <c r="G329" s="106">
        <v>0.22994219653179199</v>
      </c>
    </row>
    <row r="330" spans="1:7" x14ac:dyDescent="0.25">
      <c r="A330" t="s">
        <v>254</v>
      </c>
      <c r="B330" t="s">
        <v>11</v>
      </c>
      <c r="C330" t="s">
        <v>745</v>
      </c>
      <c r="D330" t="s">
        <v>15</v>
      </c>
      <c r="E330" s="201">
        <v>2.8542797881539499E-2</v>
      </c>
      <c r="F330" s="106">
        <v>1.5049999999999999</v>
      </c>
      <c r="G330" s="106">
        <v>4.2956910811716903E-2</v>
      </c>
    </row>
    <row r="331" spans="1:7" x14ac:dyDescent="0.25">
      <c r="A331" t="s">
        <v>254</v>
      </c>
      <c r="B331" t="s">
        <v>11</v>
      </c>
      <c r="C331" t="s">
        <v>785</v>
      </c>
      <c r="D331" t="s">
        <v>8</v>
      </c>
      <c r="E331" s="201">
        <v>0.15149792716963001</v>
      </c>
      <c r="F331" s="106">
        <v>6.6974999999999998</v>
      </c>
      <c r="G331" s="106">
        <v>1.0146573672185999</v>
      </c>
    </row>
    <row r="332" spans="1:7" x14ac:dyDescent="0.25">
      <c r="A332" t="s">
        <v>254</v>
      </c>
      <c r="B332" t="s">
        <v>11</v>
      </c>
      <c r="C332" t="s">
        <v>796</v>
      </c>
      <c r="D332" t="s">
        <v>15</v>
      </c>
      <c r="E332" s="201">
        <v>1.82099608485842E-2</v>
      </c>
      <c r="F332" s="106">
        <v>1.3</v>
      </c>
      <c r="G332" s="106">
        <v>2.36729491031594E-2</v>
      </c>
    </row>
    <row r="333" spans="1:7" x14ac:dyDescent="0.25">
      <c r="A333" t="s">
        <v>254</v>
      </c>
      <c r="B333" t="s">
        <v>11</v>
      </c>
      <c r="C333" t="s">
        <v>798</v>
      </c>
      <c r="D333" t="s">
        <v>15</v>
      </c>
      <c r="E333" s="201">
        <v>2.15440678421038E-2</v>
      </c>
      <c r="F333" s="106">
        <v>7.6570634920634904</v>
      </c>
      <c r="G333" s="106">
        <v>0.16496429534431301</v>
      </c>
    </row>
    <row r="334" spans="1:7" x14ac:dyDescent="0.25">
      <c r="A334" t="s">
        <v>254</v>
      </c>
      <c r="B334" t="s">
        <v>11</v>
      </c>
      <c r="C334" t="s">
        <v>806</v>
      </c>
      <c r="D334" t="s">
        <v>30</v>
      </c>
      <c r="E334" s="201">
        <v>1.92678227360308E-3</v>
      </c>
      <c r="F334" s="106">
        <v>3.145</v>
      </c>
      <c r="G334" s="106">
        <v>6.0597302504816998E-3</v>
      </c>
    </row>
    <row r="335" spans="1:7" x14ac:dyDescent="0.25">
      <c r="A335" t="s">
        <v>254</v>
      </c>
      <c r="B335" t="s">
        <v>11</v>
      </c>
      <c r="C335" t="s">
        <v>810</v>
      </c>
      <c r="D335" t="s">
        <v>30</v>
      </c>
      <c r="E335" s="201">
        <v>9.0199830636838105E-3</v>
      </c>
      <c r="F335" s="106">
        <v>3.2450000000000001</v>
      </c>
      <c r="G335" s="106">
        <v>2.9269845041653999E-2</v>
      </c>
    </row>
    <row r="336" spans="1:7" x14ac:dyDescent="0.25">
      <c r="A336" t="s">
        <v>254</v>
      </c>
      <c r="B336" t="s">
        <v>11</v>
      </c>
      <c r="C336" t="s">
        <v>824</v>
      </c>
      <c r="D336" t="s">
        <v>30</v>
      </c>
      <c r="E336" s="201">
        <v>1.01760524278457E-2</v>
      </c>
      <c r="F336" s="106">
        <v>1.9257894736842101</v>
      </c>
      <c r="G336" s="106">
        <v>1.9596934649203802E-2</v>
      </c>
    </row>
    <row r="337" spans="1:7" x14ac:dyDescent="0.25">
      <c r="A337" t="s">
        <v>254</v>
      </c>
      <c r="B337" t="s">
        <v>11</v>
      </c>
      <c r="C337" t="s">
        <v>820</v>
      </c>
      <c r="D337" t="s">
        <v>30</v>
      </c>
      <c r="E337" s="201">
        <v>1.14284609056877E-2</v>
      </c>
      <c r="F337" s="106">
        <v>1.82233333333333</v>
      </c>
      <c r="G337" s="106">
        <v>2.0826465257131499E-2</v>
      </c>
    </row>
    <row r="338" spans="1:7" x14ac:dyDescent="0.25">
      <c r="A338" t="s">
        <v>254</v>
      </c>
      <c r="B338" t="s">
        <v>11</v>
      </c>
      <c r="C338" t="s">
        <v>834</v>
      </c>
      <c r="D338" t="s">
        <v>15</v>
      </c>
      <c r="E338" s="201">
        <v>1.9267822736030799E-2</v>
      </c>
      <c r="F338" s="106">
        <v>2.0150000000000001</v>
      </c>
      <c r="G338" s="106">
        <v>3.8824662813102102E-2</v>
      </c>
    </row>
    <row r="339" spans="1:7" x14ac:dyDescent="0.25">
      <c r="A339" t="s">
        <v>254</v>
      </c>
      <c r="B339" t="s">
        <v>11</v>
      </c>
      <c r="C339" t="s">
        <v>851</v>
      </c>
      <c r="D339" t="s">
        <v>15</v>
      </c>
      <c r="E339" s="201">
        <v>6.3385400137574696E-2</v>
      </c>
      <c r="F339" s="106">
        <v>7.3259999999999996</v>
      </c>
      <c r="G339" s="106">
        <v>0.464361441407872</v>
      </c>
    </row>
    <row r="340" spans="1:7" x14ac:dyDescent="0.25">
      <c r="A340" t="s">
        <v>254</v>
      </c>
      <c r="B340" t="s">
        <v>11</v>
      </c>
      <c r="C340" t="s">
        <v>854</v>
      </c>
      <c r="D340" t="s">
        <v>15</v>
      </c>
      <c r="E340" s="201">
        <v>2.20635253957903E-2</v>
      </c>
      <c r="F340" s="106">
        <v>2.5252631578947402</v>
      </c>
      <c r="G340" s="106">
        <v>5.57162078152642E-2</v>
      </c>
    </row>
    <row r="341" spans="1:7" x14ac:dyDescent="0.25">
      <c r="A341" t="s">
        <v>254</v>
      </c>
      <c r="B341" t="s">
        <v>11</v>
      </c>
      <c r="C341" t="s">
        <v>155</v>
      </c>
      <c r="D341" t="s">
        <v>15</v>
      </c>
      <c r="E341" s="201">
        <v>6.4792724857491296E-3</v>
      </c>
      <c r="F341" s="106">
        <v>12.525</v>
      </c>
      <c r="G341" s="106">
        <v>8.1152887884007804E-2</v>
      </c>
    </row>
    <row r="342" spans="1:7" x14ac:dyDescent="0.25">
      <c r="A342" t="s">
        <v>254</v>
      </c>
      <c r="B342" t="s">
        <v>11</v>
      </c>
      <c r="C342" t="s">
        <v>906</v>
      </c>
      <c r="D342" t="s">
        <v>102</v>
      </c>
      <c r="E342" s="201">
        <v>3.85356454720617E-3</v>
      </c>
      <c r="F342" s="106">
        <v>2.8</v>
      </c>
      <c r="G342" s="106">
        <v>1.0789980732177301E-2</v>
      </c>
    </row>
    <row r="343" spans="1:7" x14ac:dyDescent="0.25">
      <c r="A343" t="s">
        <v>254</v>
      </c>
      <c r="B343" t="s">
        <v>11</v>
      </c>
      <c r="C343" t="s">
        <v>930</v>
      </c>
      <c r="D343" t="s">
        <v>15</v>
      </c>
      <c r="E343" s="201">
        <v>4.5524902121460396E-3</v>
      </c>
      <c r="F343" s="106">
        <v>37.835000000000001</v>
      </c>
      <c r="G343" s="106">
        <v>0.17224346717654601</v>
      </c>
    </row>
    <row r="344" spans="1:7" x14ac:dyDescent="0.25">
      <c r="A344" t="s">
        <v>254</v>
      </c>
      <c r="B344" t="s">
        <v>11</v>
      </c>
      <c r="C344" t="s">
        <v>951</v>
      </c>
      <c r="D344" t="s">
        <v>15</v>
      </c>
      <c r="E344" s="201">
        <v>1.36574706364381E-2</v>
      </c>
      <c r="F344" s="106">
        <v>4.0571428571428596</v>
      </c>
      <c r="G344" s="106">
        <v>5.5410309439263297E-2</v>
      </c>
    </row>
    <row r="345" spans="1:7" x14ac:dyDescent="0.25">
      <c r="A345" t="s">
        <v>254</v>
      </c>
      <c r="B345" t="s">
        <v>11</v>
      </c>
      <c r="C345" t="s">
        <v>603</v>
      </c>
      <c r="D345" t="s">
        <v>6</v>
      </c>
      <c r="E345" s="201">
        <v>9.5281251792707494E-3</v>
      </c>
      <c r="F345" s="106">
        <v>14.5475745234298</v>
      </c>
      <c r="G345" s="106">
        <v>0.13861111111400901</v>
      </c>
    </row>
    <row r="346" spans="1:7" x14ac:dyDescent="0.25">
      <c r="A346" t="s">
        <v>254</v>
      </c>
      <c r="B346" t="s">
        <v>11</v>
      </c>
      <c r="C346" t="s">
        <v>967</v>
      </c>
      <c r="D346" t="s">
        <v>6</v>
      </c>
      <c r="E346" s="201">
        <v>3.08285163776493E-3</v>
      </c>
      <c r="F346" s="106">
        <v>13.75</v>
      </c>
      <c r="G346" s="106">
        <v>4.2389210019267799E-2</v>
      </c>
    </row>
    <row r="347" spans="1:7" x14ac:dyDescent="0.25">
      <c r="A347" t="s">
        <v>254</v>
      </c>
      <c r="B347" t="s">
        <v>11</v>
      </c>
      <c r="C347" t="s">
        <v>602</v>
      </c>
      <c r="D347" t="s">
        <v>6</v>
      </c>
      <c r="E347" s="201">
        <v>6.8487662751525102E-3</v>
      </c>
      <c r="F347" s="106">
        <v>13.895122287420699</v>
      </c>
      <c r="G347" s="106">
        <v>9.5164444911207E-2</v>
      </c>
    </row>
    <row r="348" spans="1:7" x14ac:dyDescent="0.25">
      <c r="A348" t="s">
        <v>254</v>
      </c>
      <c r="B348" t="s">
        <v>11</v>
      </c>
      <c r="C348" t="s">
        <v>987</v>
      </c>
      <c r="D348" t="s">
        <v>15</v>
      </c>
      <c r="E348" s="201">
        <v>1.2958544971498299E-2</v>
      </c>
      <c r="F348" s="106">
        <v>0.92727272727272703</v>
      </c>
      <c r="G348" s="106">
        <v>1.2016105337207501E-2</v>
      </c>
    </row>
    <row r="349" spans="1:7" x14ac:dyDescent="0.25">
      <c r="A349" t="s">
        <v>254</v>
      </c>
      <c r="B349" t="s">
        <v>11</v>
      </c>
      <c r="C349" t="s">
        <v>997</v>
      </c>
      <c r="D349" t="s">
        <v>15</v>
      </c>
      <c r="E349" s="201">
        <v>7.58244875553864E-2</v>
      </c>
      <c r="F349" s="106">
        <v>25.1390909090909</v>
      </c>
      <c r="G349" s="106">
        <v>1.9061586857900901</v>
      </c>
    </row>
    <row r="350" spans="1:7" x14ac:dyDescent="0.25">
      <c r="A350" t="s">
        <v>254</v>
      </c>
      <c r="B350" t="s">
        <v>11</v>
      </c>
      <c r="C350" t="s">
        <v>240</v>
      </c>
      <c r="D350" t="s">
        <v>15</v>
      </c>
      <c r="E350" s="201">
        <v>9.1049804242920897E-3</v>
      </c>
      <c r="F350" s="106">
        <v>28.75</v>
      </c>
      <c r="G350" s="106">
        <v>0.26176818719839801</v>
      </c>
    </row>
    <row r="351" spans="1:7" x14ac:dyDescent="0.25">
      <c r="A351" t="s">
        <v>254</v>
      </c>
      <c r="B351" t="s">
        <v>11</v>
      </c>
      <c r="C351" t="s">
        <v>606</v>
      </c>
      <c r="D351" t="s">
        <v>15</v>
      </c>
      <c r="E351" s="201">
        <v>9.15976819667179E-2</v>
      </c>
      <c r="F351" s="106">
        <v>2.4034925925925901</v>
      </c>
      <c r="G351" s="106">
        <v>0.22015435010565901</v>
      </c>
    </row>
    <row r="352" spans="1:7" x14ac:dyDescent="0.25">
      <c r="A352" t="s">
        <v>254</v>
      </c>
      <c r="B352" t="s">
        <v>11</v>
      </c>
      <c r="C352" t="s">
        <v>1029</v>
      </c>
      <c r="D352" t="s">
        <v>15</v>
      </c>
      <c r="E352" s="201">
        <v>5.9182372757898602E-2</v>
      </c>
      <c r="F352" s="106">
        <v>0.1141875</v>
      </c>
      <c r="G352" s="106">
        <v>6.7578871892925501E-3</v>
      </c>
    </row>
    <row r="353" spans="1:7" x14ac:dyDescent="0.25">
      <c r="A353" t="s">
        <v>254</v>
      </c>
      <c r="B353" t="s">
        <v>11</v>
      </c>
      <c r="C353" t="s">
        <v>1044</v>
      </c>
      <c r="D353" t="s">
        <v>62</v>
      </c>
      <c r="E353" s="201">
        <v>5.1654711774739598E-2</v>
      </c>
      <c r="F353" s="106">
        <v>8.1945999999999994</v>
      </c>
      <c r="G353" s="106">
        <v>0.42328970110928099</v>
      </c>
    </row>
    <row r="354" spans="1:7" x14ac:dyDescent="0.25">
      <c r="A354" t="s">
        <v>254</v>
      </c>
      <c r="B354" t="s">
        <v>11</v>
      </c>
      <c r="C354" t="s">
        <v>1047</v>
      </c>
      <c r="D354" t="s">
        <v>236</v>
      </c>
      <c r="E354" s="201">
        <v>0.12746972594008901</v>
      </c>
      <c r="F354" s="106">
        <v>11.715</v>
      </c>
      <c r="G354" s="106">
        <v>1.49330783938815</v>
      </c>
    </row>
    <row r="355" spans="1:7" x14ac:dyDescent="0.25">
      <c r="A355" t="s">
        <v>254</v>
      </c>
      <c r="B355" t="s">
        <v>11</v>
      </c>
      <c r="C355" t="s">
        <v>246</v>
      </c>
      <c r="D355" t="s">
        <v>15</v>
      </c>
      <c r="E355" s="201">
        <v>0.14258188824662801</v>
      </c>
      <c r="F355" s="106">
        <v>15.895</v>
      </c>
      <c r="G355" s="106">
        <v>2.2663391136801501</v>
      </c>
    </row>
    <row r="356" spans="1:7" x14ac:dyDescent="0.25">
      <c r="A356" t="s">
        <v>254</v>
      </c>
      <c r="B356" t="s">
        <v>5</v>
      </c>
      <c r="C356" t="s">
        <v>235</v>
      </c>
      <c r="D356" t="s">
        <v>3</v>
      </c>
      <c r="E356" s="201">
        <v>1</v>
      </c>
      <c r="F356" s="106">
        <v>6.37</v>
      </c>
      <c r="G356" s="106">
        <v>6.37</v>
      </c>
    </row>
    <row r="357" spans="1:7" x14ac:dyDescent="0.25">
      <c r="A357" t="s">
        <v>254</v>
      </c>
      <c r="B357" t="s">
        <v>2</v>
      </c>
      <c r="C357" t="s">
        <v>1176</v>
      </c>
      <c r="D357" t="s">
        <v>15</v>
      </c>
      <c r="E357" s="201">
        <v>1.2485538606958999</v>
      </c>
      <c r="F357" s="106">
        <v>0.35957142857142899</v>
      </c>
      <c r="G357" s="106">
        <v>0.44894429533879898</v>
      </c>
    </row>
    <row r="358" spans="1:7" x14ac:dyDescent="0.25">
      <c r="A358" t="s">
        <v>254</v>
      </c>
      <c r="B358" t="s">
        <v>2</v>
      </c>
      <c r="C358" t="s">
        <v>1198</v>
      </c>
      <c r="D358" t="s">
        <v>15</v>
      </c>
      <c r="E358" s="201">
        <v>1.2485538606958999</v>
      </c>
      <c r="F358" s="106">
        <v>8.99482608695652E-2</v>
      </c>
      <c r="G358" s="106">
        <v>0.112305248371578</v>
      </c>
    </row>
    <row r="359" spans="1:7" x14ac:dyDescent="0.25">
      <c r="A359" t="s">
        <v>232</v>
      </c>
      <c r="B359" t="s">
        <v>11</v>
      </c>
      <c r="C359" t="s">
        <v>720</v>
      </c>
      <c r="D359" t="s">
        <v>6</v>
      </c>
      <c r="E359" s="201">
        <v>1.21095362598046E-2</v>
      </c>
      <c r="F359" s="106">
        <v>13.2501677489178</v>
      </c>
      <c r="G359" s="106">
        <v>0.160453386804013</v>
      </c>
    </row>
    <row r="360" spans="1:7" x14ac:dyDescent="0.25">
      <c r="A360" t="s">
        <v>232</v>
      </c>
      <c r="B360" t="s">
        <v>11</v>
      </c>
      <c r="C360" t="s">
        <v>785</v>
      </c>
      <c r="D360" t="s">
        <v>8</v>
      </c>
      <c r="E360" s="201">
        <v>0.30974322011187899</v>
      </c>
      <c r="F360" s="106">
        <v>6.6974999999999998</v>
      </c>
      <c r="G360" s="106">
        <v>2.0745052166993099</v>
      </c>
    </row>
    <row r="361" spans="1:7" x14ac:dyDescent="0.25">
      <c r="A361" t="s">
        <v>232</v>
      </c>
      <c r="B361" t="s">
        <v>11</v>
      </c>
      <c r="C361" t="s">
        <v>806</v>
      </c>
      <c r="D361" t="s">
        <v>30</v>
      </c>
      <c r="E361" s="201">
        <v>2.4797521059076798E-2</v>
      </c>
      <c r="F361" s="106">
        <v>3.145</v>
      </c>
      <c r="G361" s="106">
        <v>7.7988203730796596E-2</v>
      </c>
    </row>
    <row r="362" spans="1:7" x14ac:dyDescent="0.25">
      <c r="A362" t="s">
        <v>232</v>
      </c>
      <c r="B362" t="s">
        <v>11</v>
      </c>
      <c r="C362" t="s">
        <v>816</v>
      </c>
      <c r="D362" t="s">
        <v>30</v>
      </c>
      <c r="E362" s="201">
        <v>2.62296348711894E-2</v>
      </c>
      <c r="F362" s="106">
        <v>3.5215000000000001</v>
      </c>
      <c r="G362" s="106">
        <v>9.2367659198893504E-2</v>
      </c>
    </row>
    <row r="363" spans="1:7" x14ac:dyDescent="0.25">
      <c r="A363" t="s">
        <v>232</v>
      </c>
      <c r="B363" t="s">
        <v>11</v>
      </c>
      <c r="C363" t="s">
        <v>824</v>
      </c>
      <c r="D363" t="s">
        <v>30</v>
      </c>
      <c r="E363" s="201">
        <v>2.8237730223794E-2</v>
      </c>
      <c r="F363" s="106">
        <v>1.9257894736842101</v>
      </c>
      <c r="G363" s="106">
        <v>5.4379923625717003E-2</v>
      </c>
    </row>
    <row r="364" spans="1:7" x14ac:dyDescent="0.25">
      <c r="A364" t="s">
        <v>232</v>
      </c>
      <c r="B364" t="s">
        <v>11</v>
      </c>
      <c r="C364" t="s">
        <v>820</v>
      </c>
      <c r="D364" t="s">
        <v>30</v>
      </c>
      <c r="E364" s="201">
        <v>5.5043346635475401E-2</v>
      </c>
      <c r="F364" s="106">
        <v>1.82233333333333</v>
      </c>
      <c r="G364" s="106">
        <v>0.100307325352048</v>
      </c>
    </row>
    <row r="365" spans="1:7" x14ac:dyDescent="0.25">
      <c r="A365" t="s">
        <v>232</v>
      </c>
      <c r="B365" t="s">
        <v>11</v>
      </c>
      <c r="C365" t="s">
        <v>225</v>
      </c>
      <c r="D365" t="s">
        <v>15</v>
      </c>
      <c r="E365" s="201">
        <v>2.1357311894359601E-2</v>
      </c>
      <c r="F365" s="106">
        <v>21.08</v>
      </c>
      <c r="G365" s="106">
        <v>0.45021213473310001</v>
      </c>
    </row>
    <row r="366" spans="1:7" x14ac:dyDescent="0.25">
      <c r="A366" t="s">
        <v>232</v>
      </c>
      <c r="B366" t="s">
        <v>11</v>
      </c>
      <c r="C366" t="s">
        <v>856</v>
      </c>
      <c r="D366" t="s">
        <v>15</v>
      </c>
      <c r="E366" s="201">
        <v>8.2565019953213206E-2</v>
      </c>
      <c r="F366" s="106">
        <v>5.35</v>
      </c>
      <c r="G366" s="106">
        <v>0.44172285674968997</v>
      </c>
    </row>
    <row r="367" spans="1:7" x14ac:dyDescent="0.25">
      <c r="A367" t="s">
        <v>232</v>
      </c>
      <c r="B367" t="s">
        <v>11</v>
      </c>
      <c r="C367" t="s">
        <v>926</v>
      </c>
      <c r="D367" t="s">
        <v>15</v>
      </c>
      <c r="E367" s="201">
        <v>1.5192950470981501E-2</v>
      </c>
      <c r="F367" s="106">
        <v>5.74</v>
      </c>
      <c r="G367" s="106">
        <v>8.7207535703433606E-2</v>
      </c>
    </row>
    <row r="368" spans="1:7" x14ac:dyDescent="0.25">
      <c r="A368" t="s">
        <v>232</v>
      </c>
      <c r="B368" t="s">
        <v>11</v>
      </c>
      <c r="C368" t="s">
        <v>962</v>
      </c>
      <c r="D368" t="s">
        <v>15</v>
      </c>
      <c r="E368" s="201">
        <v>1.5192950470981501E-2</v>
      </c>
      <c r="F368" s="106">
        <v>11.22</v>
      </c>
      <c r="G368" s="106">
        <v>0.17046490428441199</v>
      </c>
    </row>
    <row r="369" spans="1:7" x14ac:dyDescent="0.25">
      <c r="A369" t="s">
        <v>232</v>
      </c>
      <c r="B369" t="s">
        <v>11</v>
      </c>
      <c r="C369" t="s">
        <v>603</v>
      </c>
      <c r="D369" t="s">
        <v>6</v>
      </c>
      <c r="E369" s="201">
        <v>8.6973421682002405E-3</v>
      </c>
      <c r="F369" s="106">
        <v>14.5475745234298</v>
      </c>
      <c r="G369" s="106">
        <v>0.126525233347661</v>
      </c>
    </row>
    <row r="370" spans="1:7" x14ac:dyDescent="0.25">
      <c r="A370" t="s">
        <v>232</v>
      </c>
      <c r="B370" t="s">
        <v>11</v>
      </c>
      <c r="C370" t="s">
        <v>967</v>
      </c>
      <c r="D370" t="s">
        <v>6</v>
      </c>
      <c r="E370" s="201">
        <v>1.21095362598046E-2</v>
      </c>
      <c r="F370" s="106">
        <v>13.75</v>
      </c>
      <c r="G370" s="106">
        <v>0.16650612357231301</v>
      </c>
    </row>
    <row r="371" spans="1:7" x14ac:dyDescent="0.25">
      <c r="A371" t="s">
        <v>232</v>
      </c>
      <c r="B371" t="s">
        <v>11</v>
      </c>
      <c r="C371" t="s">
        <v>993</v>
      </c>
      <c r="D371" t="s">
        <v>15</v>
      </c>
      <c r="E371" s="201">
        <v>6.8804183294344304E-3</v>
      </c>
      <c r="F371" s="106">
        <v>21.82</v>
      </c>
      <c r="G371" s="106">
        <v>0.15013072794825899</v>
      </c>
    </row>
    <row r="372" spans="1:7" x14ac:dyDescent="0.25">
      <c r="A372" t="s">
        <v>232</v>
      </c>
      <c r="B372" t="s">
        <v>11</v>
      </c>
      <c r="C372" t="s">
        <v>606</v>
      </c>
      <c r="D372" t="s">
        <v>15</v>
      </c>
      <c r="E372" s="201">
        <v>1.5192950470981501E-2</v>
      </c>
      <c r="F372" s="106">
        <v>2.4034925925925901</v>
      </c>
      <c r="G372" s="106">
        <v>3.6516143916630099E-2</v>
      </c>
    </row>
    <row r="373" spans="1:7" x14ac:dyDescent="0.25">
      <c r="A373" t="s">
        <v>232</v>
      </c>
      <c r="B373" t="s">
        <v>11</v>
      </c>
      <c r="C373" t="s">
        <v>1035</v>
      </c>
      <c r="D373" t="s">
        <v>15</v>
      </c>
      <c r="E373" s="201">
        <v>4.9595042118153597E-2</v>
      </c>
      <c r="F373" s="106">
        <v>36.835000000000001</v>
      </c>
      <c r="G373" s="106">
        <v>1.82683337642219</v>
      </c>
    </row>
    <row r="374" spans="1:7" x14ac:dyDescent="0.25">
      <c r="A374" t="s">
        <v>232</v>
      </c>
      <c r="B374" t="s">
        <v>11</v>
      </c>
      <c r="C374" t="s">
        <v>226</v>
      </c>
      <c r="D374" t="s">
        <v>15</v>
      </c>
      <c r="E374" s="201">
        <v>2.9669844035906601E-2</v>
      </c>
      <c r="F374" s="106">
        <v>0.92</v>
      </c>
      <c r="G374" s="106">
        <v>2.7296256513034099E-2</v>
      </c>
    </row>
    <row r="375" spans="1:7" x14ac:dyDescent="0.25">
      <c r="A375" t="s">
        <v>232</v>
      </c>
      <c r="B375" t="s">
        <v>5</v>
      </c>
      <c r="C375" t="s">
        <v>221</v>
      </c>
      <c r="D375" t="s">
        <v>3</v>
      </c>
      <c r="E375" s="201">
        <v>1</v>
      </c>
      <c r="F375" s="106">
        <v>9.4499999999999993</v>
      </c>
      <c r="G375" s="106">
        <v>9.4499999999999993</v>
      </c>
    </row>
    <row r="376" spans="1:7" x14ac:dyDescent="0.25">
      <c r="A376" t="s">
        <v>232</v>
      </c>
      <c r="B376" t="s">
        <v>2</v>
      </c>
      <c r="C376" t="s">
        <v>1176</v>
      </c>
      <c r="D376" t="s">
        <v>15</v>
      </c>
      <c r="E376" s="201">
        <v>1.2762078395624401</v>
      </c>
      <c r="F376" s="106">
        <v>0.35957142857142899</v>
      </c>
      <c r="G376" s="106">
        <v>0.458887876025524</v>
      </c>
    </row>
    <row r="377" spans="1:7" x14ac:dyDescent="0.25">
      <c r="A377" t="s">
        <v>232</v>
      </c>
      <c r="B377" t="s">
        <v>2</v>
      </c>
      <c r="C377" t="s">
        <v>1198</v>
      </c>
      <c r="D377" t="s">
        <v>15</v>
      </c>
      <c r="E377" s="201">
        <v>1.2762078395624401</v>
      </c>
      <c r="F377" s="106">
        <v>8.99482608695652E-2</v>
      </c>
      <c r="G377" s="106">
        <v>0.114792675676747</v>
      </c>
    </row>
    <row r="378" spans="1:7" x14ac:dyDescent="0.25">
      <c r="A378" t="s">
        <v>220</v>
      </c>
      <c r="B378" t="s">
        <v>5</v>
      </c>
      <c r="C378" t="s">
        <v>218</v>
      </c>
      <c r="D378" t="s">
        <v>3</v>
      </c>
      <c r="E378" s="201">
        <v>1</v>
      </c>
      <c r="F378" s="106">
        <v>2.8</v>
      </c>
      <c r="G378" s="106">
        <v>2.8</v>
      </c>
    </row>
    <row r="379" spans="1:7" x14ac:dyDescent="0.25">
      <c r="A379" t="s">
        <v>217</v>
      </c>
      <c r="B379" t="s">
        <v>11</v>
      </c>
      <c r="C379" t="s">
        <v>720</v>
      </c>
      <c r="D379" t="s">
        <v>6</v>
      </c>
      <c r="E379" s="201">
        <v>5.0000000000000001E-3</v>
      </c>
      <c r="F379" s="106">
        <v>13.2501677489178</v>
      </c>
      <c r="G379" s="106">
        <v>6.62508387445888E-2</v>
      </c>
    </row>
    <row r="380" spans="1:7" x14ac:dyDescent="0.25">
      <c r="A380" t="s">
        <v>217</v>
      </c>
      <c r="B380" t="s">
        <v>11</v>
      </c>
      <c r="C380" t="s">
        <v>785</v>
      </c>
      <c r="D380" t="s">
        <v>174</v>
      </c>
      <c r="E380" s="201">
        <v>0.111278173223437</v>
      </c>
      <c r="F380" s="106">
        <v>6.6974999999999998</v>
      </c>
      <c r="G380" s="106">
        <v>0.74528556516396605</v>
      </c>
    </row>
    <row r="381" spans="1:7" x14ac:dyDescent="0.25">
      <c r="A381" t="s">
        <v>217</v>
      </c>
      <c r="B381" t="s">
        <v>11</v>
      </c>
      <c r="C381" t="s">
        <v>603</v>
      </c>
      <c r="D381" t="s">
        <v>6</v>
      </c>
      <c r="E381" s="201">
        <v>1.71032293637828E-2</v>
      </c>
      <c r="F381" s="106">
        <v>14.5475745234298</v>
      </c>
      <c r="G381" s="106">
        <v>0.24881050376094399</v>
      </c>
    </row>
    <row r="382" spans="1:7" x14ac:dyDescent="0.25">
      <c r="A382" t="s">
        <v>217</v>
      </c>
      <c r="B382" t="s">
        <v>11</v>
      </c>
      <c r="C382" t="s">
        <v>967</v>
      </c>
      <c r="D382" t="s">
        <v>6</v>
      </c>
      <c r="E382" s="201">
        <v>4.0000000000000001E-3</v>
      </c>
      <c r="F382" s="106">
        <v>13.75</v>
      </c>
      <c r="G382" s="106">
        <v>5.5E-2</v>
      </c>
    </row>
    <row r="383" spans="1:7" x14ac:dyDescent="0.25">
      <c r="A383" t="s">
        <v>217</v>
      </c>
      <c r="B383" t="s">
        <v>11</v>
      </c>
      <c r="C383" t="s">
        <v>602</v>
      </c>
      <c r="D383" t="s">
        <v>6</v>
      </c>
      <c r="E383" s="201">
        <v>5.3835800807537004E-3</v>
      </c>
      <c r="F383" s="106">
        <v>13.895122287420699</v>
      </c>
      <c r="G383" s="106">
        <v>7.4805503566195003E-2</v>
      </c>
    </row>
    <row r="384" spans="1:7" x14ac:dyDescent="0.25">
      <c r="A384" t="s">
        <v>217</v>
      </c>
      <c r="B384" t="s">
        <v>11</v>
      </c>
      <c r="C384" t="s">
        <v>606</v>
      </c>
      <c r="D384" t="s">
        <v>15</v>
      </c>
      <c r="E384" s="201">
        <v>0.137193030594046</v>
      </c>
      <c r="F384" s="106">
        <v>2.4034925925925901</v>
      </c>
      <c r="G384" s="106">
        <v>0.32974243278811799</v>
      </c>
    </row>
    <row r="385" spans="1:7" x14ac:dyDescent="0.25">
      <c r="A385" t="s">
        <v>217</v>
      </c>
      <c r="B385" t="s">
        <v>11</v>
      </c>
      <c r="C385" t="s">
        <v>1044</v>
      </c>
      <c r="D385" t="s">
        <v>15</v>
      </c>
      <c r="E385" s="201">
        <v>1.37193030594046E-2</v>
      </c>
      <c r="F385" s="106">
        <v>8.1945999999999994</v>
      </c>
      <c r="G385" s="106">
        <v>0.112424200850597</v>
      </c>
    </row>
    <row r="386" spans="1:7" x14ac:dyDescent="0.25">
      <c r="A386" t="s">
        <v>217</v>
      </c>
      <c r="B386" t="s">
        <v>5</v>
      </c>
      <c r="C386" t="s">
        <v>215</v>
      </c>
      <c r="D386" t="s">
        <v>3</v>
      </c>
      <c r="E386" s="201">
        <v>1</v>
      </c>
      <c r="F386" s="106">
        <v>6.38</v>
      </c>
      <c r="G386" s="106">
        <v>6.38</v>
      </c>
    </row>
    <row r="387" spans="1:7" x14ac:dyDescent="0.25">
      <c r="A387" t="s">
        <v>214</v>
      </c>
      <c r="B387" t="s">
        <v>11</v>
      </c>
      <c r="C387" t="s">
        <v>785</v>
      </c>
      <c r="D387" t="s">
        <v>8</v>
      </c>
      <c r="E387" s="201">
        <v>0.5</v>
      </c>
      <c r="F387" s="106">
        <v>6.6974999999999998</v>
      </c>
      <c r="G387" s="106">
        <v>3.3487499999999999</v>
      </c>
    </row>
    <row r="388" spans="1:7" x14ac:dyDescent="0.25">
      <c r="A388" t="s">
        <v>214</v>
      </c>
      <c r="B388" t="s">
        <v>11</v>
      </c>
      <c r="C388" t="s">
        <v>822</v>
      </c>
      <c r="D388" t="s">
        <v>30</v>
      </c>
      <c r="E388" s="201">
        <v>9.3370681605975697E-2</v>
      </c>
      <c r="F388" s="106">
        <v>2.0827777777777801</v>
      </c>
      <c r="G388" s="106">
        <v>0.19447038074489101</v>
      </c>
    </row>
    <row r="389" spans="1:7" x14ac:dyDescent="0.25">
      <c r="A389" t="s">
        <v>214</v>
      </c>
      <c r="B389" t="s">
        <v>11</v>
      </c>
      <c r="C389" t="s">
        <v>967</v>
      </c>
      <c r="D389" t="s">
        <v>6</v>
      </c>
      <c r="E389" s="201">
        <v>0.08</v>
      </c>
      <c r="F389" s="106">
        <v>13.75</v>
      </c>
      <c r="G389" s="106">
        <v>1.1000000000000001</v>
      </c>
    </row>
    <row r="390" spans="1:7" x14ac:dyDescent="0.25">
      <c r="A390" t="s">
        <v>214</v>
      </c>
      <c r="B390" t="s">
        <v>11</v>
      </c>
      <c r="C390" t="s">
        <v>602</v>
      </c>
      <c r="D390" t="s">
        <v>6</v>
      </c>
      <c r="E390" s="201">
        <v>0.04</v>
      </c>
      <c r="F390" s="106">
        <v>13.895122287420699</v>
      </c>
      <c r="G390" s="106">
        <v>0.55580489149682899</v>
      </c>
    </row>
    <row r="391" spans="1:7" x14ac:dyDescent="0.25">
      <c r="A391" t="s">
        <v>214</v>
      </c>
      <c r="B391" t="s">
        <v>11</v>
      </c>
      <c r="C391" t="s">
        <v>851</v>
      </c>
      <c r="D391" t="s">
        <v>15</v>
      </c>
      <c r="E391" s="201">
        <v>0.29763676409310102</v>
      </c>
      <c r="F391" s="106">
        <v>7.3259999999999996</v>
      </c>
      <c r="G391" s="106">
        <v>2.1804869337460602</v>
      </c>
    </row>
    <row r="392" spans="1:7" x14ac:dyDescent="0.25">
      <c r="A392" t="s">
        <v>214</v>
      </c>
      <c r="B392" t="s">
        <v>5</v>
      </c>
      <c r="C392" t="s">
        <v>211</v>
      </c>
      <c r="D392" t="s">
        <v>210</v>
      </c>
      <c r="E392" s="201">
        <v>1</v>
      </c>
      <c r="F392" s="106">
        <v>25.3333333333333</v>
      </c>
      <c r="G392" s="106">
        <v>25.3333333333333</v>
      </c>
    </row>
    <row r="393" spans="1:7" x14ac:dyDescent="0.25">
      <c r="A393" t="s">
        <v>209</v>
      </c>
      <c r="B393" t="s">
        <v>11</v>
      </c>
      <c r="C393" t="s">
        <v>720</v>
      </c>
      <c r="D393" t="s">
        <v>6</v>
      </c>
      <c r="E393" s="201">
        <v>8.5496183206106899E-2</v>
      </c>
      <c r="F393" s="106">
        <v>13.2501677489178</v>
      </c>
      <c r="G393" s="106">
        <v>1.1328387693731199</v>
      </c>
    </row>
    <row r="394" spans="1:7" x14ac:dyDescent="0.25">
      <c r="A394" t="s">
        <v>209</v>
      </c>
      <c r="B394" t="s">
        <v>11</v>
      </c>
      <c r="C394" t="s">
        <v>785</v>
      </c>
      <c r="D394" t="s">
        <v>174</v>
      </c>
      <c r="E394" s="201">
        <v>0.52900763358778602</v>
      </c>
      <c r="F394" s="106">
        <v>6.6974999999999998</v>
      </c>
      <c r="G394" s="106">
        <v>3.5430286259542001</v>
      </c>
    </row>
    <row r="395" spans="1:7" x14ac:dyDescent="0.25">
      <c r="A395" t="s">
        <v>209</v>
      </c>
      <c r="B395" t="s">
        <v>5</v>
      </c>
      <c r="C395" t="s">
        <v>207</v>
      </c>
      <c r="D395" t="s">
        <v>130</v>
      </c>
      <c r="E395" s="201">
        <v>1</v>
      </c>
      <c r="F395" s="106">
        <v>13.26</v>
      </c>
      <c r="G395" s="106">
        <v>13.26</v>
      </c>
    </row>
    <row r="396" spans="1:7" x14ac:dyDescent="0.25">
      <c r="A396" t="s">
        <v>206</v>
      </c>
      <c r="B396" t="s">
        <v>11</v>
      </c>
      <c r="C396" t="s">
        <v>526</v>
      </c>
      <c r="D396" t="s">
        <v>15</v>
      </c>
      <c r="E396" s="201">
        <v>1.8623527623906101E-2</v>
      </c>
      <c r="F396" s="106">
        <v>1.07</v>
      </c>
      <c r="G396" s="106">
        <v>1.9927174557579499E-2</v>
      </c>
    </row>
    <row r="397" spans="1:7" x14ac:dyDescent="0.25">
      <c r="A397" t="s">
        <v>206</v>
      </c>
      <c r="B397" t="s">
        <v>11</v>
      </c>
      <c r="C397" t="s">
        <v>798</v>
      </c>
      <c r="D397" t="s">
        <v>15</v>
      </c>
      <c r="E397" s="201">
        <v>2.5729584085372501E-2</v>
      </c>
      <c r="F397" s="106">
        <v>7.6570634920634904</v>
      </c>
      <c r="G397" s="106">
        <v>0.19701305896608401</v>
      </c>
    </row>
    <row r="398" spans="1:7" x14ac:dyDescent="0.25">
      <c r="A398" t="s">
        <v>206</v>
      </c>
      <c r="B398" t="s">
        <v>11</v>
      </c>
      <c r="C398" t="s">
        <v>64</v>
      </c>
      <c r="D398" t="s">
        <v>15</v>
      </c>
      <c r="E398" s="201">
        <v>7.8412922449619706E-3</v>
      </c>
      <c r="F398" s="106">
        <v>50.794114583333297</v>
      </c>
      <c r="G398" s="106">
        <v>0.39829149677200099</v>
      </c>
    </row>
    <row r="399" spans="1:7" x14ac:dyDescent="0.25">
      <c r="A399" t="s">
        <v>206</v>
      </c>
      <c r="B399" t="s">
        <v>11</v>
      </c>
      <c r="C399" t="s">
        <v>155</v>
      </c>
      <c r="D399" t="s">
        <v>144</v>
      </c>
      <c r="E399" s="201">
        <v>9.3117638119530298E-3</v>
      </c>
      <c r="F399" s="106">
        <v>12.525</v>
      </c>
      <c r="G399" s="106">
        <v>0.116629841744712</v>
      </c>
    </row>
    <row r="400" spans="1:7" x14ac:dyDescent="0.25">
      <c r="A400" t="s">
        <v>206</v>
      </c>
      <c r="B400" t="s">
        <v>11</v>
      </c>
      <c r="C400" t="s">
        <v>930</v>
      </c>
      <c r="D400" t="s">
        <v>15</v>
      </c>
      <c r="E400" s="201">
        <v>2.3523876734885901E-2</v>
      </c>
      <c r="F400" s="106">
        <v>37.835000000000001</v>
      </c>
      <c r="G400" s="106">
        <v>0.89002587626440799</v>
      </c>
    </row>
    <row r="401" spans="1:7" x14ac:dyDescent="0.25">
      <c r="A401" t="s">
        <v>206</v>
      </c>
      <c r="B401" t="s">
        <v>11</v>
      </c>
      <c r="C401" t="s">
        <v>951</v>
      </c>
      <c r="D401" t="s">
        <v>15</v>
      </c>
      <c r="E401" s="201">
        <v>2.3523876734885901E-2</v>
      </c>
      <c r="F401" s="106">
        <v>4.0571428571428596</v>
      </c>
      <c r="G401" s="106">
        <v>9.5439728467251406E-2</v>
      </c>
    </row>
    <row r="402" spans="1:7" x14ac:dyDescent="0.25">
      <c r="A402" t="s">
        <v>206</v>
      </c>
      <c r="B402" t="s">
        <v>11</v>
      </c>
      <c r="C402" t="s">
        <v>980</v>
      </c>
      <c r="D402" t="s">
        <v>15</v>
      </c>
      <c r="E402" s="201">
        <v>1.7153056056915E-2</v>
      </c>
      <c r="F402" s="106">
        <v>1.55</v>
      </c>
      <c r="G402" s="106">
        <v>2.6587236888218201E-2</v>
      </c>
    </row>
    <row r="403" spans="1:7" x14ac:dyDescent="0.25">
      <c r="A403" t="s">
        <v>206</v>
      </c>
      <c r="B403" t="s">
        <v>5</v>
      </c>
      <c r="C403" t="s">
        <v>202</v>
      </c>
      <c r="D403" t="s">
        <v>130</v>
      </c>
      <c r="E403" s="201">
        <v>1</v>
      </c>
      <c r="F403" s="106">
        <v>3.8</v>
      </c>
      <c r="G403" s="106">
        <v>3.8</v>
      </c>
    </row>
    <row r="404" spans="1:7" x14ac:dyDescent="0.25">
      <c r="A404" t="s">
        <v>200</v>
      </c>
      <c r="B404" t="s">
        <v>5</v>
      </c>
      <c r="C404" t="s">
        <v>198</v>
      </c>
      <c r="D404" t="s">
        <v>130</v>
      </c>
      <c r="E404" s="201">
        <v>1</v>
      </c>
      <c r="F404" s="106">
        <v>7.4633333333333303</v>
      </c>
      <c r="G404" s="106">
        <v>7.4633333333333303</v>
      </c>
    </row>
    <row r="405" spans="1:7" x14ac:dyDescent="0.25">
      <c r="A405" t="s">
        <v>197</v>
      </c>
      <c r="B405" t="s">
        <v>5</v>
      </c>
      <c r="C405" t="s">
        <v>195</v>
      </c>
      <c r="D405" t="s">
        <v>3</v>
      </c>
      <c r="E405" s="201">
        <v>1</v>
      </c>
      <c r="F405" s="106">
        <v>3.25</v>
      </c>
      <c r="G405" s="106">
        <v>3.25</v>
      </c>
    </row>
    <row r="406" spans="1:7" x14ac:dyDescent="0.25">
      <c r="A406" t="s">
        <v>191</v>
      </c>
      <c r="B406" t="s">
        <v>5</v>
      </c>
      <c r="C406" t="s">
        <v>189</v>
      </c>
      <c r="D406" t="s">
        <v>130</v>
      </c>
      <c r="E406" s="201">
        <v>1</v>
      </c>
      <c r="F406" s="106">
        <v>4.8899999999999997</v>
      </c>
      <c r="G406" s="106">
        <v>4.8899999999999997</v>
      </c>
    </row>
    <row r="407" spans="1:7" x14ac:dyDescent="0.25">
      <c r="A407" t="s">
        <v>188</v>
      </c>
      <c r="B407" t="s">
        <v>5</v>
      </c>
      <c r="C407" t="s">
        <v>186</v>
      </c>
      <c r="D407" t="s">
        <v>3</v>
      </c>
      <c r="E407" s="201">
        <v>1</v>
      </c>
      <c r="F407" s="106">
        <v>3</v>
      </c>
      <c r="G407" s="106">
        <v>3</v>
      </c>
    </row>
    <row r="408" spans="1:7" x14ac:dyDescent="0.25">
      <c r="A408" t="s">
        <v>185</v>
      </c>
      <c r="B408" t="s">
        <v>5</v>
      </c>
      <c r="C408" t="s">
        <v>183</v>
      </c>
      <c r="D408" t="s">
        <v>3</v>
      </c>
      <c r="E408" s="201">
        <v>1</v>
      </c>
      <c r="F408" s="106">
        <v>1.45</v>
      </c>
      <c r="G408" s="106">
        <v>1.45</v>
      </c>
    </row>
    <row r="409" spans="1:7" x14ac:dyDescent="0.25">
      <c r="A409" t="s">
        <v>182</v>
      </c>
      <c r="B409" t="s">
        <v>11</v>
      </c>
      <c r="C409" t="s">
        <v>717</v>
      </c>
      <c r="D409" t="s">
        <v>6</v>
      </c>
      <c r="E409" s="201">
        <v>5.9465383332539196E-3</v>
      </c>
      <c r="F409" s="106">
        <v>9.43</v>
      </c>
      <c r="G409" s="106">
        <v>5.60758564825845E-2</v>
      </c>
    </row>
    <row r="410" spans="1:7" x14ac:dyDescent="0.25">
      <c r="A410" t="s">
        <v>182</v>
      </c>
      <c r="B410" t="s">
        <v>11</v>
      </c>
      <c r="C410" t="s">
        <v>720</v>
      </c>
      <c r="D410" t="s">
        <v>6</v>
      </c>
      <c r="E410" s="201">
        <v>2.3271229608288701E-3</v>
      </c>
      <c r="F410" s="106">
        <v>13.2501677489178</v>
      </c>
      <c r="G410" s="106">
        <v>3.0834769603340698E-2</v>
      </c>
    </row>
    <row r="411" spans="1:7" x14ac:dyDescent="0.25">
      <c r="A411" t="s">
        <v>182</v>
      </c>
      <c r="B411" t="s">
        <v>11</v>
      </c>
      <c r="C411" t="s">
        <v>777</v>
      </c>
      <c r="D411" t="s">
        <v>15</v>
      </c>
      <c r="E411" s="201">
        <v>8.5767379806546903E-3</v>
      </c>
      <c r="F411" s="106">
        <v>1.131875</v>
      </c>
      <c r="G411" s="106">
        <v>9.70779530185353E-3</v>
      </c>
    </row>
    <row r="412" spans="1:7" x14ac:dyDescent="0.25">
      <c r="A412" t="s">
        <v>182</v>
      </c>
      <c r="B412" t="s">
        <v>11</v>
      </c>
      <c r="C412" t="s">
        <v>785</v>
      </c>
      <c r="D412" t="s">
        <v>8</v>
      </c>
      <c r="E412" s="201">
        <v>4.2573841262630002E-2</v>
      </c>
      <c r="F412" s="106">
        <v>6.6974999999999998</v>
      </c>
      <c r="G412" s="106">
        <v>0.28513830185646399</v>
      </c>
    </row>
    <row r="413" spans="1:7" x14ac:dyDescent="0.25">
      <c r="A413" t="s">
        <v>182</v>
      </c>
      <c r="B413" t="s">
        <v>11</v>
      </c>
      <c r="C413" t="s">
        <v>798</v>
      </c>
      <c r="D413" t="s">
        <v>15</v>
      </c>
      <c r="E413" s="201">
        <v>9.5297088673941001E-4</v>
      </c>
      <c r="F413" s="106">
        <v>7.6570634920634904</v>
      </c>
      <c r="G413" s="106">
        <v>7.2969585858517101E-3</v>
      </c>
    </row>
    <row r="414" spans="1:7" x14ac:dyDescent="0.25">
      <c r="A414" t="s">
        <v>182</v>
      </c>
      <c r="B414" t="s">
        <v>11</v>
      </c>
      <c r="C414" t="s">
        <v>849</v>
      </c>
      <c r="D414" t="s">
        <v>15</v>
      </c>
      <c r="E414" s="201">
        <v>2.28713012817458E-2</v>
      </c>
      <c r="F414" s="106">
        <v>4.8216666666666699</v>
      </c>
      <c r="G414" s="106">
        <v>0.110277791013485</v>
      </c>
    </row>
    <row r="415" spans="1:7" x14ac:dyDescent="0.25">
      <c r="A415" t="s">
        <v>182</v>
      </c>
      <c r="B415" t="s">
        <v>11</v>
      </c>
      <c r="C415" t="s">
        <v>908</v>
      </c>
      <c r="D415" t="s">
        <v>3</v>
      </c>
      <c r="E415" s="201">
        <v>4.25352493661237E-3</v>
      </c>
      <c r="F415" s="106">
        <v>2.74</v>
      </c>
      <c r="G415" s="106">
        <v>1.16546583263179E-2</v>
      </c>
    </row>
    <row r="416" spans="1:7" x14ac:dyDescent="0.25">
      <c r="A416" t="s">
        <v>182</v>
      </c>
      <c r="B416" t="s">
        <v>11</v>
      </c>
      <c r="C416" t="s">
        <v>921</v>
      </c>
      <c r="D416" t="s">
        <v>15</v>
      </c>
      <c r="E416" s="201">
        <v>3.8118835469576401E-3</v>
      </c>
      <c r="F416" s="106">
        <v>103.07</v>
      </c>
      <c r="G416" s="106">
        <v>0.39289083718492401</v>
      </c>
    </row>
    <row r="417" spans="1:7" x14ac:dyDescent="0.25">
      <c r="A417" t="s">
        <v>182</v>
      </c>
      <c r="B417" t="s">
        <v>11</v>
      </c>
      <c r="C417" t="s">
        <v>603</v>
      </c>
      <c r="D417" t="s">
        <v>6</v>
      </c>
      <c r="E417" s="201">
        <v>1.6391099251917901E-3</v>
      </c>
      <c r="F417" s="106">
        <v>14.5475745234298</v>
      </c>
      <c r="G417" s="106">
        <v>2.3845073788820899E-2</v>
      </c>
    </row>
    <row r="418" spans="1:7" x14ac:dyDescent="0.25">
      <c r="A418" t="s">
        <v>182</v>
      </c>
      <c r="B418" t="s">
        <v>5</v>
      </c>
      <c r="C418" t="s">
        <v>1146</v>
      </c>
      <c r="D418" t="s">
        <v>130</v>
      </c>
      <c r="E418" s="201">
        <v>1</v>
      </c>
      <c r="F418" s="106">
        <v>1.15333333333333</v>
      </c>
      <c r="G418" s="106">
        <v>1.15333333333333</v>
      </c>
    </row>
    <row r="419" spans="1:7" x14ac:dyDescent="0.25">
      <c r="A419" t="s">
        <v>182</v>
      </c>
      <c r="B419" t="s">
        <v>2</v>
      </c>
      <c r="C419" t="s">
        <v>1184</v>
      </c>
      <c r="D419" t="s">
        <v>15</v>
      </c>
      <c r="E419" s="201">
        <v>1.23886215276123E-2</v>
      </c>
      <c r="F419" s="106">
        <v>31.25</v>
      </c>
      <c r="G419" s="106">
        <v>0.38714442273788502</v>
      </c>
    </row>
    <row r="420" spans="1:7" x14ac:dyDescent="0.25">
      <c r="A420" t="s">
        <v>178</v>
      </c>
      <c r="B420" t="s">
        <v>11</v>
      </c>
      <c r="C420" t="s">
        <v>717</v>
      </c>
      <c r="D420" t="s">
        <v>6</v>
      </c>
      <c r="E420" s="201">
        <v>1.3714285714285701E-3</v>
      </c>
      <c r="F420" s="106">
        <v>9.43</v>
      </c>
      <c r="G420" s="106">
        <v>1.2932571428571399E-2</v>
      </c>
    </row>
    <row r="421" spans="1:7" x14ac:dyDescent="0.25">
      <c r="A421" t="s">
        <v>178</v>
      </c>
      <c r="B421" t="s">
        <v>11</v>
      </c>
      <c r="C421" t="s">
        <v>720</v>
      </c>
      <c r="D421" t="s">
        <v>6</v>
      </c>
      <c r="E421" s="201">
        <v>6.0911417616889901E-3</v>
      </c>
      <c r="F421" s="106">
        <v>13.2501677489178</v>
      </c>
      <c r="G421" s="106">
        <v>8.0708650124817496E-2</v>
      </c>
    </row>
    <row r="422" spans="1:7" x14ac:dyDescent="0.25">
      <c r="A422" t="s">
        <v>178</v>
      </c>
      <c r="B422" t="s">
        <v>11</v>
      </c>
      <c r="C422" t="s">
        <v>735</v>
      </c>
      <c r="D422" t="s">
        <v>15</v>
      </c>
      <c r="E422" s="201">
        <v>5.5768560474032801E-2</v>
      </c>
      <c r="F422" s="106">
        <v>6.63</v>
      </c>
      <c r="G422" s="106">
        <v>0.36974555594283698</v>
      </c>
    </row>
    <row r="423" spans="1:7" x14ac:dyDescent="0.25">
      <c r="A423" t="s">
        <v>178</v>
      </c>
      <c r="B423" t="s">
        <v>11</v>
      </c>
      <c r="C423" t="s">
        <v>785</v>
      </c>
      <c r="D423" t="s">
        <v>174</v>
      </c>
      <c r="E423" s="201">
        <v>6.8074158907201796E-2</v>
      </c>
      <c r="F423" s="106">
        <v>6.6974999999999998</v>
      </c>
      <c r="G423" s="106">
        <v>0.45592667928098402</v>
      </c>
    </row>
    <row r="424" spans="1:7" x14ac:dyDescent="0.25">
      <c r="A424" t="s">
        <v>178</v>
      </c>
      <c r="B424" t="s">
        <v>11</v>
      </c>
      <c r="C424" t="s">
        <v>806</v>
      </c>
      <c r="D424" t="s">
        <v>30</v>
      </c>
      <c r="E424" s="201">
        <v>1.74276751481352E-3</v>
      </c>
      <c r="F424" s="106">
        <v>3.145</v>
      </c>
      <c r="G424" s="106">
        <v>5.4810038340885299E-3</v>
      </c>
    </row>
    <row r="425" spans="1:7" x14ac:dyDescent="0.25">
      <c r="A425" t="s">
        <v>178</v>
      </c>
      <c r="B425" t="s">
        <v>11</v>
      </c>
      <c r="C425" t="s">
        <v>849</v>
      </c>
      <c r="D425" t="s">
        <v>15</v>
      </c>
      <c r="E425" s="201">
        <v>5.7142857142857099E-3</v>
      </c>
      <c r="F425" s="106">
        <v>4.8216666666666699</v>
      </c>
      <c r="G425" s="106">
        <v>2.7552380952380901E-2</v>
      </c>
    </row>
    <row r="426" spans="1:7" x14ac:dyDescent="0.25">
      <c r="A426" t="s">
        <v>178</v>
      </c>
      <c r="B426" t="s">
        <v>11</v>
      </c>
      <c r="C426" t="s">
        <v>155</v>
      </c>
      <c r="D426" t="s">
        <v>15</v>
      </c>
      <c r="E426" s="201">
        <v>4.9141064581984797E-3</v>
      </c>
      <c r="F426" s="106">
        <v>12.525</v>
      </c>
      <c r="G426" s="106">
        <v>6.1549183388935898E-2</v>
      </c>
    </row>
    <row r="427" spans="1:7" x14ac:dyDescent="0.25">
      <c r="A427" t="s">
        <v>178</v>
      </c>
      <c r="B427" t="s">
        <v>11</v>
      </c>
      <c r="C427" t="s">
        <v>904</v>
      </c>
      <c r="D427" t="s">
        <v>102</v>
      </c>
      <c r="E427" s="201">
        <v>1.39421401185082E-2</v>
      </c>
      <c r="F427" s="106">
        <v>3.22</v>
      </c>
      <c r="G427" s="106">
        <v>4.4893691181596397E-2</v>
      </c>
    </row>
    <row r="428" spans="1:7" x14ac:dyDescent="0.25">
      <c r="A428" t="s">
        <v>178</v>
      </c>
      <c r="B428" t="s">
        <v>11</v>
      </c>
      <c r="C428" t="s">
        <v>603</v>
      </c>
      <c r="D428" t="s">
        <v>6</v>
      </c>
      <c r="E428" s="201">
        <v>4.5714285714285703E-4</v>
      </c>
      <c r="F428" s="106">
        <v>14.5475745234298</v>
      </c>
      <c r="G428" s="106">
        <v>6.6503197821393299E-3</v>
      </c>
    </row>
    <row r="429" spans="1:7" x14ac:dyDescent="0.25">
      <c r="A429" t="s">
        <v>178</v>
      </c>
      <c r="B429" t="s">
        <v>11</v>
      </c>
      <c r="C429" t="s">
        <v>995</v>
      </c>
      <c r="D429" t="s">
        <v>15</v>
      </c>
      <c r="E429" s="201">
        <v>2.8571428571428602E-3</v>
      </c>
      <c r="F429" s="106">
        <v>15.15</v>
      </c>
      <c r="G429" s="106">
        <v>4.3285714285714302E-2</v>
      </c>
    </row>
    <row r="430" spans="1:7" x14ac:dyDescent="0.25">
      <c r="A430" t="s">
        <v>178</v>
      </c>
      <c r="B430" t="s">
        <v>11</v>
      </c>
      <c r="C430" t="s">
        <v>1001</v>
      </c>
      <c r="D430" t="s">
        <v>15</v>
      </c>
      <c r="E430" s="201">
        <v>6.9710700592541001E-3</v>
      </c>
      <c r="F430" s="106">
        <v>58.303333333333299</v>
      </c>
      <c r="G430" s="106">
        <v>0.40643662135471098</v>
      </c>
    </row>
    <row r="431" spans="1:7" x14ac:dyDescent="0.25">
      <c r="A431" t="s">
        <v>178</v>
      </c>
      <c r="B431" t="s">
        <v>11</v>
      </c>
      <c r="C431" t="s">
        <v>1006</v>
      </c>
      <c r="D431" t="s">
        <v>15</v>
      </c>
      <c r="E431" s="201">
        <v>6.9710700592541001E-3</v>
      </c>
      <c r="F431" s="106">
        <v>8.3699999999999992</v>
      </c>
      <c r="G431" s="106">
        <v>5.8347856395956799E-2</v>
      </c>
    </row>
    <row r="432" spans="1:7" x14ac:dyDescent="0.25">
      <c r="A432" t="s">
        <v>178</v>
      </c>
      <c r="B432" t="s">
        <v>5</v>
      </c>
      <c r="C432" t="s">
        <v>1150</v>
      </c>
      <c r="D432" t="s">
        <v>3</v>
      </c>
      <c r="E432" s="201">
        <v>1</v>
      </c>
      <c r="F432" s="106">
        <v>0.95</v>
      </c>
      <c r="G432" s="106">
        <v>0.95</v>
      </c>
    </row>
    <row r="433" spans="1:7" x14ac:dyDescent="0.25">
      <c r="A433" t="s">
        <v>168</v>
      </c>
      <c r="B433" t="s">
        <v>5</v>
      </c>
      <c r="C433" t="s">
        <v>166</v>
      </c>
      <c r="D433" t="s">
        <v>3</v>
      </c>
      <c r="E433" s="201">
        <v>1</v>
      </c>
      <c r="F433" s="106">
        <v>1.34</v>
      </c>
      <c r="G433" s="106">
        <v>1.34</v>
      </c>
    </row>
    <row r="434" spans="1:7" x14ac:dyDescent="0.25">
      <c r="A434" t="s">
        <v>507</v>
      </c>
      <c r="B434" t="s">
        <v>5</v>
      </c>
      <c r="C434" t="s">
        <v>164</v>
      </c>
      <c r="D434" t="s">
        <v>130</v>
      </c>
      <c r="E434" s="201">
        <v>1</v>
      </c>
      <c r="F434" s="106">
        <v>3.95</v>
      </c>
      <c r="G434" s="106">
        <v>3.95</v>
      </c>
    </row>
    <row r="435" spans="1:7" x14ac:dyDescent="0.25">
      <c r="A435" t="s">
        <v>163</v>
      </c>
      <c r="B435" t="s">
        <v>5</v>
      </c>
      <c r="C435" t="s">
        <v>161</v>
      </c>
      <c r="D435" t="s">
        <v>130</v>
      </c>
      <c r="E435" s="201">
        <v>1</v>
      </c>
      <c r="F435" s="106">
        <v>5.4</v>
      </c>
      <c r="G435" s="106">
        <v>5.4</v>
      </c>
    </row>
    <row r="436" spans="1:7" x14ac:dyDescent="0.25">
      <c r="A436" t="s">
        <v>159</v>
      </c>
      <c r="B436" t="s">
        <v>11</v>
      </c>
      <c r="C436" t="s">
        <v>720</v>
      </c>
      <c r="D436" t="s">
        <v>6</v>
      </c>
      <c r="E436" s="201">
        <v>2.65787223647246E-2</v>
      </c>
      <c r="F436" s="106">
        <v>13.2501677489178</v>
      </c>
      <c r="G436" s="106">
        <v>0.35217252988451198</v>
      </c>
    </row>
    <row r="437" spans="1:7" x14ac:dyDescent="0.25">
      <c r="A437" t="s">
        <v>159</v>
      </c>
      <c r="B437" t="s">
        <v>11</v>
      </c>
      <c r="C437" t="s">
        <v>756</v>
      </c>
      <c r="D437" t="s">
        <v>15</v>
      </c>
      <c r="E437" s="201">
        <v>1.4657383657017201E-2</v>
      </c>
      <c r="F437" s="106">
        <v>1.61</v>
      </c>
      <c r="G437" s="106">
        <v>2.3598387687797699E-2</v>
      </c>
    </row>
    <row r="438" spans="1:7" x14ac:dyDescent="0.25">
      <c r="A438" t="s">
        <v>159</v>
      </c>
      <c r="B438" t="s">
        <v>11</v>
      </c>
      <c r="C438" t="s">
        <v>788</v>
      </c>
      <c r="D438" t="s">
        <v>8</v>
      </c>
      <c r="E438" s="201">
        <v>0.20206075374108401</v>
      </c>
      <c r="F438" s="106">
        <v>6.7489472778273596</v>
      </c>
      <c r="G438" s="106">
        <v>1.36369737391663</v>
      </c>
    </row>
    <row r="439" spans="1:7" x14ac:dyDescent="0.25">
      <c r="A439" t="s">
        <v>159</v>
      </c>
      <c r="B439" t="s">
        <v>11</v>
      </c>
      <c r="C439" t="s">
        <v>798</v>
      </c>
      <c r="D439" t="s">
        <v>15</v>
      </c>
      <c r="E439" s="201">
        <v>0.17461364109357799</v>
      </c>
      <c r="F439" s="106">
        <v>7.6570634920634904</v>
      </c>
      <c r="G439" s="106">
        <v>1.33702773643391</v>
      </c>
    </row>
    <row r="440" spans="1:7" x14ac:dyDescent="0.25">
      <c r="A440" t="s">
        <v>159</v>
      </c>
      <c r="B440" t="s">
        <v>11</v>
      </c>
      <c r="C440" t="s">
        <v>156</v>
      </c>
      <c r="D440" t="s">
        <v>30</v>
      </c>
      <c r="E440" s="201">
        <v>3.2492467464830198E-3</v>
      </c>
      <c r="F440" s="106">
        <v>9.0133333333333301</v>
      </c>
      <c r="G440" s="106">
        <v>2.9286544008300299E-2</v>
      </c>
    </row>
    <row r="441" spans="1:7" x14ac:dyDescent="0.25">
      <c r="A441" t="s">
        <v>159</v>
      </c>
      <c r="B441" t="s">
        <v>11</v>
      </c>
      <c r="C441" t="s">
        <v>155</v>
      </c>
      <c r="D441" t="s">
        <v>144</v>
      </c>
      <c r="E441" s="201">
        <v>6.3028683416949402E-3</v>
      </c>
      <c r="F441" s="106">
        <v>12.525</v>
      </c>
      <c r="G441" s="106">
        <v>7.8943425979729101E-2</v>
      </c>
    </row>
    <row r="442" spans="1:7" x14ac:dyDescent="0.25">
      <c r="A442" t="s">
        <v>159</v>
      </c>
      <c r="B442" t="s">
        <v>11</v>
      </c>
      <c r="C442" t="s">
        <v>923</v>
      </c>
      <c r="D442" t="s">
        <v>15</v>
      </c>
      <c r="E442" s="201">
        <v>5.2474593707186899E-2</v>
      </c>
      <c r="F442" s="106">
        <v>27</v>
      </c>
      <c r="G442" s="106">
        <v>1.4168140300940499</v>
      </c>
    </row>
    <row r="443" spans="1:7" x14ac:dyDescent="0.25">
      <c r="A443" t="s">
        <v>159</v>
      </c>
      <c r="B443" t="s">
        <v>11</v>
      </c>
      <c r="C443" t="s">
        <v>145</v>
      </c>
      <c r="D443" t="s">
        <v>144</v>
      </c>
      <c r="E443" s="201">
        <v>2.7047897376460601E-3</v>
      </c>
      <c r="F443" s="106">
        <v>67.732222222222205</v>
      </c>
      <c r="G443" s="106">
        <v>0.18320141957462899</v>
      </c>
    </row>
    <row r="444" spans="1:7" x14ac:dyDescent="0.25">
      <c r="A444" t="s">
        <v>159</v>
      </c>
      <c r="B444" t="s">
        <v>11</v>
      </c>
      <c r="C444" t="s">
        <v>603</v>
      </c>
      <c r="D444" t="s">
        <v>6</v>
      </c>
      <c r="E444" s="201">
        <v>2.69010442288562E-2</v>
      </c>
      <c r="F444" s="106">
        <v>14.5475745234298</v>
      </c>
      <c r="G444" s="106">
        <v>0.391344945677367</v>
      </c>
    </row>
    <row r="445" spans="1:7" x14ac:dyDescent="0.25">
      <c r="A445" t="s">
        <v>159</v>
      </c>
      <c r="B445" t="s">
        <v>11</v>
      </c>
      <c r="C445" t="s">
        <v>982</v>
      </c>
      <c r="D445" t="s">
        <v>15</v>
      </c>
      <c r="E445" s="201">
        <v>7.3286918285086098E-3</v>
      </c>
      <c r="F445" s="106">
        <v>4.01</v>
      </c>
      <c r="G445" s="106">
        <v>2.9388054232319501E-2</v>
      </c>
    </row>
    <row r="446" spans="1:7" x14ac:dyDescent="0.25">
      <c r="A446" t="s">
        <v>159</v>
      </c>
      <c r="B446" t="s">
        <v>2</v>
      </c>
      <c r="C446" t="s">
        <v>522</v>
      </c>
      <c r="D446" t="s">
        <v>410</v>
      </c>
      <c r="E446" s="201">
        <v>2.0590748055262401E-2</v>
      </c>
      <c r="F446" s="106">
        <v>31.25</v>
      </c>
      <c r="G446" s="106">
        <v>0.64346087672694996</v>
      </c>
    </row>
    <row r="447" spans="1:7" x14ac:dyDescent="0.25">
      <c r="A447" t="s">
        <v>159</v>
      </c>
      <c r="B447" t="s">
        <v>2</v>
      </c>
      <c r="C447" t="s">
        <v>1192</v>
      </c>
      <c r="D447" t="s">
        <v>410</v>
      </c>
      <c r="E447" s="201">
        <v>2.9314767314034401E-2</v>
      </c>
      <c r="F447" s="106">
        <v>35.71</v>
      </c>
      <c r="G447" s="106">
        <v>1.0468303407841699</v>
      </c>
    </row>
    <row r="448" spans="1:7" x14ac:dyDescent="0.25">
      <c r="A448" t="s">
        <v>159</v>
      </c>
      <c r="B448" t="s">
        <v>2</v>
      </c>
      <c r="C448" t="s">
        <v>1927</v>
      </c>
      <c r="D448" t="s">
        <v>130</v>
      </c>
      <c r="E448" s="201">
        <v>1</v>
      </c>
      <c r="F448" s="106">
        <v>40.99</v>
      </c>
      <c r="G448" s="106">
        <v>40.99</v>
      </c>
    </row>
    <row r="449" spans="1:7" x14ac:dyDescent="0.25">
      <c r="A449" t="s">
        <v>151</v>
      </c>
      <c r="B449" t="s">
        <v>11</v>
      </c>
      <c r="C449" t="s">
        <v>803</v>
      </c>
      <c r="D449" t="s">
        <v>15</v>
      </c>
      <c r="E449" s="201">
        <v>2.2006315812638198E-3</v>
      </c>
      <c r="F449" s="106">
        <v>0.64500000000000002</v>
      </c>
      <c r="G449" s="106">
        <v>1.41940736991517E-3</v>
      </c>
    </row>
    <row r="450" spans="1:7" x14ac:dyDescent="0.25">
      <c r="A450" t="s">
        <v>151</v>
      </c>
      <c r="B450" t="s">
        <v>11</v>
      </c>
      <c r="C450" t="s">
        <v>556</v>
      </c>
      <c r="D450" t="s">
        <v>15</v>
      </c>
      <c r="E450" s="201">
        <v>4.4012631625276501E-2</v>
      </c>
      <c r="F450" s="106">
        <v>0.02</v>
      </c>
      <c r="G450" s="106">
        <v>8.8025263250552895E-4</v>
      </c>
    </row>
    <row r="451" spans="1:7" x14ac:dyDescent="0.25">
      <c r="A451" t="s">
        <v>151</v>
      </c>
      <c r="B451" t="s">
        <v>11</v>
      </c>
      <c r="C451" t="s">
        <v>916</v>
      </c>
      <c r="D451" t="s">
        <v>15</v>
      </c>
      <c r="E451" s="201">
        <v>6.3345647709240394E-2</v>
      </c>
      <c r="F451" s="106">
        <v>1.4315370370370399</v>
      </c>
      <c r="G451" s="106">
        <v>9.0681640830877902E-2</v>
      </c>
    </row>
    <row r="452" spans="1:7" x14ac:dyDescent="0.25">
      <c r="A452" t="s">
        <v>151</v>
      </c>
      <c r="B452" t="s">
        <v>11</v>
      </c>
      <c r="C452" t="s">
        <v>953</v>
      </c>
      <c r="D452" t="s">
        <v>15</v>
      </c>
      <c r="E452" s="201">
        <v>5.50157895315956E-3</v>
      </c>
      <c r="F452" s="106">
        <v>9.5184999999999995</v>
      </c>
      <c r="G452" s="106">
        <v>5.2366779265649199E-2</v>
      </c>
    </row>
    <row r="453" spans="1:7" x14ac:dyDescent="0.25">
      <c r="A453" t="s">
        <v>151</v>
      </c>
      <c r="B453" t="s">
        <v>11</v>
      </c>
      <c r="C453" t="s">
        <v>955</v>
      </c>
      <c r="D453" t="s">
        <v>15</v>
      </c>
      <c r="E453" s="201">
        <v>7.7445187778909894E-2</v>
      </c>
      <c r="F453" s="106">
        <v>2.3980000000000001</v>
      </c>
      <c r="G453" s="106">
        <v>0.18571356029382599</v>
      </c>
    </row>
    <row r="454" spans="1:7" x14ac:dyDescent="0.25">
      <c r="A454" t="s">
        <v>151</v>
      </c>
      <c r="B454" t="s">
        <v>11</v>
      </c>
      <c r="C454" t="s">
        <v>145</v>
      </c>
      <c r="D454" t="s">
        <v>144</v>
      </c>
      <c r="E454" s="201">
        <v>2.0744440657807901E-2</v>
      </c>
      <c r="F454" s="106">
        <v>67.732222222222205</v>
      </c>
      <c r="G454" s="106">
        <v>1.40506706451035</v>
      </c>
    </row>
    <row r="455" spans="1:7" x14ac:dyDescent="0.25">
      <c r="A455" t="s">
        <v>151</v>
      </c>
      <c r="B455" t="s">
        <v>11</v>
      </c>
      <c r="C455" t="s">
        <v>557</v>
      </c>
      <c r="D455" t="s">
        <v>3</v>
      </c>
      <c r="E455" s="201">
        <v>5.2265000055015803E-3</v>
      </c>
      <c r="F455" s="106">
        <v>2.0499999999999998</v>
      </c>
      <c r="G455" s="106">
        <v>1.0714325011278201E-2</v>
      </c>
    </row>
    <row r="456" spans="1:7" x14ac:dyDescent="0.25">
      <c r="A456" t="s">
        <v>151</v>
      </c>
      <c r="B456" t="s">
        <v>11</v>
      </c>
      <c r="C456" t="s">
        <v>454</v>
      </c>
      <c r="D456" t="s">
        <v>102</v>
      </c>
      <c r="E456" s="201">
        <v>3.3009473718957301E-2</v>
      </c>
      <c r="F456" s="106">
        <v>0.56000000000000005</v>
      </c>
      <c r="G456" s="106">
        <v>1.8485305282616101E-2</v>
      </c>
    </row>
    <row r="457" spans="1:7" x14ac:dyDescent="0.25">
      <c r="A457" t="s">
        <v>151</v>
      </c>
      <c r="B457" t="s">
        <v>5</v>
      </c>
      <c r="C457" t="s">
        <v>143</v>
      </c>
      <c r="D457" t="s">
        <v>130</v>
      </c>
      <c r="E457" s="201">
        <v>1</v>
      </c>
      <c r="F457" s="106">
        <v>0.36</v>
      </c>
      <c r="G457" s="106">
        <v>0.36</v>
      </c>
    </row>
    <row r="458" spans="1:7" x14ac:dyDescent="0.25">
      <c r="A458" t="s">
        <v>141</v>
      </c>
      <c r="B458" t="s">
        <v>11</v>
      </c>
      <c r="C458" t="s">
        <v>760</v>
      </c>
      <c r="D458" t="s">
        <v>15</v>
      </c>
      <c r="E458" s="201">
        <v>1.88757396449704</v>
      </c>
      <c r="F458" s="106">
        <v>1.0900000000000001</v>
      </c>
      <c r="G458" s="106">
        <v>2.0574556213017798</v>
      </c>
    </row>
    <row r="459" spans="1:7" x14ac:dyDescent="0.25">
      <c r="A459" t="s">
        <v>141</v>
      </c>
      <c r="B459" t="s">
        <v>11</v>
      </c>
      <c r="C459" t="s">
        <v>771</v>
      </c>
      <c r="D459" t="s">
        <v>15</v>
      </c>
      <c r="E459" s="201">
        <v>1</v>
      </c>
      <c r="F459" s="106">
        <v>2.39</v>
      </c>
      <c r="G459" s="106">
        <v>2.39</v>
      </c>
    </row>
    <row r="460" spans="1:7" x14ac:dyDescent="0.25">
      <c r="A460" t="s">
        <v>141</v>
      </c>
      <c r="B460" t="s">
        <v>11</v>
      </c>
      <c r="C460" t="s">
        <v>796</v>
      </c>
      <c r="D460" t="s">
        <v>15</v>
      </c>
      <c r="E460" s="201">
        <v>2.3668639053254399</v>
      </c>
      <c r="F460" s="106">
        <v>1.3</v>
      </c>
      <c r="G460" s="106">
        <v>3.0769230769230802</v>
      </c>
    </row>
    <row r="461" spans="1:7" x14ac:dyDescent="0.25">
      <c r="A461" t="s">
        <v>141</v>
      </c>
      <c r="B461" t="s">
        <v>11</v>
      </c>
      <c r="C461" t="s">
        <v>803</v>
      </c>
      <c r="D461" t="s">
        <v>15</v>
      </c>
      <c r="E461" s="201">
        <v>2.3668639053254399</v>
      </c>
      <c r="F461" s="106">
        <v>0.64500000000000002</v>
      </c>
      <c r="G461" s="106">
        <v>1.5266272189349099</v>
      </c>
    </row>
    <row r="462" spans="1:7" x14ac:dyDescent="0.25">
      <c r="A462" t="s">
        <v>141</v>
      </c>
      <c r="B462" t="s">
        <v>11</v>
      </c>
      <c r="C462" t="s">
        <v>800</v>
      </c>
      <c r="D462" t="s">
        <v>15</v>
      </c>
      <c r="E462" s="201">
        <v>3.5</v>
      </c>
      <c r="F462" s="106">
        <v>1.45</v>
      </c>
      <c r="G462" s="106">
        <v>5.0750000000000002</v>
      </c>
    </row>
    <row r="463" spans="1:7" x14ac:dyDescent="0.25">
      <c r="A463" t="s">
        <v>141</v>
      </c>
      <c r="B463" t="s">
        <v>11</v>
      </c>
      <c r="C463" t="s">
        <v>828</v>
      </c>
      <c r="D463" t="s">
        <v>23</v>
      </c>
      <c r="E463" s="201">
        <v>1</v>
      </c>
      <c r="F463" s="106">
        <v>0.96</v>
      </c>
      <c r="G463" s="106">
        <v>0.96</v>
      </c>
    </row>
    <row r="464" spans="1:7" x14ac:dyDescent="0.25">
      <c r="A464" t="s">
        <v>141</v>
      </c>
      <c r="B464" t="s">
        <v>11</v>
      </c>
      <c r="C464" t="s">
        <v>832</v>
      </c>
      <c r="D464" t="s">
        <v>15</v>
      </c>
      <c r="E464" s="201">
        <v>54.437869822485197</v>
      </c>
      <c r="F464" s="106">
        <v>0.3</v>
      </c>
      <c r="G464" s="106">
        <v>16.331360946745601</v>
      </c>
    </row>
    <row r="465" spans="1:7" x14ac:dyDescent="0.25">
      <c r="A465" t="s">
        <v>141</v>
      </c>
      <c r="B465" t="s">
        <v>11</v>
      </c>
      <c r="C465" t="s">
        <v>838</v>
      </c>
      <c r="D465" t="s">
        <v>23</v>
      </c>
      <c r="E465" s="201">
        <v>0.79585798816567999</v>
      </c>
      <c r="F465" s="106">
        <v>4.5599999999999996</v>
      </c>
      <c r="G465" s="106">
        <v>3.6291124260354999</v>
      </c>
    </row>
    <row r="466" spans="1:7" x14ac:dyDescent="0.25">
      <c r="A466" t="s">
        <v>141</v>
      </c>
      <c r="B466" t="s">
        <v>11</v>
      </c>
      <c r="C466" t="s">
        <v>842</v>
      </c>
      <c r="D466" t="s">
        <v>30</v>
      </c>
      <c r="E466" s="201">
        <v>1.04585798816568</v>
      </c>
      <c r="F466" s="106">
        <v>14.475</v>
      </c>
      <c r="G466" s="106">
        <v>15.138794378698201</v>
      </c>
    </row>
    <row r="467" spans="1:7" x14ac:dyDescent="0.25">
      <c r="A467" t="s">
        <v>141</v>
      </c>
      <c r="B467" t="s">
        <v>11</v>
      </c>
      <c r="C467" t="s">
        <v>864</v>
      </c>
      <c r="D467" t="s">
        <v>15</v>
      </c>
      <c r="E467" s="201">
        <v>4.65285996055227</v>
      </c>
      <c r="F467" s="106">
        <v>2.4550000000000001</v>
      </c>
      <c r="G467" s="106">
        <v>11.422771203155801</v>
      </c>
    </row>
    <row r="468" spans="1:7" x14ac:dyDescent="0.25">
      <c r="A468" t="s">
        <v>141</v>
      </c>
      <c r="B468" t="s">
        <v>11</v>
      </c>
      <c r="C468" t="s">
        <v>136</v>
      </c>
      <c r="D468" t="s">
        <v>15</v>
      </c>
      <c r="E468" s="201">
        <v>2.2958579881656802</v>
      </c>
      <c r="F468" s="106">
        <v>3.335</v>
      </c>
      <c r="G468" s="106">
        <v>7.6566863905325402</v>
      </c>
    </row>
    <row r="469" spans="1:7" x14ac:dyDescent="0.25">
      <c r="A469" t="s">
        <v>141</v>
      </c>
      <c r="B469" t="s">
        <v>11</v>
      </c>
      <c r="C469" t="s">
        <v>866</v>
      </c>
      <c r="D469" t="s">
        <v>15</v>
      </c>
      <c r="E469" s="201">
        <v>1.1834319526627199</v>
      </c>
      <c r="F469" s="106">
        <v>1.99</v>
      </c>
      <c r="G469" s="106">
        <v>2.3550295857988202</v>
      </c>
    </row>
    <row r="470" spans="1:7" x14ac:dyDescent="0.25">
      <c r="A470" t="s">
        <v>141</v>
      </c>
      <c r="B470" t="s">
        <v>11</v>
      </c>
      <c r="C470" t="s">
        <v>868</v>
      </c>
      <c r="D470" t="s">
        <v>15</v>
      </c>
      <c r="E470" s="201">
        <v>4.1834319526627199</v>
      </c>
      <c r="F470" s="106">
        <v>1.9466666666666701</v>
      </c>
      <c r="G470" s="106">
        <v>8.1437475345167591</v>
      </c>
    </row>
    <row r="471" spans="1:7" x14ac:dyDescent="0.25">
      <c r="A471" t="s">
        <v>141</v>
      </c>
      <c r="B471" t="s">
        <v>11</v>
      </c>
      <c r="C471" t="s">
        <v>870</v>
      </c>
      <c r="D471" t="s">
        <v>15</v>
      </c>
      <c r="E471" s="201">
        <v>1.1834319526627199</v>
      </c>
      <c r="F471" s="106">
        <v>1.67</v>
      </c>
      <c r="G471" s="106">
        <v>1.9763313609467501</v>
      </c>
    </row>
    <row r="472" spans="1:7" x14ac:dyDescent="0.25">
      <c r="A472" t="s">
        <v>141</v>
      </c>
      <c r="B472" t="s">
        <v>11</v>
      </c>
      <c r="C472" t="s">
        <v>872</v>
      </c>
      <c r="D472" t="s">
        <v>15</v>
      </c>
      <c r="E472" s="201">
        <v>1.7751479289940799</v>
      </c>
      <c r="F472" s="106">
        <v>1.18</v>
      </c>
      <c r="G472" s="106">
        <v>2.09467455621302</v>
      </c>
    </row>
    <row r="473" spans="1:7" x14ac:dyDescent="0.25">
      <c r="A473" t="s">
        <v>141</v>
      </c>
      <c r="B473" t="s">
        <v>11</v>
      </c>
      <c r="C473" t="s">
        <v>874</v>
      </c>
      <c r="D473" t="s">
        <v>15</v>
      </c>
      <c r="E473" s="201">
        <v>14</v>
      </c>
      <c r="F473" s="106">
        <v>0.47</v>
      </c>
      <c r="G473" s="106">
        <v>6.58</v>
      </c>
    </row>
    <row r="474" spans="1:7" x14ac:dyDescent="0.25">
      <c r="A474" t="s">
        <v>141</v>
      </c>
      <c r="B474" t="s">
        <v>11</v>
      </c>
      <c r="C474" t="s">
        <v>881</v>
      </c>
      <c r="D474" t="s">
        <v>130</v>
      </c>
      <c r="E474" s="201">
        <v>15.846153846153801</v>
      </c>
      <c r="F474" s="106">
        <v>0.17</v>
      </c>
      <c r="G474" s="106">
        <v>2.6938461538461498</v>
      </c>
    </row>
    <row r="475" spans="1:7" x14ac:dyDescent="0.25">
      <c r="A475" t="s">
        <v>141</v>
      </c>
      <c r="B475" t="s">
        <v>11</v>
      </c>
      <c r="C475" t="s">
        <v>893</v>
      </c>
      <c r="D475" t="s">
        <v>23</v>
      </c>
      <c r="E475" s="201">
        <v>0.59171597633136097</v>
      </c>
      <c r="F475" s="106">
        <v>8.86</v>
      </c>
      <c r="G475" s="106">
        <v>5.2426035502958603</v>
      </c>
    </row>
    <row r="476" spans="1:7" x14ac:dyDescent="0.25">
      <c r="A476" t="s">
        <v>141</v>
      </c>
      <c r="B476" t="s">
        <v>11</v>
      </c>
      <c r="C476" t="s">
        <v>895</v>
      </c>
      <c r="D476" t="s">
        <v>15</v>
      </c>
      <c r="E476" s="201">
        <v>5.0917159763313604</v>
      </c>
      <c r="F476" s="106">
        <v>0.17</v>
      </c>
      <c r="G476" s="106">
        <v>0.865591715976331</v>
      </c>
    </row>
    <row r="477" spans="1:7" x14ac:dyDescent="0.25">
      <c r="A477" t="s">
        <v>141</v>
      </c>
      <c r="B477" t="s">
        <v>11</v>
      </c>
      <c r="C477" t="s">
        <v>128</v>
      </c>
      <c r="D477" t="s">
        <v>15</v>
      </c>
      <c r="E477" s="201">
        <v>1.59171597633136</v>
      </c>
      <c r="F477" s="106">
        <v>1.82</v>
      </c>
      <c r="G477" s="106">
        <v>2.89692307692308</v>
      </c>
    </row>
    <row r="478" spans="1:7" x14ac:dyDescent="0.25">
      <c r="A478" t="s">
        <v>141</v>
      </c>
      <c r="B478" t="s">
        <v>11</v>
      </c>
      <c r="C478" t="s">
        <v>935</v>
      </c>
      <c r="D478" t="s">
        <v>15</v>
      </c>
      <c r="E478" s="201">
        <v>5.6627218934911197</v>
      </c>
      <c r="F478" s="106">
        <v>1.38</v>
      </c>
      <c r="G478" s="106">
        <v>7.8145562130177497</v>
      </c>
    </row>
    <row r="479" spans="1:7" x14ac:dyDescent="0.25">
      <c r="A479" t="s">
        <v>141</v>
      </c>
      <c r="B479" t="s">
        <v>11</v>
      </c>
      <c r="C479" t="s">
        <v>1025</v>
      </c>
      <c r="D479" t="s">
        <v>15</v>
      </c>
      <c r="E479" s="201">
        <v>0.59171597633136097</v>
      </c>
      <c r="F479" s="106">
        <v>1.63</v>
      </c>
      <c r="G479" s="106">
        <v>0.96449704142011805</v>
      </c>
    </row>
    <row r="480" spans="1:7" x14ac:dyDescent="0.25">
      <c r="A480" t="s">
        <v>141</v>
      </c>
      <c r="B480" t="s">
        <v>11</v>
      </c>
      <c r="C480" t="s">
        <v>1033</v>
      </c>
      <c r="D480" t="s">
        <v>15</v>
      </c>
      <c r="E480" s="201">
        <v>1.29585798816568</v>
      </c>
      <c r="F480" s="106">
        <v>2.06</v>
      </c>
      <c r="G480" s="106">
        <v>2.6694674556212998</v>
      </c>
    </row>
    <row r="481" spans="1:7" x14ac:dyDescent="0.25">
      <c r="A481" t="s">
        <v>141</v>
      </c>
      <c r="B481" t="s">
        <v>5</v>
      </c>
      <c r="C481" t="s">
        <v>125</v>
      </c>
      <c r="D481" t="s">
        <v>88</v>
      </c>
      <c r="E481" s="201">
        <v>1</v>
      </c>
      <c r="F481" s="106">
        <v>880</v>
      </c>
      <c r="G481" s="106">
        <v>880</v>
      </c>
    </row>
    <row r="482" spans="1:7" x14ac:dyDescent="0.25">
      <c r="A482" t="s">
        <v>141</v>
      </c>
      <c r="B482" t="s">
        <v>2</v>
      </c>
      <c r="C482" t="s">
        <v>328</v>
      </c>
      <c r="D482" t="s">
        <v>78</v>
      </c>
      <c r="E482" s="201">
        <v>5.32544378698225</v>
      </c>
      <c r="F482" s="106">
        <v>22</v>
      </c>
      <c r="G482" s="106">
        <v>117.15976331360901</v>
      </c>
    </row>
    <row r="483" spans="1:7" x14ac:dyDescent="0.25">
      <c r="A483" t="s">
        <v>141</v>
      </c>
      <c r="B483" t="s">
        <v>2</v>
      </c>
      <c r="C483" t="s">
        <v>563</v>
      </c>
      <c r="D483" t="s">
        <v>564</v>
      </c>
      <c r="E483" s="201">
        <v>1.1834319526627199</v>
      </c>
      <c r="F483" s="106">
        <v>35</v>
      </c>
      <c r="G483" s="106">
        <v>41.420118343195298</v>
      </c>
    </row>
    <row r="484" spans="1:7" x14ac:dyDescent="0.25">
      <c r="A484" t="s">
        <v>124</v>
      </c>
      <c r="B484" t="s">
        <v>11</v>
      </c>
      <c r="C484" t="s">
        <v>832</v>
      </c>
      <c r="D484" t="s">
        <v>15</v>
      </c>
      <c r="E484" s="201">
        <v>0.93989611674499096</v>
      </c>
      <c r="F484" s="106">
        <v>0.3</v>
      </c>
      <c r="G484" s="106">
        <v>0.28196883502349701</v>
      </c>
    </row>
    <row r="485" spans="1:7" x14ac:dyDescent="0.25">
      <c r="A485" t="s">
        <v>124</v>
      </c>
      <c r="B485" t="s">
        <v>2</v>
      </c>
      <c r="C485" t="s">
        <v>523</v>
      </c>
      <c r="D485" t="s">
        <v>122</v>
      </c>
      <c r="E485" s="201">
        <v>1</v>
      </c>
      <c r="F485" s="106">
        <v>36.43</v>
      </c>
      <c r="G485" s="106">
        <v>36.43</v>
      </c>
    </row>
    <row r="486" spans="1:7" x14ac:dyDescent="0.25">
      <c r="A486" t="s">
        <v>124</v>
      </c>
      <c r="B486" t="s">
        <v>2</v>
      </c>
      <c r="C486" t="s">
        <v>1219</v>
      </c>
      <c r="D486" t="s">
        <v>78</v>
      </c>
      <c r="E486" s="201">
        <v>0.820183032401682</v>
      </c>
      <c r="F486" s="106">
        <v>22.428750000000001</v>
      </c>
      <c r="G486" s="106">
        <v>18.395680187979199</v>
      </c>
    </row>
    <row r="487" spans="1:7" x14ac:dyDescent="0.25">
      <c r="A487" t="s">
        <v>112</v>
      </c>
      <c r="B487" t="s">
        <v>11</v>
      </c>
      <c r="C487" t="s">
        <v>693</v>
      </c>
      <c r="D487" t="s">
        <v>15</v>
      </c>
      <c r="E487" s="201">
        <v>0.5</v>
      </c>
      <c r="F487" s="106">
        <v>1.18</v>
      </c>
      <c r="G487" s="106">
        <v>0.59</v>
      </c>
    </row>
    <row r="488" spans="1:7" x14ac:dyDescent="0.25">
      <c r="A488" t="s">
        <v>112</v>
      </c>
      <c r="B488" t="s">
        <v>11</v>
      </c>
      <c r="C488" t="s">
        <v>715</v>
      </c>
      <c r="D488" t="s">
        <v>15</v>
      </c>
      <c r="E488" s="201">
        <v>1</v>
      </c>
      <c r="F488" s="106">
        <v>137.95500000000001</v>
      </c>
      <c r="G488" s="106">
        <v>137.95500000000001</v>
      </c>
    </row>
    <row r="489" spans="1:7" x14ac:dyDescent="0.25">
      <c r="A489" t="s">
        <v>112</v>
      </c>
      <c r="B489" t="s">
        <v>11</v>
      </c>
      <c r="C489" t="s">
        <v>723</v>
      </c>
      <c r="D489" t="s">
        <v>15</v>
      </c>
      <c r="E489" s="201">
        <v>6.1590063687087904</v>
      </c>
      <c r="F489" s="106">
        <v>1.5633333333333299</v>
      </c>
      <c r="G489" s="106">
        <v>9.6285799564147396</v>
      </c>
    </row>
    <row r="490" spans="1:7" x14ac:dyDescent="0.25">
      <c r="A490" t="s">
        <v>112</v>
      </c>
      <c r="B490" t="s">
        <v>11</v>
      </c>
      <c r="C490" t="s">
        <v>725</v>
      </c>
      <c r="D490" t="s">
        <v>15</v>
      </c>
      <c r="E490" s="201">
        <v>1</v>
      </c>
      <c r="F490" s="106">
        <v>17.085000000000001</v>
      </c>
      <c r="G490" s="106">
        <v>17.085000000000001</v>
      </c>
    </row>
    <row r="491" spans="1:7" x14ac:dyDescent="0.25">
      <c r="A491" t="s">
        <v>112</v>
      </c>
      <c r="B491" t="s">
        <v>11</v>
      </c>
      <c r="C491" t="s">
        <v>762</v>
      </c>
      <c r="D491" t="s">
        <v>149</v>
      </c>
      <c r="E491" s="201">
        <v>100</v>
      </c>
      <c r="F491" s="106">
        <v>50.155000000000001</v>
      </c>
      <c r="G491" s="106">
        <v>5015.5</v>
      </c>
    </row>
    <row r="492" spans="1:7" x14ac:dyDescent="0.25">
      <c r="A492" t="s">
        <v>112</v>
      </c>
      <c r="B492" t="s">
        <v>11</v>
      </c>
      <c r="C492" t="s">
        <v>103</v>
      </c>
      <c r="D492" t="s">
        <v>102</v>
      </c>
      <c r="E492" s="201">
        <v>15</v>
      </c>
      <c r="F492" s="106">
        <v>0.28999999999999998</v>
      </c>
      <c r="G492" s="106">
        <v>4.3499999999999996</v>
      </c>
    </row>
    <row r="493" spans="1:7" x14ac:dyDescent="0.25">
      <c r="A493" t="s">
        <v>112</v>
      </c>
      <c r="B493" t="s">
        <v>11</v>
      </c>
      <c r="C493" t="s">
        <v>766</v>
      </c>
      <c r="D493" t="s">
        <v>15</v>
      </c>
      <c r="E493" s="201">
        <v>0</v>
      </c>
      <c r="F493" s="106">
        <v>1.34</v>
      </c>
      <c r="G493" s="106">
        <v>0</v>
      </c>
    </row>
    <row r="494" spans="1:7" x14ac:dyDescent="0.25">
      <c r="A494" t="s">
        <v>112</v>
      </c>
      <c r="B494" t="s">
        <v>11</v>
      </c>
      <c r="C494" t="s">
        <v>773</v>
      </c>
      <c r="D494" t="s">
        <v>15</v>
      </c>
      <c r="E494" s="201">
        <v>1</v>
      </c>
      <c r="F494" s="106">
        <v>3.6</v>
      </c>
      <c r="G494" s="106">
        <v>3.6</v>
      </c>
    </row>
    <row r="495" spans="1:7" x14ac:dyDescent="0.25">
      <c r="A495" t="s">
        <v>112</v>
      </c>
      <c r="B495" t="s">
        <v>11</v>
      </c>
      <c r="C495" t="s">
        <v>781</v>
      </c>
      <c r="D495" t="s">
        <v>15</v>
      </c>
      <c r="E495" s="201">
        <v>1</v>
      </c>
      <c r="F495" s="106">
        <v>60.465000000000003</v>
      </c>
      <c r="G495" s="106">
        <v>60.465000000000003</v>
      </c>
    </row>
    <row r="496" spans="1:7" x14ac:dyDescent="0.25">
      <c r="A496" t="s">
        <v>112</v>
      </c>
      <c r="B496" t="s">
        <v>11</v>
      </c>
      <c r="C496" t="s">
        <v>830</v>
      </c>
      <c r="D496" t="s">
        <v>15</v>
      </c>
      <c r="E496" s="201">
        <v>0</v>
      </c>
      <c r="F496" s="106">
        <v>40.57</v>
      </c>
      <c r="G496" s="106">
        <v>0</v>
      </c>
    </row>
    <row r="497" spans="1:7" x14ac:dyDescent="0.25">
      <c r="A497" t="s">
        <v>112</v>
      </c>
      <c r="B497" t="s">
        <v>11</v>
      </c>
      <c r="C497" t="s">
        <v>840</v>
      </c>
      <c r="D497" t="s">
        <v>15</v>
      </c>
      <c r="E497" s="201">
        <v>0.5</v>
      </c>
      <c r="F497" s="106">
        <v>1.86</v>
      </c>
      <c r="G497" s="106">
        <v>0.93</v>
      </c>
    </row>
    <row r="498" spans="1:7" x14ac:dyDescent="0.25">
      <c r="A498" t="s">
        <v>112</v>
      </c>
      <c r="B498" t="s">
        <v>11</v>
      </c>
      <c r="C498" t="s">
        <v>859</v>
      </c>
      <c r="D498" t="s">
        <v>15</v>
      </c>
      <c r="E498" s="201">
        <v>7</v>
      </c>
      <c r="F498" s="106">
        <v>1.45</v>
      </c>
      <c r="G498" s="106">
        <v>10.15</v>
      </c>
    </row>
    <row r="499" spans="1:7" x14ac:dyDescent="0.25">
      <c r="A499" t="s">
        <v>112</v>
      </c>
      <c r="B499" t="s">
        <v>11</v>
      </c>
      <c r="C499" t="s">
        <v>861</v>
      </c>
      <c r="D499" t="s">
        <v>15</v>
      </c>
      <c r="E499" s="201">
        <v>0.5</v>
      </c>
      <c r="F499" s="106">
        <v>74.81</v>
      </c>
      <c r="G499" s="106">
        <v>37.405000000000001</v>
      </c>
    </row>
    <row r="500" spans="1:7" x14ac:dyDescent="0.25">
      <c r="A500" t="s">
        <v>112</v>
      </c>
      <c r="B500" t="s">
        <v>11</v>
      </c>
      <c r="C500" t="s">
        <v>899</v>
      </c>
      <c r="D500" t="s">
        <v>15</v>
      </c>
      <c r="E500" s="201">
        <v>0.5</v>
      </c>
      <c r="F500" s="106">
        <v>4.1749999999999998</v>
      </c>
      <c r="G500" s="106">
        <v>2.0874999999999999</v>
      </c>
    </row>
    <row r="501" spans="1:7" x14ac:dyDescent="0.25">
      <c r="A501" t="s">
        <v>112</v>
      </c>
      <c r="B501" t="s">
        <v>11</v>
      </c>
      <c r="C501" t="s">
        <v>98</v>
      </c>
      <c r="D501" t="s">
        <v>3</v>
      </c>
      <c r="E501" s="201">
        <v>62.5</v>
      </c>
      <c r="F501" s="106">
        <v>0.72499999999999998</v>
      </c>
      <c r="G501" s="106">
        <v>45.3125</v>
      </c>
    </row>
    <row r="502" spans="1:7" x14ac:dyDescent="0.25">
      <c r="A502" t="s">
        <v>112</v>
      </c>
      <c r="B502" t="s">
        <v>11</v>
      </c>
      <c r="C502" t="s">
        <v>932</v>
      </c>
      <c r="D502" t="s">
        <v>15</v>
      </c>
      <c r="E502" s="201">
        <v>4</v>
      </c>
      <c r="F502" s="106">
        <v>6.9649999999999999</v>
      </c>
      <c r="G502" s="106">
        <v>27.86</v>
      </c>
    </row>
    <row r="503" spans="1:7" x14ac:dyDescent="0.25">
      <c r="A503" t="s">
        <v>112</v>
      </c>
      <c r="B503" t="s">
        <v>11</v>
      </c>
      <c r="C503" t="s">
        <v>949</v>
      </c>
      <c r="D503" t="s">
        <v>15</v>
      </c>
      <c r="E503" s="201">
        <v>0</v>
      </c>
      <c r="F503" s="106">
        <v>7.97</v>
      </c>
      <c r="G503" s="106">
        <v>0</v>
      </c>
    </row>
    <row r="504" spans="1:7" x14ac:dyDescent="0.25">
      <c r="A504" t="s">
        <v>112</v>
      </c>
      <c r="B504" t="s">
        <v>11</v>
      </c>
      <c r="C504" t="s">
        <v>94</v>
      </c>
      <c r="D504" t="s">
        <v>15</v>
      </c>
      <c r="E504" s="201">
        <v>0.5</v>
      </c>
      <c r="F504" s="106">
        <v>10.67</v>
      </c>
      <c r="G504" s="106">
        <v>5.335</v>
      </c>
    </row>
    <row r="505" spans="1:7" x14ac:dyDescent="0.25">
      <c r="A505" t="s">
        <v>112</v>
      </c>
      <c r="B505" t="s">
        <v>11</v>
      </c>
      <c r="C505" t="s">
        <v>93</v>
      </c>
      <c r="D505" t="s">
        <v>15</v>
      </c>
      <c r="E505" s="201">
        <v>0.5</v>
      </c>
      <c r="F505" s="106">
        <v>198.61500000000001</v>
      </c>
      <c r="G505" s="106">
        <v>99.307500000000005</v>
      </c>
    </row>
    <row r="506" spans="1:7" x14ac:dyDescent="0.25">
      <c r="A506" t="s">
        <v>112</v>
      </c>
      <c r="B506" t="s">
        <v>11</v>
      </c>
      <c r="C506" t="s">
        <v>1014</v>
      </c>
      <c r="D506" t="s">
        <v>15</v>
      </c>
      <c r="E506" s="201">
        <v>2.06360254748351</v>
      </c>
      <c r="F506" s="106">
        <v>0.85</v>
      </c>
      <c r="G506" s="106">
        <v>1.75406216536099</v>
      </c>
    </row>
    <row r="507" spans="1:7" x14ac:dyDescent="0.25">
      <c r="A507" t="s">
        <v>112</v>
      </c>
      <c r="B507" t="s">
        <v>11</v>
      </c>
      <c r="C507" t="s">
        <v>570</v>
      </c>
      <c r="D507" t="s">
        <v>15</v>
      </c>
      <c r="E507" s="201">
        <v>1</v>
      </c>
      <c r="F507" s="106">
        <v>177.44</v>
      </c>
      <c r="G507" s="106">
        <v>177.44</v>
      </c>
    </row>
    <row r="508" spans="1:7" x14ac:dyDescent="0.25">
      <c r="A508" t="s">
        <v>112</v>
      </c>
      <c r="B508" t="s">
        <v>11</v>
      </c>
      <c r="C508" t="s">
        <v>92</v>
      </c>
      <c r="D508" t="s">
        <v>15</v>
      </c>
      <c r="E508" s="201">
        <v>1</v>
      </c>
      <c r="F508" s="106">
        <v>12.494999999999999</v>
      </c>
      <c r="G508" s="106">
        <v>12.494999999999999</v>
      </c>
    </row>
    <row r="509" spans="1:7" x14ac:dyDescent="0.25">
      <c r="A509" t="s">
        <v>112</v>
      </c>
      <c r="B509" t="s">
        <v>11</v>
      </c>
      <c r="C509" t="s">
        <v>91</v>
      </c>
      <c r="D509" t="s">
        <v>15</v>
      </c>
      <c r="E509" s="201">
        <v>1.5</v>
      </c>
      <c r="F509" s="106">
        <v>7.09</v>
      </c>
      <c r="G509" s="106">
        <v>10.635</v>
      </c>
    </row>
    <row r="510" spans="1:7" x14ac:dyDescent="0.25">
      <c r="A510" t="s">
        <v>112</v>
      </c>
      <c r="B510" t="s">
        <v>11</v>
      </c>
      <c r="C510" t="s">
        <v>1031</v>
      </c>
      <c r="D510" t="s">
        <v>15</v>
      </c>
      <c r="E510" s="201">
        <v>7.5</v>
      </c>
      <c r="F510" s="106">
        <v>2.21</v>
      </c>
      <c r="G510" s="106">
        <v>16.574999999999999</v>
      </c>
    </row>
    <row r="511" spans="1:7" x14ac:dyDescent="0.25">
      <c r="A511" t="s">
        <v>112</v>
      </c>
      <c r="B511" t="s">
        <v>11</v>
      </c>
      <c r="C511" t="s">
        <v>1040</v>
      </c>
      <c r="D511" t="s">
        <v>15</v>
      </c>
      <c r="E511" s="201">
        <v>1.06360254748351</v>
      </c>
      <c r="F511" s="106">
        <v>0.68</v>
      </c>
      <c r="G511" s="106">
        <v>0.72324973228878997</v>
      </c>
    </row>
    <row r="512" spans="1:7" x14ac:dyDescent="0.25">
      <c r="A512" t="s">
        <v>112</v>
      </c>
      <c r="B512" t="s">
        <v>11</v>
      </c>
      <c r="C512" t="s">
        <v>1059</v>
      </c>
      <c r="D512" t="s">
        <v>15</v>
      </c>
      <c r="E512" s="201">
        <v>3</v>
      </c>
      <c r="F512" s="106">
        <v>9.3350000000000009</v>
      </c>
      <c r="G512" s="106">
        <v>28.004999999999999</v>
      </c>
    </row>
    <row r="513" spans="1:7" x14ac:dyDescent="0.25">
      <c r="A513" t="s">
        <v>112</v>
      </c>
      <c r="B513" t="s">
        <v>2</v>
      </c>
      <c r="C513" t="s">
        <v>1228</v>
      </c>
      <c r="D513" t="s">
        <v>88</v>
      </c>
      <c r="E513" s="201">
        <v>1</v>
      </c>
      <c r="F513" s="106">
        <v>28.28</v>
      </c>
      <c r="G513" s="106">
        <v>28.28</v>
      </c>
    </row>
    <row r="514" spans="1:7" x14ac:dyDescent="0.25">
      <c r="A514" t="s">
        <v>511</v>
      </c>
      <c r="B514" t="s">
        <v>11</v>
      </c>
      <c r="C514" t="s">
        <v>689</v>
      </c>
      <c r="D514" t="s">
        <v>15</v>
      </c>
      <c r="E514" s="201">
        <v>1</v>
      </c>
      <c r="F514" s="106">
        <v>6.25</v>
      </c>
      <c r="G514" s="106">
        <v>6.25</v>
      </c>
    </row>
    <row r="515" spans="1:7" x14ac:dyDescent="0.25">
      <c r="A515" t="s">
        <v>511</v>
      </c>
      <c r="B515" t="s">
        <v>11</v>
      </c>
      <c r="C515" t="s">
        <v>876</v>
      </c>
      <c r="D515" t="s">
        <v>23</v>
      </c>
      <c r="E515" s="201">
        <v>14.17</v>
      </c>
      <c r="F515" s="106">
        <v>2.14</v>
      </c>
      <c r="G515" s="106">
        <v>30.323799999999999</v>
      </c>
    </row>
    <row r="516" spans="1:7" x14ac:dyDescent="0.25">
      <c r="A516" t="s">
        <v>511</v>
      </c>
      <c r="B516" t="s">
        <v>2</v>
      </c>
      <c r="C516" t="s">
        <v>1178</v>
      </c>
      <c r="D516" t="s">
        <v>410</v>
      </c>
      <c r="E516" s="201">
        <v>1</v>
      </c>
      <c r="F516" s="106">
        <v>44.64</v>
      </c>
      <c r="G516" s="106">
        <v>44.64</v>
      </c>
    </row>
    <row r="517" spans="1:7" x14ac:dyDescent="0.25">
      <c r="A517" t="s">
        <v>513</v>
      </c>
      <c r="B517" t="s">
        <v>5</v>
      </c>
      <c r="C517" t="s">
        <v>515</v>
      </c>
      <c r="D517" t="s">
        <v>84</v>
      </c>
      <c r="E517" s="201">
        <v>1</v>
      </c>
      <c r="F517" s="106">
        <v>35</v>
      </c>
      <c r="G517" s="106">
        <v>35</v>
      </c>
    </row>
    <row r="518" spans="1:7" x14ac:dyDescent="0.25">
      <c r="A518" t="s">
        <v>82</v>
      </c>
      <c r="B518" t="s">
        <v>5</v>
      </c>
      <c r="C518" t="s">
        <v>1155</v>
      </c>
      <c r="D518" t="s">
        <v>130</v>
      </c>
      <c r="E518" s="201">
        <v>1</v>
      </c>
      <c r="F518" s="106">
        <v>0.7</v>
      </c>
      <c r="G518" s="106">
        <v>0.7</v>
      </c>
    </row>
    <row r="519" spans="1:7" x14ac:dyDescent="0.25">
      <c r="A519" t="s">
        <v>82</v>
      </c>
      <c r="B519" t="s">
        <v>2</v>
      </c>
      <c r="C519" t="s">
        <v>1219</v>
      </c>
      <c r="D519" t="s">
        <v>78</v>
      </c>
      <c r="E519" s="201">
        <v>2.2797418630751999E-2</v>
      </c>
      <c r="F519" s="106">
        <v>22.428750000000001</v>
      </c>
      <c r="G519" s="106">
        <v>0.51131760311447805</v>
      </c>
    </row>
    <row r="520" spans="1:7" x14ac:dyDescent="0.25">
      <c r="A520" t="s">
        <v>77</v>
      </c>
      <c r="B520" t="s">
        <v>11</v>
      </c>
      <c r="C520" t="s">
        <v>822</v>
      </c>
      <c r="D520" t="s">
        <v>30</v>
      </c>
      <c r="E520" s="201">
        <v>7.3426573426573397E-2</v>
      </c>
      <c r="F520" s="106">
        <v>2.0827777777777801</v>
      </c>
      <c r="G520" s="106">
        <v>0.15293123543123499</v>
      </c>
    </row>
    <row r="521" spans="1:7" x14ac:dyDescent="0.25">
      <c r="A521" t="s">
        <v>77</v>
      </c>
      <c r="B521" t="s">
        <v>5</v>
      </c>
      <c r="C521" t="s">
        <v>75</v>
      </c>
      <c r="D521" t="s">
        <v>130</v>
      </c>
      <c r="E521" s="201">
        <v>1</v>
      </c>
      <c r="F521" s="106">
        <v>0.72</v>
      </c>
      <c r="G521" s="106">
        <v>0.72</v>
      </c>
    </row>
    <row r="522" spans="1:7" x14ac:dyDescent="0.25">
      <c r="A522" t="s">
        <v>74</v>
      </c>
      <c r="B522" t="s">
        <v>11</v>
      </c>
      <c r="C522" t="s">
        <v>788</v>
      </c>
      <c r="D522" t="s">
        <v>8</v>
      </c>
      <c r="E522" s="201">
        <v>0.46620046620046601</v>
      </c>
      <c r="F522" s="106">
        <v>6.7489472778273596</v>
      </c>
      <c r="G522" s="106">
        <v>3.1463623672854801</v>
      </c>
    </row>
    <row r="523" spans="1:7" x14ac:dyDescent="0.25">
      <c r="A523" t="s">
        <v>74</v>
      </c>
      <c r="B523" t="s">
        <v>11</v>
      </c>
      <c r="C523" t="s">
        <v>832</v>
      </c>
      <c r="D523" t="s">
        <v>15</v>
      </c>
      <c r="E523" s="201">
        <v>0.80128205128205099</v>
      </c>
      <c r="F523" s="106">
        <v>0.3</v>
      </c>
      <c r="G523" s="106">
        <v>0.240384615384615</v>
      </c>
    </row>
    <row r="524" spans="1:7" x14ac:dyDescent="0.25">
      <c r="A524" t="s">
        <v>74</v>
      </c>
      <c r="B524" t="s">
        <v>11</v>
      </c>
      <c r="C524" t="s">
        <v>889</v>
      </c>
      <c r="D524" t="s">
        <v>6</v>
      </c>
      <c r="E524" s="201">
        <v>3.2051282051282097E-2</v>
      </c>
      <c r="F524" s="106">
        <v>12.5391666666667</v>
      </c>
      <c r="G524" s="106">
        <v>0.40189636752136798</v>
      </c>
    </row>
    <row r="525" spans="1:7" x14ac:dyDescent="0.25">
      <c r="A525" t="s">
        <v>74</v>
      </c>
      <c r="B525" t="s">
        <v>11</v>
      </c>
      <c r="C525" t="s">
        <v>603</v>
      </c>
      <c r="D525" t="s">
        <v>6</v>
      </c>
      <c r="E525" s="201">
        <v>3.7296037296037303E-2</v>
      </c>
      <c r="F525" s="106">
        <v>14.5475745234298</v>
      </c>
      <c r="G525" s="106">
        <v>0.54256688199271896</v>
      </c>
    </row>
    <row r="526" spans="1:7" x14ac:dyDescent="0.25">
      <c r="A526" t="s">
        <v>74</v>
      </c>
      <c r="B526" t="s">
        <v>11</v>
      </c>
      <c r="C526" t="s">
        <v>1051</v>
      </c>
      <c r="D526" t="s">
        <v>71</v>
      </c>
      <c r="E526" s="201">
        <v>0.116550116550117</v>
      </c>
      <c r="F526" s="106">
        <v>16.299673913043499</v>
      </c>
      <c r="G526" s="106">
        <v>1.89972889429411</v>
      </c>
    </row>
    <row r="527" spans="1:7" x14ac:dyDescent="0.25">
      <c r="A527" t="s">
        <v>74</v>
      </c>
      <c r="B527" t="s">
        <v>5</v>
      </c>
      <c r="C527" t="s">
        <v>70</v>
      </c>
      <c r="D527" t="s">
        <v>130</v>
      </c>
      <c r="E527" s="201">
        <v>1</v>
      </c>
      <c r="F527" s="106">
        <v>0.7</v>
      </c>
      <c r="G527" s="106">
        <v>0.7</v>
      </c>
    </row>
    <row r="528" spans="1:7" x14ac:dyDescent="0.25">
      <c r="A528" t="s">
        <v>69</v>
      </c>
      <c r="B528" t="s">
        <v>11</v>
      </c>
      <c r="C528" t="s">
        <v>777</v>
      </c>
      <c r="D528" t="s">
        <v>15</v>
      </c>
      <c r="E528" s="201">
        <v>0.128205128205128</v>
      </c>
      <c r="F528" s="106">
        <v>1.131875</v>
      </c>
      <c r="G528" s="106">
        <v>0.145112179487179</v>
      </c>
    </row>
    <row r="529" spans="1:7" x14ac:dyDescent="0.25">
      <c r="A529" t="s">
        <v>69</v>
      </c>
      <c r="B529" t="s">
        <v>11</v>
      </c>
      <c r="C529" t="s">
        <v>779</v>
      </c>
      <c r="D529" t="s">
        <v>15</v>
      </c>
      <c r="E529" s="201">
        <v>0.16025641025640999</v>
      </c>
      <c r="F529" s="106">
        <v>1.1339999999999999</v>
      </c>
      <c r="G529" s="106">
        <v>0.181730769230769</v>
      </c>
    </row>
    <row r="530" spans="1:7" x14ac:dyDescent="0.25">
      <c r="A530" t="s">
        <v>69</v>
      </c>
      <c r="B530" t="s">
        <v>11</v>
      </c>
      <c r="C530" t="s">
        <v>788</v>
      </c>
      <c r="D530" t="s">
        <v>8</v>
      </c>
      <c r="E530" s="201">
        <v>0.99358974358974395</v>
      </c>
      <c r="F530" s="106">
        <v>6.7489472778273596</v>
      </c>
      <c r="G530" s="106">
        <v>6.7056847952771896</v>
      </c>
    </row>
    <row r="531" spans="1:7" x14ac:dyDescent="0.25">
      <c r="A531" t="s">
        <v>69</v>
      </c>
      <c r="B531" t="s">
        <v>11</v>
      </c>
      <c r="C531" t="s">
        <v>836</v>
      </c>
      <c r="D531" t="s">
        <v>15</v>
      </c>
      <c r="E531" s="201">
        <v>0.32051282051282098</v>
      </c>
      <c r="F531" s="106">
        <v>2.15</v>
      </c>
      <c r="G531" s="106">
        <v>0.68910256410256399</v>
      </c>
    </row>
    <row r="532" spans="1:7" x14ac:dyDescent="0.25">
      <c r="A532" t="s">
        <v>69</v>
      </c>
      <c r="B532" t="s">
        <v>11</v>
      </c>
      <c r="C532" t="s">
        <v>849</v>
      </c>
      <c r="D532" t="s">
        <v>15</v>
      </c>
      <c r="E532" s="201">
        <v>3.2051282051282097E-2</v>
      </c>
      <c r="F532" s="106">
        <v>4.8216666666666699</v>
      </c>
      <c r="G532" s="106">
        <v>0.15454059829059799</v>
      </c>
    </row>
    <row r="533" spans="1:7" x14ac:dyDescent="0.25">
      <c r="A533" t="s">
        <v>69</v>
      </c>
      <c r="B533" t="s">
        <v>11</v>
      </c>
      <c r="C533" t="s">
        <v>407</v>
      </c>
      <c r="D533" t="s">
        <v>15</v>
      </c>
      <c r="E533" s="201">
        <v>1.6025641025641E-2</v>
      </c>
      <c r="F533" s="106">
        <v>2.4041666666666699</v>
      </c>
      <c r="G533" s="106">
        <v>3.8528311965811898E-2</v>
      </c>
    </row>
    <row r="534" spans="1:7" x14ac:dyDescent="0.25">
      <c r="A534" t="s">
        <v>69</v>
      </c>
      <c r="B534" t="s">
        <v>11</v>
      </c>
      <c r="C534" t="s">
        <v>889</v>
      </c>
      <c r="D534" t="s">
        <v>6</v>
      </c>
      <c r="E534" s="201">
        <v>3.2051282051282097E-2</v>
      </c>
      <c r="F534" s="106">
        <v>12.5391666666667</v>
      </c>
      <c r="G534" s="106">
        <v>0.40189636752136798</v>
      </c>
    </row>
    <row r="535" spans="1:7" x14ac:dyDescent="0.25">
      <c r="A535" t="s">
        <v>69</v>
      </c>
      <c r="B535" t="s">
        <v>11</v>
      </c>
      <c r="C535" t="s">
        <v>960</v>
      </c>
      <c r="D535" t="s">
        <v>15</v>
      </c>
      <c r="E535" s="201">
        <v>1.6025641025641E-2</v>
      </c>
      <c r="F535" s="106">
        <v>9.82</v>
      </c>
      <c r="G535" s="106">
        <v>0.15737179487179501</v>
      </c>
    </row>
    <row r="536" spans="1:7" x14ac:dyDescent="0.25">
      <c r="A536" t="s">
        <v>69</v>
      </c>
      <c r="B536" t="s">
        <v>11</v>
      </c>
      <c r="C536" t="s">
        <v>603</v>
      </c>
      <c r="D536" t="s">
        <v>6</v>
      </c>
      <c r="E536" s="201">
        <v>0.138461538461538</v>
      </c>
      <c r="F536" s="106">
        <v>14.5475745234298</v>
      </c>
      <c r="G536" s="106">
        <v>2.0142795493979699</v>
      </c>
    </row>
    <row r="537" spans="1:7" x14ac:dyDescent="0.25">
      <c r="A537" t="s">
        <v>69</v>
      </c>
      <c r="B537" t="s">
        <v>11</v>
      </c>
      <c r="C537" t="s">
        <v>602</v>
      </c>
      <c r="D537" t="s">
        <v>6</v>
      </c>
      <c r="E537" s="201">
        <v>5.57692307692308E-2</v>
      </c>
      <c r="F537" s="106">
        <v>13.895122287420699</v>
      </c>
      <c r="G537" s="106">
        <v>0.77492028141384806</v>
      </c>
    </row>
    <row r="538" spans="1:7" x14ac:dyDescent="0.25">
      <c r="A538" t="s">
        <v>69</v>
      </c>
      <c r="B538" t="s">
        <v>11</v>
      </c>
      <c r="C538" t="s">
        <v>606</v>
      </c>
      <c r="D538" t="s">
        <v>15</v>
      </c>
      <c r="E538" s="201">
        <v>0.72115384615384603</v>
      </c>
      <c r="F538" s="106">
        <v>2.4034925925925901</v>
      </c>
      <c r="G538" s="106">
        <v>1.73328792735043</v>
      </c>
    </row>
    <row r="539" spans="1:7" x14ac:dyDescent="0.25">
      <c r="A539" t="s">
        <v>69</v>
      </c>
      <c r="B539" t="s">
        <v>11</v>
      </c>
      <c r="C539" t="s">
        <v>1038</v>
      </c>
      <c r="D539" t="s">
        <v>15</v>
      </c>
      <c r="E539" s="201">
        <v>6.4102564102564097E-2</v>
      </c>
      <c r="F539" s="106">
        <v>5.9124999999999996</v>
      </c>
      <c r="G539" s="106">
        <v>0.37900641025641002</v>
      </c>
    </row>
    <row r="540" spans="1:7" x14ac:dyDescent="0.25">
      <c r="A540" t="s">
        <v>69</v>
      </c>
      <c r="B540" t="s">
        <v>5</v>
      </c>
      <c r="C540" t="s">
        <v>517</v>
      </c>
      <c r="D540" t="s">
        <v>130</v>
      </c>
      <c r="E540" s="201">
        <v>1</v>
      </c>
      <c r="F540" s="106">
        <v>7</v>
      </c>
      <c r="G540" s="106">
        <v>7</v>
      </c>
    </row>
    <row r="541" spans="1:7" x14ac:dyDescent="0.25">
      <c r="A541" t="s">
        <v>69</v>
      </c>
      <c r="B541" t="s">
        <v>2</v>
      </c>
      <c r="C541" t="s">
        <v>1188</v>
      </c>
      <c r="D541" t="s">
        <v>15</v>
      </c>
      <c r="E541" s="201">
        <v>0.25176282051282101</v>
      </c>
      <c r="F541" s="106">
        <v>25</v>
      </c>
      <c r="G541" s="106">
        <v>6.2940705128205101</v>
      </c>
    </row>
    <row r="542" spans="1:7" x14ac:dyDescent="0.25">
      <c r="A542" t="s">
        <v>66</v>
      </c>
      <c r="B542" t="s">
        <v>11</v>
      </c>
      <c r="C542" t="s">
        <v>800</v>
      </c>
      <c r="D542" t="s">
        <v>15</v>
      </c>
      <c r="E542" s="201">
        <v>0.16025641025640999</v>
      </c>
      <c r="F542" s="106">
        <v>1.45</v>
      </c>
      <c r="G542" s="106">
        <v>0.23237179487179499</v>
      </c>
    </row>
    <row r="543" spans="1:7" x14ac:dyDescent="0.25">
      <c r="A543" t="s">
        <v>66</v>
      </c>
      <c r="B543" t="s">
        <v>11</v>
      </c>
      <c r="C543" t="s">
        <v>916</v>
      </c>
      <c r="D543" t="s">
        <v>15</v>
      </c>
      <c r="E543" s="201">
        <v>8.0128205128205093E-2</v>
      </c>
      <c r="F543" s="106">
        <v>1.4315370370370399</v>
      </c>
      <c r="G543" s="106">
        <v>0.11470649335232699</v>
      </c>
    </row>
    <row r="544" spans="1:7" x14ac:dyDescent="0.25">
      <c r="A544" t="s">
        <v>66</v>
      </c>
      <c r="B544" t="s">
        <v>11</v>
      </c>
      <c r="C544" t="s">
        <v>953</v>
      </c>
      <c r="D544" t="s">
        <v>15</v>
      </c>
      <c r="E544" s="201">
        <v>6.4102564102564097E-2</v>
      </c>
      <c r="F544" s="106">
        <v>9.5184999999999995</v>
      </c>
      <c r="G544" s="106">
        <v>0.61016025641025695</v>
      </c>
    </row>
    <row r="545" spans="1:7" x14ac:dyDescent="0.25">
      <c r="A545" t="s">
        <v>66</v>
      </c>
      <c r="B545" t="s">
        <v>11</v>
      </c>
      <c r="C545" t="s">
        <v>955</v>
      </c>
      <c r="D545" t="s">
        <v>15</v>
      </c>
      <c r="E545" s="201">
        <v>8.0128205128205093E-2</v>
      </c>
      <c r="F545" s="106">
        <v>2.3980000000000001</v>
      </c>
      <c r="G545" s="106">
        <v>0.19214743589743599</v>
      </c>
    </row>
    <row r="546" spans="1:7" x14ac:dyDescent="0.25">
      <c r="A546" t="s">
        <v>66</v>
      </c>
      <c r="B546" t="s">
        <v>11</v>
      </c>
      <c r="C546" t="s">
        <v>370</v>
      </c>
      <c r="D546" t="s">
        <v>144</v>
      </c>
      <c r="E546" s="201">
        <v>9.6153846153846194E-3</v>
      </c>
      <c r="F546" s="106">
        <v>67.681818181818201</v>
      </c>
      <c r="G546" s="106">
        <v>0.650786713286713</v>
      </c>
    </row>
    <row r="547" spans="1:7" x14ac:dyDescent="0.25">
      <c r="A547" t="s">
        <v>66</v>
      </c>
      <c r="B547" t="s">
        <v>5</v>
      </c>
      <c r="C547" t="s">
        <v>67</v>
      </c>
      <c r="D547" t="s">
        <v>130</v>
      </c>
      <c r="E547" s="201">
        <v>1</v>
      </c>
      <c r="F547" s="106">
        <v>0.36</v>
      </c>
      <c r="G547" s="106">
        <v>0.36</v>
      </c>
    </row>
    <row r="548" spans="1:7" x14ac:dyDescent="0.25">
      <c r="A548" t="s">
        <v>60</v>
      </c>
      <c r="B548" t="s">
        <v>11</v>
      </c>
      <c r="C548" t="s">
        <v>572</v>
      </c>
      <c r="D548" t="s">
        <v>15</v>
      </c>
      <c r="E548" s="201">
        <v>4.80769230769231E-2</v>
      </c>
      <c r="F548" s="106">
        <v>50.758333333333397</v>
      </c>
      <c r="G548" s="106">
        <v>2.4403044871794899</v>
      </c>
    </row>
    <row r="549" spans="1:7" x14ac:dyDescent="0.25">
      <c r="A549" t="s">
        <v>60</v>
      </c>
      <c r="B549" t="s">
        <v>11</v>
      </c>
      <c r="C549" t="s">
        <v>64</v>
      </c>
      <c r="D549" t="s">
        <v>15</v>
      </c>
      <c r="E549" s="201">
        <v>3.3653846153846201E-2</v>
      </c>
      <c r="F549" s="106">
        <v>50.794114583333297</v>
      </c>
      <c r="G549" s="106">
        <v>1.7094173177083301</v>
      </c>
    </row>
    <row r="550" spans="1:7" x14ac:dyDescent="0.25">
      <c r="A550" t="s">
        <v>60</v>
      </c>
      <c r="B550" t="s">
        <v>11</v>
      </c>
      <c r="C550" t="s">
        <v>1044</v>
      </c>
      <c r="D550" t="s">
        <v>62</v>
      </c>
      <c r="E550" s="201">
        <v>1.7094017094017099E-2</v>
      </c>
      <c r="F550" s="106">
        <v>8.1945999999999994</v>
      </c>
      <c r="G550" s="106">
        <v>0.140078632478632</v>
      </c>
    </row>
    <row r="551" spans="1:7" x14ac:dyDescent="0.25">
      <c r="A551" t="s">
        <v>60</v>
      </c>
      <c r="B551" t="s">
        <v>5</v>
      </c>
      <c r="C551" t="s">
        <v>61</v>
      </c>
      <c r="D551" t="s">
        <v>130</v>
      </c>
      <c r="E551" s="201">
        <v>1</v>
      </c>
      <c r="F551" s="106">
        <v>1.04</v>
      </c>
      <c r="G551" s="106">
        <v>1.04</v>
      </c>
    </row>
    <row r="552" spans="1:7" x14ac:dyDescent="0.25">
      <c r="A552" t="s">
        <v>40</v>
      </c>
      <c r="B552" t="s">
        <v>11</v>
      </c>
      <c r="C552" t="s">
        <v>785</v>
      </c>
      <c r="D552" t="s">
        <v>174</v>
      </c>
      <c r="E552" s="201">
        <v>0.27404768429706799</v>
      </c>
      <c r="F552" s="106">
        <v>6.6974999999999998</v>
      </c>
      <c r="G552" s="106">
        <v>1.8354343655796099</v>
      </c>
    </row>
    <row r="553" spans="1:7" x14ac:dyDescent="0.25">
      <c r="A553" t="s">
        <v>40</v>
      </c>
      <c r="B553" t="s">
        <v>11</v>
      </c>
      <c r="C553" t="s">
        <v>47</v>
      </c>
      <c r="D553" t="s">
        <v>6</v>
      </c>
      <c r="E553" s="201">
        <v>0.95916689503973696</v>
      </c>
      <c r="F553" s="106">
        <v>71</v>
      </c>
      <c r="G553" s="106">
        <v>68.100849547821298</v>
      </c>
    </row>
    <row r="554" spans="1:7" x14ac:dyDescent="0.25">
      <c r="A554" t="s">
        <v>40</v>
      </c>
      <c r="B554" t="s">
        <v>11</v>
      </c>
      <c r="C554" t="s">
        <v>953</v>
      </c>
      <c r="D554" t="s">
        <v>15</v>
      </c>
      <c r="E554" s="201">
        <v>0.27404768429706799</v>
      </c>
      <c r="F554" s="106">
        <v>9.5184999999999995</v>
      </c>
      <c r="G554" s="106">
        <v>2.60852288298164</v>
      </c>
    </row>
    <row r="555" spans="1:7" x14ac:dyDescent="0.25">
      <c r="A555" t="s">
        <v>40</v>
      </c>
      <c r="B555" t="s">
        <v>11</v>
      </c>
      <c r="C555" t="s">
        <v>967</v>
      </c>
      <c r="D555" t="s">
        <v>6</v>
      </c>
      <c r="E555" s="201">
        <v>5.4809536859413498E-2</v>
      </c>
      <c r="F555" s="106">
        <v>13.75</v>
      </c>
      <c r="G555" s="106">
        <v>0.75363113181693597</v>
      </c>
    </row>
    <row r="556" spans="1:7" x14ac:dyDescent="0.25">
      <c r="A556" t="s">
        <v>40</v>
      </c>
      <c r="B556" t="s">
        <v>11</v>
      </c>
      <c r="C556" t="s">
        <v>969</v>
      </c>
      <c r="D556" t="s">
        <v>6</v>
      </c>
      <c r="E556" s="201">
        <v>0.95916689503973696</v>
      </c>
      <c r="F556" s="106">
        <v>10</v>
      </c>
      <c r="G556" s="106">
        <v>9.59166895039737</v>
      </c>
    </row>
    <row r="557" spans="1:7" x14ac:dyDescent="0.25">
      <c r="A557" t="s">
        <v>40</v>
      </c>
      <c r="B557" t="s">
        <v>11</v>
      </c>
      <c r="C557" t="s">
        <v>1001</v>
      </c>
      <c r="D557" t="s">
        <v>15</v>
      </c>
      <c r="E557" s="201">
        <v>0.27404768429706799</v>
      </c>
      <c r="F557" s="106">
        <v>58.303333333333299</v>
      </c>
      <c r="G557" s="106">
        <v>15.977893486799999</v>
      </c>
    </row>
    <row r="558" spans="1:7" x14ac:dyDescent="0.25">
      <c r="A558" t="s">
        <v>40</v>
      </c>
      <c r="B558" t="s">
        <v>5</v>
      </c>
      <c r="C558" t="s">
        <v>591</v>
      </c>
      <c r="D558" t="s">
        <v>6</v>
      </c>
      <c r="E558" s="201">
        <v>1</v>
      </c>
      <c r="F558" s="106">
        <v>33</v>
      </c>
      <c r="G558" s="106">
        <v>33</v>
      </c>
    </row>
    <row r="559" spans="1:7" x14ac:dyDescent="0.25">
      <c r="A559" t="s">
        <v>40</v>
      </c>
      <c r="B559" t="s">
        <v>2</v>
      </c>
      <c r="C559" t="s">
        <v>1200</v>
      </c>
      <c r="D559" t="s">
        <v>15</v>
      </c>
      <c r="E559" s="201">
        <v>0.27404768429706799</v>
      </c>
      <c r="F559" s="106">
        <v>17.86</v>
      </c>
      <c r="G559" s="106">
        <v>4.8944916415456303</v>
      </c>
    </row>
    <row r="560" spans="1:7" x14ac:dyDescent="0.25">
      <c r="A560" t="s">
        <v>37</v>
      </c>
      <c r="B560" t="s">
        <v>5</v>
      </c>
      <c r="C560" t="s">
        <v>38</v>
      </c>
      <c r="D560" t="s">
        <v>130</v>
      </c>
      <c r="E560" s="201">
        <v>1</v>
      </c>
      <c r="F560" s="106">
        <v>2</v>
      </c>
      <c r="G560" s="106">
        <v>2</v>
      </c>
    </row>
    <row r="561" spans="1:7" x14ac:dyDescent="0.25">
      <c r="A561" t="s">
        <v>34</v>
      </c>
      <c r="B561" t="s">
        <v>11</v>
      </c>
      <c r="C561" t="s">
        <v>695</v>
      </c>
      <c r="D561" t="s">
        <v>3</v>
      </c>
      <c r="E561" s="201">
        <v>0.11520329994107199</v>
      </c>
      <c r="F561" s="106">
        <v>15.56</v>
      </c>
      <c r="G561" s="106">
        <v>1.79256334708309</v>
      </c>
    </row>
    <row r="562" spans="1:7" x14ac:dyDescent="0.25">
      <c r="A562" t="s">
        <v>34</v>
      </c>
      <c r="B562" t="s">
        <v>11</v>
      </c>
      <c r="C562" t="s">
        <v>533</v>
      </c>
      <c r="D562" t="s">
        <v>3</v>
      </c>
      <c r="E562" s="201">
        <v>0.175604007071302</v>
      </c>
      <c r="F562" s="106">
        <v>15.56</v>
      </c>
      <c r="G562" s="106">
        <v>2.73239835002946</v>
      </c>
    </row>
    <row r="563" spans="1:7" x14ac:dyDescent="0.25">
      <c r="A563" t="s">
        <v>34</v>
      </c>
      <c r="B563" t="s">
        <v>11</v>
      </c>
      <c r="C563" t="s">
        <v>699</v>
      </c>
      <c r="D563" t="s">
        <v>3</v>
      </c>
      <c r="E563" s="201">
        <v>0.25810253388332399</v>
      </c>
      <c r="F563" s="106">
        <v>15.56</v>
      </c>
      <c r="G563" s="106">
        <v>4.0160754272245098</v>
      </c>
    </row>
    <row r="564" spans="1:7" x14ac:dyDescent="0.25">
      <c r="A564" t="s">
        <v>34</v>
      </c>
      <c r="B564" t="s">
        <v>11</v>
      </c>
      <c r="C564" t="s">
        <v>851</v>
      </c>
      <c r="D564" t="s">
        <v>15</v>
      </c>
      <c r="E564" s="201">
        <v>2.94637595757219E-2</v>
      </c>
      <c r="F564" s="106">
        <v>7.3259999999999996</v>
      </c>
      <c r="G564" s="106">
        <v>0.215851502651738</v>
      </c>
    </row>
    <row r="565" spans="1:7" x14ac:dyDescent="0.25">
      <c r="A565" t="s">
        <v>34</v>
      </c>
      <c r="B565" t="s">
        <v>11</v>
      </c>
      <c r="C565" t="s">
        <v>603</v>
      </c>
      <c r="D565" t="s">
        <v>6</v>
      </c>
      <c r="E565" s="201">
        <v>1.47318797878609E-2</v>
      </c>
      <c r="F565" s="106">
        <v>14.5475745234298</v>
      </c>
      <c r="G565" s="106">
        <v>0.21431311908411599</v>
      </c>
    </row>
    <row r="566" spans="1:7" x14ac:dyDescent="0.25">
      <c r="A566" t="s">
        <v>34</v>
      </c>
      <c r="B566" t="s">
        <v>5</v>
      </c>
      <c r="C566" t="s">
        <v>35</v>
      </c>
      <c r="D566" t="s">
        <v>130</v>
      </c>
      <c r="E566" s="201">
        <v>1</v>
      </c>
      <c r="F566" s="106">
        <v>2.8</v>
      </c>
      <c r="G566" s="106">
        <v>2.8</v>
      </c>
    </row>
    <row r="567" spans="1:7" x14ac:dyDescent="0.25">
      <c r="A567" t="s">
        <v>34</v>
      </c>
      <c r="B567" t="s">
        <v>2</v>
      </c>
      <c r="C567" t="s">
        <v>1234</v>
      </c>
      <c r="D567" t="s">
        <v>15</v>
      </c>
      <c r="E567" s="201">
        <v>1.82675309369476E-2</v>
      </c>
      <c r="F567" s="106">
        <v>35</v>
      </c>
      <c r="G567" s="106">
        <v>0.63936358279316396</v>
      </c>
    </row>
    <row r="568" spans="1:7" x14ac:dyDescent="0.25">
      <c r="A568" t="s">
        <v>29</v>
      </c>
      <c r="B568" t="s">
        <v>11</v>
      </c>
      <c r="C568" t="s">
        <v>818</v>
      </c>
      <c r="D568" t="s">
        <v>30</v>
      </c>
      <c r="E568" s="201">
        <v>2.2901637467078899E-2</v>
      </c>
      <c r="F568" s="106">
        <v>1.84375</v>
      </c>
      <c r="G568" s="106">
        <v>4.2224894079926703E-2</v>
      </c>
    </row>
    <row r="569" spans="1:7" x14ac:dyDescent="0.25">
      <c r="A569" t="s">
        <v>29</v>
      </c>
      <c r="B569" t="s">
        <v>11</v>
      </c>
      <c r="C569" t="s">
        <v>822</v>
      </c>
      <c r="D569" t="s">
        <v>30</v>
      </c>
      <c r="E569" s="201">
        <v>1.1450818733539401E-2</v>
      </c>
      <c r="F569" s="106">
        <v>2.0827777777777801</v>
      </c>
      <c r="G569" s="106">
        <v>2.38495107955774E-2</v>
      </c>
    </row>
    <row r="570" spans="1:7" x14ac:dyDescent="0.25">
      <c r="A570" t="s">
        <v>29</v>
      </c>
      <c r="B570" t="s">
        <v>5</v>
      </c>
      <c r="C570" t="s">
        <v>27</v>
      </c>
      <c r="D570" t="s">
        <v>130</v>
      </c>
      <c r="E570" s="201">
        <v>1</v>
      </c>
      <c r="F570" s="106">
        <v>0.74</v>
      </c>
      <c r="G570" s="106">
        <v>0.74</v>
      </c>
    </row>
    <row r="571" spans="1:7" x14ac:dyDescent="0.25">
      <c r="A571" t="s">
        <v>26</v>
      </c>
      <c r="B571" t="s">
        <v>5</v>
      </c>
      <c r="C571" t="s">
        <v>27</v>
      </c>
      <c r="D571" t="s">
        <v>130</v>
      </c>
      <c r="E571" s="201">
        <v>1</v>
      </c>
      <c r="F571" s="106">
        <v>0.74</v>
      </c>
      <c r="G571" s="106">
        <v>0.74</v>
      </c>
    </row>
    <row r="572" spans="1:7" x14ac:dyDescent="0.25">
      <c r="A572" t="s">
        <v>518</v>
      </c>
      <c r="B572" t="s">
        <v>11</v>
      </c>
      <c r="C572" t="s">
        <v>876</v>
      </c>
      <c r="D572" t="s">
        <v>23</v>
      </c>
      <c r="E572" s="201">
        <v>1.1674060238150799E-2</v>
      </c>
      <c r="F572" s="106">
        <v>2.14</v>
      </c>
      <c r="G572" s="106">
        <v>2.4982488909642799E-2</v>
      </c>
    </row>
    <row r="573" spans="1:7" x14ac:dyDescent="0.25">
      <c r="A573" t="s">
        <v>518</v>
      </c>
      <c r="B573" t="s">
        <v>11</v>
      </c>
      <c r="C573" t="s">
        <v>889</v>
      </c>
      <c r="D573" t="s">
        <v>6</v>
      </c>
      <c r="E573" s="201">
        <v>0.18678496381041301</v>
      </c>
      <c r="F573" s="106">
        <v>12.5391666666667</v>
      </c>
      <c r="G573" s="106">
        <v>2.3421277920460701</v>
      </c>
    </row>
    <row r="574" spans="1:7" x14ac:dyDescent="0.25">
      <c r="A574" t="s">
        <v>518</v>
      </c>
      <c r="B574" t="s">
        <v>5</v>
      </c>
      <c r="C574" t="s">
        <v>21</v>
      </c>
      <c r="D574" t="s">
        <v>130</v>
      </c>
      <c r="E574" s="201">
        <v>1</v>
      </c>
      <c r="F574" s="106">
        <v>2</v>
      </c>
      <c r="G574" s="106">
        <v>2</v>
      </c>
    </row>
    <row r="575" spans="1:7" x14ac:dyDescent="0.25">
      <c r="A575" t="s">
        <v>518</v>
      </c>
      <c r="B575" t="s">
        <v>2</v>
      </c>
      <c r="C575" t="s">
        <v>1188</v>
      </c>
      <c r="D575" t="s">
        <v>15</v>
      </c>
      <c r="E575" s="201">
        <v>3.5022180714452497E-2</v>
      </c>
      <c r="F575" s="106">
        <v>25</v>
      </c>
      <c r="G575" s="106">
        <v>0.875554517861312</v>
      </c>
    </row>
    <row r="576" spans="1:7" x14ac:dyDescent="0.25">
      <c r="A576" t="s">
        <v>519</v>
      </c>
      <c r="B576" t="s">
        <v>11</v>
      </c>
      <c r="C576" t="s">
        <v>695</v>
      </c>
      <c r="D576" t="s">
        <v>3</v>
      </c>
      <c r="E576" s="201">
        <v>0.199406397713532</v>
      </c>
      <c r="F576" s="106">
        <v>15.56</v>
      </c>
      <c r="G576" s="106">
        <v>3.1027635484225602</v>
      </c>
    </row>
    <row r="577" spans="1:7" x14ac:dyDescent="0.25">
      <c r="A577" t="s">
        <v>519</v>
      </c>
      <c r="B577" t="s">
        <v>11</v>
      </c>
      <c r="C577" t="s">
        <v>533</v>
      </c>
      <c r="D577" t="s">
        <v>3</v>
      </c>
      <c r="E577" s="201">
        <v>0.32494228866659303</v>
      </c>
      <c r="F577" s="106">
        <v>15.56</v>
      </c>
      <c r="G577" s="106">
        <v>5.0561020116521904</v>
      </c>
    </row>
    <row r="578" spans="1:7" x14ac:dyDescent="0.25">
      <c r="A578" t="s">
        <v>519</v>
      </c>
      <c r="B578" t="s">
        <v>11</v>
      </c>
      <c r="C578" t="s">
        <v>699</v>
      </c>
      <c r="D578" t="s">
        <v>3</v>
      </c>
      <c r="E578" s="201">
        <v>0.44619105199516301</v>
      </c>
      <c r="F578" s="106">
        <v>15.56</v>
      </c>
      <c r="G578" s="106">
        <v>6.9427327690447402</v>
      </c>
    </row>
    <row r="579" spans="1:7" x14ac:dyDescent="0.25">
      <c r="A579" t="s">
        <v>519</v>
      </c>
      <c r="B579" t="s">
        <v>11</v>
      </c>
      <c r="C579" t="s">
        <v>851</v>
      </c>
      <c r="D579" t="s">
        <v>15</v>
      </c>
      <c r="E579" s="201">
        <v>1.0992634934593799E-2</v>
      </c>
      <c r="F579" s="106">
        <v>7.3259999999999996</v>
      </c>
      <c r="G579" s="106">
        <v>8.0532043530834305E-2</v>
      </c>
    </row>
    <row r="580" spans="1:7" x14ac:dyDescent="0.25">
      <c r="A580" t="s">
        <v>519</v>
      </c>
      <c r="B580" t="s">
        <v>11</v>
      </c>
      <c r="C580" t="s">
        <v>603</v>
      </c>
      <c r="D580" t="s">
        <v>6</v>
      </c>
      <c r="E580" s="201">
        <v>1.7368363196658201E-2</v>
      </c>
      <c r="F580" s="106">
        <v>14.5475745234298</v>
      </c>
      <c r="G580" s="106">
        <v>0.25266755795338097</v>
      </c>
    </row>
    <row r="581" spans="1:7" x14ac:dyDescent="0.25">
      <c r="A581" t="s">
        <v>519</v>
      </c>
      <c r="B581" t="s">
        <v>5</v>
      </c>
      <c r="C581" t="s">
        <v>14</v>
      </c>
      <c r="D581" t="s">
        <v>130</v>
      </c>
      <c r="E581" s="201">
        <v>1</v>
      </c>
      <c r="F581" s="106">
        <v>2.8</v>
      </c>
      <c r="G581" s="106">
        <v>2.8</v>
      </c>
    </row>
    <row r="582" spans="1:7" x14ac:dyDescent="0.25">
      <c r="A582" t="s">
        <v>519</v>
      </c>
      <c r="B582" t="s">
        <v>2</v>
      </c>
      <c r="C582" t="s">
        <v>1234</v>
      </c>
      <c r="D582" t="s">
        <v>15</v>
      </c>
      <c r="E582" s="201">
        <v>3.8804001319116203E-2</v>
      </c>
      <c r="F582" s="106">
        <v>35</v>
      </c>
      <c r="G582" s="106">
        <v>1.35814004616907</v>
      </c>
    </row>
    <row r="583" spans="1:7" x14ac:dyDescent="0.25">
      <c r="A583" t="s">
        <v>520</v>
      </c>
      <c r="B583" t="s">
        <v>11</v>
      </c>
      <c r="C583" t="s">
        <v>741</v>
      </c>
      <c r="D583" t="s">
        <v>3</v>
      </c>
      <c r="E583" s="201">
        <v>0.55555555555555602</v>
      </c>
      <c r="F583" s="106">
        <v>6.79</v>
      </c>
      <c r="G583" s="106">
        <v>3.7722222222222199</v>
      </c>
    </row>
    <row r="584" spans="1:7" x14ac:dyDescent="0.25">
      <c r="A584" t="s">
        <v>520</v>
      </c>
      <c r="B584" t="s">
        <v>11</v>
      </c>
      <c r="C584" t="s">
        <v>788</v>
      </c>
      <c r="D584" t="s">
        <v>8</v>
      </c>
      <c r="E584" s="201">
        <v>0.12345679012345701</v>
      </c>
      <c r="F584" s="106">
        <v>6.7489472778273596</v>
      </c>
      <c r="G584" s="106">
        <v>0.83320336763300795</v>
      </c>
    </row>
    <row r="585" spans="1:7" x14ac:dyDescent="0.25">
      <c r="A585" t="s">
        <v>520</v>
      </c>
      <c r="B585" t="s">
        <v>11</v>
      </c>
      <c r="C585" t="s">
        <v>603</v>
      </c>
      <c r="D585" t="s">
        <v>6</v>
      </c>
      <c r="E585" s="201">
        <v>1.97530864197531E-2</v>
      </c>
      <c r="F585" s="106">
        <v>14.5475745234298</v>
      </c>
      <c r="G585" s="106">
        <v>0.28735949675910699</v>
      </c>
    </row>
    <row r="586" spans="1:7" x14ac:dyDescent="0.25">
      <c r="A586" t="s">
        <v>520</v>
      </c>
      <c r="B586" t="s">
        <v>5</v>
      </c>
      <c r="C586" t="s">
        <v>4</v>
      </c>
      <c r="D586" t="s">
        <v>3</v>
      </c>
      <c r="E586" s="201">
        <v>1</v>
      </c>
      <c r="F586" s="106">
        <v>2.6</v>
      </c>
      <c r="G586" s="106">
        <v>2.6</v>
      </c>
    </row>
    <row r="587" spans="1:7" x14ac:dyDescent="0.25">
      <c r="A587" t="s">
        <v>598</v>
      </c>
      <c r="B587" t="s">
        <v>11</v>
      </c>
      <c r="C587" t="s">
        <v>601</v>
      </c>
      <c r="D587" t="s">
        <v>8</v>
      </c>
      <c r="E587" s="201">
        <v>1.3105812349085899</v>
      </c>
      <c r="F587" s="106">
        <v>0</v>
      </c>
      <c r="G587" s="106">
        <v>0</v>
      </c>
    </row>
    <row r="588" spans="1:7" x14ac:dyDescent="0.25">
      <c r="A588" t="s">
        <v>598</v>
      </c>
      <c r="B588" t="s">
        <v>11</v>
      </c>
      <c r="C588" t="s">
        <v>607</v>
      </c>
      <c r="D588" t="s">
        <v>608</v>
      </c>
      <c r="E588" s="201">
        <v>0.115341497067954</v>
      </c>
      <c r="F588" s="106">
        <v>0</v>
      </c>
      <c r="G588" s="106">
        <v>0</v>
      </c>
    </row>
    <row r="589" spans="1:7" x14ac:dyDescent="0.25">
      <c r="A589" t="s">
        <v>598</v>
      </c>
      <c r="B589" t="s">
        <v>11</v>
      </c>
      <c r="C589" t="s">
        <v>609</v>
      </c>
      <c r="D589" t="s">
        <v>605</v>
      </c>
      <c r="E589" s="201">
        <v>0.19230769230769201</v>
      </c>
      <c r="F589" s="106">
        <v>0</v>
      </c>
      <c r="G589" s="106">
        <v>0</v>
      </c>
    </row>
    <row r="590" spans="1:7" x14ac:dyDescent="0.25">
      <c r="A590" t="s">
        <v>598</v>
      </c>
      <c r="B590" t="s">
        <v>11</v>
      </c>
      <c r="C590" t="s">
        <v>604</v>
      </c>
      <c r="D590" t="s">
        <v>605</v>
      </c>
      <c r="E590" s="201">
        <v>7.0498447740600198E-2</v>
      </c>
      <c r="F590" s="106">
        <v>0</v>
      </c>
      <c r="G590" s="106">
        <v>0</v>
      </c>
    </row>
    <row r="591" spans="1:7" x14ac:dyDescent="0.25">
      <c r="A591" t="s">
        <v>598</v>
      </c>
      <c r="B591" t="s">
        <v>11</v>
      </c>
      <c r="C591" t="s">
        <v>610</v>
      </c>
      <c r="D591" t="s">
        <v>605</v>
      </c>
      <c r="E591" s="201">
        <v>4.4843049327354299E-2</v>
      </c>
      <c r="F591" s="106">
        <v>23.93</v>
      </c>
      <c r="G591" s="106">
        <v>1.0730941704035899</v>
      </c>
    </row>
    <row r="592" spans="1:7" x14ac:dyDescent="0.25">
      <c r="A592" t="s">
        <v>598</v>
      </c>
      <c r="B592" t="s">
        <v>11</v>
      </c>
      <c r="C592" t="s">
        <v>603</v>
      </c>
      <c r="D592" t="s">
        <v>6</v>
      </c>
      <c r="E592" s="201">
        <v>8.2972576750603697E-2</v>
      </c>
      <c r="F592" s="106">
        <v>14.5475745234298</v>
      </c>
      <c r="G592" s="106">
        <v>1.2070497436804</v>
      </c>
    </row>
    <row r="593" spans="1:7" x14ac:dyDescent="0.25">
      <c r="A593" t="s">
        <v>598</v>
      </c>
      <c r="B593" t="s">
        <v>11</v>
      </c>
      <c r="C593" t="s">
        <v>602</v>
      </c>
      <c r="D593" t="s">
        <v>6</v>
      </c>
      <c r="E593" s="201">
        <v>1.99335977923422E-2</v>
      </c>
      <c r="F593" s="106">
        <v>13.895122287420699</v>
      </c>
      <c r="G593" s="106">
        <v>0.27697977895285403</v>
      </c>
    </row>
    <row r="594" spans="1:7" x14ac:dyDescent="0.25">
      <c r="A594" t="s">
        <v>598</v>
      </c>
      <c r="B594" t="s">
        <v>11</v>
      </c>
      <c r="C594" t="s">
        <v>606</v>
      </c>
      <c r="D594" t="s">
        <v>605</v>
      </c>
      <c r="E594" s="201">
        <v>0.21472921697136901</v>
      </c>
      <c r="F594" s="106">
        <v>2.4034925925925901</v>
      </c>
      <c r="G594" s="106">
        <v>0.51610008240389404</v>
      </c>
    </row>
    <row r="595" spans="1:7" x14ac:dyDescent="0.25">
      <c r="A595" t="s">
        <v>598</v>
      </c>
      <c r="B595" t="s">
        <v>5</v>
      </c>
      <c r="C595" t="s">
        <v>599</v>
      </c>
      <c r="D595" t="s">
        <v>3</v>
      </c>
      <c r="E595" s="201">
        <v>1</v>
      </c>
      <c r="F595" s="106">
        <v>15.8</v>
      </c>
      <c r="G595" s="106">
        <v>15.8</v>
      </c>
    </row>
    <row r="596" spans="1:7" x14ac:dyDescent="0.25">
      <c r="A596" t="s">
        <v>537</v>
      </c>
      <c r="B596" t="s">
        <v>11</v>
      </c>
      <c r="C596" t="s">
        <v>717</v>
      </c>
      <c r="D596" t="s">
        <v>6</v>
      </c>
      <c r="E596" s="201">
        <v>3.8279641684749399E-2</v>
      </c>
      <c r="F596" s="106">
        <v>9.43</v>
      </c>
      <c r="G596" s="106">
        <v>0.36097702108718599</v>
      </c>
    </row>
    <row r="597" spans="1:7" x14ac:dyDescent="0.25">
      <c r="A597" t="s">
        <v>537</v>
      </c>
      <c r="B597" t="s">
        <v>11</v>
      </c>
      <c r="C597" t="s">
        <v>720</v>
      </c>
      <c r="D597" t="s">
        <v>6</v>
      </c>
      <c r="E597" s="201">
        <v>1.8694708729761301E-2</v>
      </c>
      <c r="F597" s="106">
        <v>13.2501677489178</v>
      </c>
      <c r="G597" s="106">
        <v>0.247708026686494</v>
      </c>
    </row>
    <row r="598" spans="1:7" x14ac:dyDescent="0.25">
      <c r="A598" t="s">
        <v>537</v>
      </c>
      <c r="B598" t="s">
        <v>11</v>
      </c>
      <c r="C598" t="s">
        <v>737</v>
      </c>
      <c r="D598" t="s">
        <v>15</v>
      </c>
      <c r="E598" s="201">
        <v>2.2255605630668199E-2</v>
      </c>
      <c r="F598" s="106">
        <v>11.4725</v>
      </c>
      <c r="G598" s="106">
        <v>0.25532743559784099</v>
      </c>
    </row>
    <row r="599" spans="1:7" x14ac:dyDescent="0.25">
      <c r="A599" t="s">
        <v>537</v>
      </c>
      <c r="B599" t="s">
        <v>11</v>
      </c>
      <c r="C599" t="s">
        <v>788</v>
      </c>
      <c r="D599" t="s">
        <v>8</v>
      </c>
      <c r="E599" s="201">
        <v>0.333834084460023</v>
      </c>
      <c r="F599" s="106">
        <v>6.7489472778273596</v>
      </c>
      <c r="G599" s="106">
        <v>2.25302863556246</v>
      </c>
    </row>
    <row r="600" spans="1:7" x14ac:dyDescent="0.25">
      <c r="A600" t="s">
        <v>537</v>
      </c>
      <c r="B600" t="s">
        <v>11</v>
      </c>
      <c r="C600" t="s">
        <v>540</v>
      </c>
      <c r="D600" t="s">
        <v>15</v>
      </c>
      <c r="E600" s="201">
        <v>20.113503588716402</v>
      </c>
      <c r="F600" s="106">
        <v>0.33612448132780098</v>
      </c>
      <c r="G600" s="106">
        <v>6.7606409614421699</v>
      </c>
    </row>
    <row r="601" spans="1:7" x14ac:dyDescent="0.25">
      <c r="A601" t="s">
        <v>537</v>
      </c>
      <c r="B601" t="s">
        <v>11</v>
      </c>
      <c r="C601" t="s">
        <v>897</v>
      </c>
      <c r="D601" t="s">
        <v>15</v>
      </c>
      <c r="E601" s="201">
        <v>8.3458521115005804E-2</v>
      </c>
      <c r="F601" s="106">
        <v>0.498</v>
      </c>
      <c r="G601" s="106">
        <v>4.1562343515272902E-2</v>
      </c>
    </row>
    <row r="602" spans="1:7" x14ac:dyDescent="0.25">
      <c r="A602" t="s">
        <v>537</v>
      </c>
      <c r="B602" t="s">
        <v>11</v>
      </c>
      <c r="C602" t="s">
        <v>928</v>
      </c>
      <c r="D602" t="s">
        <v>15</v>
      </c>
      <c r="E602" s="201">
        <v>2.2255605630668199E-2</v>
      </c>
      <c r="F602" s="106">
        <v>88.56</v>
      </c>
      <c r="G602" s="106">
        <v>1.9709564346519799</v>
      </c>
    </row>
    <row r="603" spans="1:7" x14ac:dyDescent="0.25">
      <c r="A603" t="s">
        <v>537</v>
      </c>
      <c r="B603" t="s">
        <v>5</v>
      </c>
      <c r="C603" t="s">
        <v>590</v>
      </c>
      <c r="D603" t="s">
        <v>130</v>
      </c>
      <c r="E603" s="201">
        <v>1</v>
      </c>
      <c r="F603" s="106">
        <v>16.135000000000002</v>
      </c>
      <c r="G603" s="106">
        <v>16.135000000000002</v>
      </c>
    </row>
    <row r="604" spans="1:7" x14ac:dyDescent="0.25">
      <c r="A604" t="s">
        <v>537</v>
      </c>
      <c r="B604" t="s">
        <v>2</v>
      </c>
      <c r="C604" t="s">
        <v>1186</v>
      </c>
      <c r="D604" t="s">
        <v>15</v>
      </c>
      <c r="E604" s="201">
        <v>1.7025538307461201</v>
      </c>
      <c r="F604" s="106">
        <v>0.35957142857142899</v>
      </c>
      <c r="G604" s="106">
        <v>0.61218971314114001</v>
      </c>
    </row>
    <row r="605" spans="1:7" x14ac:dyDescent="0.25">
      <c r="A605" t="s">
        <v>537</v>
      </c>
      <c r="B605" t="s">
        <v>2</v>
      </c>
      <c r="C605" t="s">
        <v>1198</v>
      </c>
      <c r="D605" t="s">
        <v>15</v>
      </c>
      <c r="E605" s="201">
        <v>1.7025538307461201</v>
      </c>
      <c r="F605" s="106">
        <v>8.99482608695652E-2</v>
      </c>
      <c r="G605" s="106">
        <v>0.15314175611243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4191-ACC2-485A-B94B-9E8DDC9C679E}">
  <dimension ref="A1:B59"/>
  <sheetViews>
    <sheetView tabSelected="1" workbookViewId="0">
      <selection activeCell="R12" sqref="R12"/>
    </sheetView>
  </sheetViews>
  <sheetFormatPr baseColWidth="10" defaultRowHeight="15" x14ac:dyDescent="0.25"/>
  <cols>
    <col min="1" max="1" width="34.28515625" customWidth="1"/>
    <col min="2" max="2" width="114.28515625" customWidth="1"/>
  </cols>
  <sheetData>
    <row r="1" spans="1:2" ht="18.75" x14ac:dyDescent="0.25">
      <c r="A1" s="202" t="s">
        <v>2025</v>
      </c>
      <c r="B1" s="202"/>
    </row>
    <row r="2" spans="1:2" x14ac:dyDescent="0.25">
      <c r="A2" s="189"/>
      <c r="B2" s="189"/>
    </row>
    <row r="3" spans="1:2" x14ac:dyDescent="0.25">
      <c r="A3" s="189" t="s">
        <v>2026</v>
      </c>
      <c r="B3" s="189" t="s">
        <v>2027</v>
      </c>
    </row>
    <row r="4" spans="1:2" x14ac:dyDescent="0.25">
      <c r="A4" s="189" t="s">
        <v>2028</v>
      </c>
      <c r="B4" s="189" t="s">
        <v>2029</v>
      </c>
    </row>
    <row r="5" spans="1:2" x14ac:dyDescent="0.25">
      <c r="A5" s="189" t="s">
        <v>2030</v>
      </c>
      <c r="B5" s="189" t="s">
        <v>2031</v>
      </c>
    </row>
    <row r="6" spans="1:2" x14ac:dyDescent="0.25">
      <c r="A6" s="189"/>
      <c r="B6" s="189"/>
    </row>
    <row r="7" spans="1:2" x14ac:dyDescent="0.25">
      <c r="A7" s="203" t="s">
        <v>2032</v>
      </c>
      <c r="B7" s="191"/>
    </row>
    <row r="8" spans="1:2" x14ac:dyDescent="0.25">
      <c r="A8" s="189"/>
      <c r="B8" s="189"/>
    </row>
    <row r="9" spans="1:2" x14ac:dyDescent="0.25">
      <c r="A9" s="189" t="s">
        <v>2033</v>
      </c>
      <c r="B9" s="189" t="s">
        <v>2034</v>
      </c>
    </row>
    <row r="10" spans="1:2" x14ac:dyDescent="0.25">
      <c r="A10" s="189" t="s">
        <v>2035</v>
      </c>
      <c r="B10" s="189" t="s">
        <v>2036</v>
      </c>
    </row>
    <row r="11" spans="1:2" x14ac:dyDescent="0.25">
      <c r="A11" s="189"/>
      <c r="B11" s="189"/>
    </row>
    <row r="12" spans="1:2" x14ac:dyDescent="0.25">
      <c r="A12" s="189" t="s">
        <v>2037</v>
      </c>
      <c r="B12" s="189" t="s">
        <v>2038</v>
      </c>
    </row>
    <row r="13" spans="1:2" x14ac:dyDescent="0.25">
      <c r="A13" s="189"/>
      <c r="B13" s="189"/>
    </row>
    <row r="14" spans="1:2" x14ac:dyDescent="0.25">
      <c r="A14" s="203" t="s">
        <v>2039</v>
      </c>
      <c r="B14" s="191"/>
    </row>
    <row r="15" spans="1:2" x14ac:dyDescent="0.25">
      <c r="A15" s="204" t="s">
        <v>2040</v>
      </c>
      <c r="B15" s="204" t="s">
        <v>2041</v>
      </c>
    </row>
    <row r="16" spans="1:2" x14ac:dyDescent="0.25">
      <c r="A16" s="189" t="s">
        <v>1999</v>
      </c>
      <c r="B16" s="189" t="s">
        <v>2042</v>
      </c>
    </row>
    <row r="17" spans="1:2" x14ac:dyDescent="0.25">
      <c r="A17" s="189" t="s">
        <v>2000</v>
      </c>
      <c r="B17" s="189" t="s">
        <v>2043</v>
      </c>
    </row>
    <row r="18" spans="1:2" x14ac:dyDescent="0.25">
      <c r="A18" s="189" t="s">
        <v>2001</v>
      </c>
      <c r="B18" s="189" t="s">
        <v>2044</v>
      </c>
    </row>
    <row r="19" spans="1:2" x14ac:dyDescent="0.25">
      <c r="A19" s="189" t="s">
        <v>2002</v>
      </c>
      <c r="B19" s="189" t="s">
        <v>2045</v>
      </c>
    </row>
    <row r="20" spans="1:2" x14ac:dyDescent="0.25">
      <c r="A20" s="189" t="s">
        <v>2003</v>
      </c>
      <c r="B20" s="189" t="s">
        <v>2046</v>
      </c>
    </row>
    <row r="21" spans="1:2" x14ac:dyDescent="0.25">
      <c r="A21" s="189" t="s">
        <v>2004</v>
      </c>
      <c r="B21" s="189" t="s">
        <v>2047</v>
      </c>
    </row>
    <row r="22" spans="1:2" x14ac:dyDescent="0.25">
      <c r="A22" s="189" t="s">
        <v>2005</v>
      </c>
      <c r="B22" s="189" t="s">
        <v>2048</v>
      </c>
    </row>
    <row r="23" spans="1:2" x14ac:dyDescent="0.25">
      <c r="A23" s="189" t="s">
        <v>2006</v>
      </c>
      <c r="B23" s="189" t="s">
        <v>2049</v>
      </c>
    </row>
    <row r="24" spans="1:2" x14ac:dyDescent="0.25">
      <c r="A24" s="189" t="s">
        <v>2007</v>
      </c>
      <c r="B24" s="189" t="s">
        <v>2050</v>
      </c>
    </row>
    <row r="25" spans="1:2" x14ac:dyDescent="0.25">
      <c r="A25" s="189" t="s">
        <v>2008</v>
      </c>
      <c r="B25" s="189" t="s">
        <v>2051</v>
      </c>
    </row>
    <row r="26" spans="1:2" x14ac:dyDescent="0.25">
      <c r="A26" s="189" t="s">
        <v>2009</v>
      </c>
      <c r="B26" s="189" t="s">
        <v>2052</v>
      </c>
    </row>
    <row r="27" spans="1:2" x14ac:dyDescent="0.25">
      <c r="A27" s="189" t="s">
        <v>2010</v>
      </c>
      <c r="B27" s="189" t="s">
        <v>2053</v>
      </c>
    </row>
    <row r="28" spans="1:2" x14ac:dyDescent="0.25">
      <c r="A28" s="189"/>
      <c r="B28" s="189"/>
    </row>
    <row r="29" spans="1:2" x14ac:dyDescent="0.25">
      <c r="A29" s="203" t="s">
        <v>2054</v>
      </c>
      <c r="B29" s="191"/>
    </row>
    <row r="30" spans="1:2" x14ac:dyDescent="0.25">
      <c r="A30" s="204" t="s">
        <v>2040</v>
      </c>
      <c r="B30" s="204" t="s">
        <v>2041</v>
      </c>
    </row>
    <row r="31" spans="1:2" x14ac:dyDescent="0.25">
      <c r="A31" s="189" t="s">
        <v>1999</v>
      </c>
      <c r="B31" s="189" t="s">
        <v>2055</v>
      </c>
    </row>
    <row r="32" spans="1:2" x14ac:dyDescent="0.25">
      <c r="A32" s="189" t="s">
        <v>2020</v>
      </c>
      <c r="B32" s="189" t="s">
        <v>2056</v>
      </c>
    </row>
    <row r="33" spans="1:2" x14ac:dyDescent="0.25">
      <c r="A33" s="189" t="s">
        <v>2021</v>
      </c>
      <c r="B33" s="189" t="s">
        <v>2057</v>
      </c>
    </row>
    <row r="34" spans="1:2" x14ac:dyDescent="0.25">
      <c r="A34" s="189" t="s">
        <v>2002</v>
      </c>
      <c r="B34" s="189" t="s">
        <v>2058</v>
      </c>
    </row>
    <row r="35" spans="1:2" x14ac:dyDescent="0.25">
      <c r="A35" s="189" t="s">
        <v>2022</v>
      </c>
      <c r="B35" s="189" t="s">
        <v>2059</v>
      </c>
    </row>
    <row r="36" spans="1:2" x14ac:dyDescent="0.25">
      <c r="A36" s="189" t="s">
        <v>2023</v>
      </c>
      <c r="B36" s="189" t="s">
        <v>2060</v>
      </c>
    </row>
    <row r="37" spans="1:2" x14ac:dyDescent="0.25">
      <c r="A37" s="189" t="s">
        <v>2024</v>
      </c>
      <c r="B37" s="189" t="s">
        <v>2061</v>
      </c>
    </row>
    <row r="38" spans="1:2" x14ac:dyDescent="0.25">
      <c r="A38" s="189"/>
      <c r="B38" s="189"/>
    </row>
    <row r="39" spans="1:2" x14ac:dyDescent="0.25">
      <c r="A39" s="203" t="s">
        <v>2062</v>
      </c>
      <c r="B39" s="191"/>
    </row>
    <row r="40" spans="1:2" x14ac:dyDescent="0.25">
      <c r="A40" s="189"/>
      <c r="B40" s="189" t="s">
        <v>2063</v>
      </c>
    </row>
    <row r="41" spans="1:2" x14ac:dyDescent="0.25">
      <c r="A41" s="189"/>
      <c r="B41" s="189" t="s">
        <v>2064</v>
      </c>
    </row>
    <row r="42" spans="1:2" x14ac:dyDescent="0.25">
      <c r="A42" s="189"/>
      <c r="B42" s="189" t="s">
        <v>2065</v>
      </c>
    </row>
    <row r="43" spans="1:2" x14ac:dyDescent="0.25">
      <c r="A43" s="189"/>
      <c r="B43" s="189" t="s">
        <v>2066</v>
      </c>
    </row>
    <row r="44" spans="1:2" x14ac:dyDescent="0.25">
      <c r="A44" s="189"/>
      <c r="B44" s="189"/>
    </row>
    <row r="45" spans="1:2" x14ac:dyDescent="0.25">
      <c r="A45" s="203" t="s">
        <v>2067</v>
      </c>
      <c r="B45" s="191"/>
    </row>
    <row r="46" spans="1:2" x14ac:dyDescent="0.25">
      <c r="A46" s="189"/>
      <c r="B46" s="205" t="s">
        <v>2068</v>
      </c>
    </row>
    <row r="47" spans="1:2" x14ac:dyDescent="0.25">
      <c r="A47" s="189"/>
      <c r="B47" s="205" t="s">
        <v>2069</v>
      </c>
    </row>
    <row r="48" spans="1:2" x14ac:dyDescent="0.25">
      <c r="A48" s="189"/>
      <c r="B48" s="205" t="s">
        <v>2070</v>
      </c>
    </row>
    <row r="49" spans="1:2" x14ac:dyDescent="0.25">
      <c r="A49" s="189"/>
      <c r="B49" s="189"/>
    </row>
    <row r="50" spans="1:2" x14ac:dyDescent="0.25">
      <c r="A50" s="189"/>
      <c r="B50" s="205" t="s">
        <v>2071</v>
      </c>
    </row>
    <row r="51" spans="1:2" x14ac:dyDescent="0.25">
      <c r="A51" s="189"/>
      <c r="B51" s="205" t="s">
        <v>2072</v>
      </c>
    </row>
    <row r="52" spans="1:2" x14ac:dyDescent="0.25">
      <c r="A52" s="189"/>
      <c r="B52" s="205" t="s">
        <v>2073</v>
      </c>
    </row>
    <row r="53" spans="1:2" x14ac:dyDescent="0.25">
      <c r="A53" s="189"/>
      <c r="B53" s="189"/>
    </row>
    <row r="54" spans="1:2" x14ac:dyDescent="0.25">
      <c r="A54" s="203" t="s">
        <v>2074</v>
      </c>
      <c r="B54" s="191"/>
    </row>
    <row r="55" spans="1:2" x14ac:dyDescent="0.25">
      <c r="A55" s="189"/>
      <c r="B55" s="189" t="s">
        <v>2075</v>
      </c>
    </row>
    <row r="56" spans="1:2" x14ac:dyDescent="0.25">
      <c r="A56" s="189"/>
      <c r="B56" s="189" t="s">
        <v>2076</v>
      </c>
    </row>
    <row r="57" spans="1:2" x14ac:dyDescent="0.25">
      <c r="A57" s="189"/>
      <c r="B57" s="189" t="s">
        <v>2077</v>
      </c>
    </row>
    <row r="58" spans="1:2" x14ac:dyDescent="0.25">
      <c r="A58" s="189"/>
      <c r="B58" s="189" t="s">
        <v>2078</v>
      </c>
    </row>
    <row r="59" spans="1:2" ht="30" x14ac:dyDescent="0.25">
      <c r="A59" s="189"/>
      <c r="B59" s="189" t="s">
        <v>2079</v>
      </c>
    </row>
  </sheetData>
  <mergeCells count="7">
    <mergeCell ref="A54:B54"/>
    <mergeCell ref="A1:B1"/>
    <mergeCell ref="A7:B7"/>
    <mergeCell ref="A14:B14"/>
    <mergeCell ref="A29:B29"/>
    <mergeCell ref="A39:B39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006. Cuadro Comparativo APUs</vt:lpstr>
      <vt:lpstr>Reporte Decisiones Pendientes</vt:lpstr>
      <vt:lpstr>APU Estándar</vt:lpstr>
      <vt:lpstr>Resumen CU</vt:lpstr>
      <vt:lpstr>BD Materiales</vt:lpstr>
      <vt:lpstr>BD Mano de Obra</vt:lpstr>
      <vt:lpstr>BD Equipo</vt:lpstr>
      <vt:lpstr>BD Rendimientos</vt:lpstr>
      <vt:lpstr>Historial Conversación</vt:lpstr>
      <vt:lpstr>APUs_Maestro</vt:lpstr>
      <vt:lpstr>APUs_Items</vt:lpstr>
      <vt:lpstr>README_Sistema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Pablo Rivadeneira</cp:lastModifiedBy>
  <dcterms:created xsi:type="dcterms:W3CDTF">2024-05-10T19:09:07Z</dcterms:created>
  <dcterms:modified xsi:type="dcterms:W3CDTF">2026-04-18T03:56:05Z</dcterms:modified>
</cp:coreProperties>
</file>